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4.xml" ContentType="application/vnd.openxmlformats-officedocument.spreadsheetml.worksheet+xml"/>
  <Override PartName="/xl/worksheets/sheet28.xml" ContentType="application/vnd.openxmlformats-officedocument.spreadsheetml.worksheet+xml"/>
  <Override PartName="/xl/worksheets/sheet8.xml" ContentType="application/vnd.openxmlformats-officedocument.spreadsheetml.worksheet+xml"/>
  <Override PartName="/xl/worksheets/sheet2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4"/>
  </bookViews>
  <sheets>
    <sheet name="01" sheetId="1" state="visible" r:id="rId1"/>
    <sheet name="02" sheetId="2" state="visible" r:id="rId2"/>
    <sheet name="03" sheetId="3" state="visible" r:id="rId3"/>
    <sheet name="04" sheetId="4" state="visible" r:id="rId4"/>
    <sheet name="05" sheetId="5" state="visible" r:id="rId5"/>
    <sheet name="06" sheetId="6" state="visible" r:id="rId6"/>
    <sheet name="07" sheetId="7" state="visible" r:id="rId7"/>
    <sheet name="08" sheetId="8" state="visible" r:id="rId8"/>
    <sheet name="0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Тех.Лист" sheetId="32" state="hidden" r:id="rId32"/>
  </sheets>
  <definedNames>
    <definedName name="Z_03FBB0AD_5353_49C6_B595_178BC13C96AE_.wvu.Rows" localSheetId="0" hidden="1">'01'!$15:$68,'01'!$75:$102,'01'!$109:$125,'01'!#REF!,'01'!#REF!,'01'!#REF!,'01'!#REF!</definedName>
    <definedName name="Z_070961C3_1DC2_4518_83D7_B3F54BC58AE2_.wvu.Rows" localSheetId="0" hidden="1">'01'!$15:$68,'01'!$75:$102,'01'!$109:$125,'01'!#REF!,'01'!#REF!,'01'!#REF!,'01'!#REF!</definedName>
    <definedName name="Z_0B87D63B_15AD_4587_A73B_CA4B62BDFA01_.wvu.Rows" localSheetId="0" hidden="1">'01'!$15:$68,'01'!$75:$102,'01'!$109:$125,'01'!#REF!,'01'!#REF!,'01'!#REF!,'01'!#REF!</definedName>
    <definedName name="Z_1B9AB2B5_0A50_46C3_981D_8BE75BF62E46_.wvu.Rows" localSheetId="0" hidden="1">'01'!$15:$68,'01'!$75:$102,'01'!$109:$125,'01'!#REF!,'01'!#REF!,'01'!#REF!,'01'!#REF!</definedName>
    <definedName name="Z_20A0B2F7_9F51_4E3D_A024_0877F1F98F8D_.wvu.Rows" localSheetId="0" hidden="1">'01'!$15:$68,'01'!$75:$102,'01'!$109:$125,'01'!#REF!,'01'!#REF!,'01'!#REF!,'01'!#REF!</definedName>
    <definedName name="Z_2C3A3C66_1522_4337_93AC_DFC422DC8462_.wvu.Rows" localSheetId="0" hidden="1">'01'!$15:$68,'01'!$75:$102,'01'!$109:$125,'01'!#REF!,'01'!#REF!,'01'!#REF!,'01'!#REF!</definedName>
    <definedName name="Z_2E074C0E_3584_4321_A729_0961B34312BF_.wvu.Rows" localSheetId="0" hidden="1">'01'!$15:$68,'01'!$75:$102,'01'!$109:$125,'01'!#REF!,'01'!#REF!,'01'!#REF!,'01'!#REF!</definedName>
    <definedName name="Z_2FFCC83E_A488_4450_9F9E_FF506EAEF5FC_.wvu.Rows" localSheetId="0" hidden="1">'01'!$15:$68,'01'!$75:$102,'01'!$109:$125,'01'!#REF!,'01'!#REF!,'01'!#REF!,'01'!#REF!</definedName>
    <definedName name="Z_3351A924_D23D_45D7_8354_55677D787CA4_.wvu.Rows" localSheetId="0" hidden="1">'01'!$15:$68,'01'!$75:$102,'01'!$109:$125,'01'!#REF!,'01'!#REF!,'01'!#REF!,'01'!#REF!</definedName>
    <definedName name="Z_51E3BC0E_B24A_447A_BC0A_03881122E44E_.wvu.Rows" localSheetId="0" hidden="1">'01'!$15:$68,'01'!$75:$102,'01'!$109:$125,'01'!#REF!,'01'!#REF!,'01'!#REF!,'01'!#REF!</definedName>
    <definedName name="Z_5C60C8F2_A96A_4286_AB69_6A192D48B52D_.wvu.Rows" localSheetId="0" hidden="1">'01'!$15:$68,'01'!$75:$102,'01'!$109:$125,'01'!#REF!,'01'!#REF!,'01'!#REF!,'01'!#REF!</definedName>
    <definedName name="Z_667B099C_8E79_4490_AC67_CFE2B9F8FC8D_.wvu.Rows" localSheetId="0" hidden="1">'01'!$15:$68,'01'!$75:$102,'01'!$109:$125,'01'!#REF!,'01'!#REF!,'01'!#REF!,'01'!#REF!</definedName>
    <definedName name="Z_696C5A08_6B5C_4B07_9B14_11E12159ACF3_.wvu.Rows" localSheetId="0" hidden="1">'01'!$15:$68,'01'!$75:$102,'01'!$109:$125,'01'!#REF!,'01'!#REF!,'01'!#REF!</definedName>
    <definedName name="Z_743813BC_E137_480B_B63F_29E16C4A5D78_.wvu.Rows" localSheetId="0" hidden="1">'01'!$15:$68,'01'!$75:$102,'01'!$109:$125,'01'!#REF!,'01'!#REF!,'01'!#REF!,'01'!#REF!</definedName>
    <definedName name="Z_7CD6C56D_7191_499D_884D_23F062610490_.wvu.Rows" localSheetId="0" hidden="1">'01'!$15:$68,'01'!$75:$102,'01'!$109:$125,'01'!#REF!,'01'!#REF!,'01'!#REF!,'01'!#REF!</definedName>
    <definedName name="Z_8AB826A3_3F9F_46E8_8B3C_5D723650CD25_.wvu.Rows" localSheetId="0" hidden="1">'01'!$15:$68,'01'!$75:$102,'01'!$109:$125,'01'!#REF!,'01'!#REF!,'01'!#REF!,'01'!#REF!</definedName>
    <definedName name="Z_9231B71C_ABB0_4122_BB61_A0E14ED7FAC4_.wvu.Rows" localSheetId="0" hidden="1">'01'!$15:$68,'01'!$75:$102,'01'!$109:$125,'01'!#REF!,'01'!#REF!,'01'!#REF!,'01'!#REF!</definedName>
    <definedName name="Z_9CE42830_1BFE_4EEE_AD75_1C30A69A86B1_.wvu.Rows" localSheetId="0" hidden="1">'01'!$15:$68,'01'!$75:$102,'01'!$109:$125,'01'!#REF!,'01'!#REF!,'01'!#REF!,'01'!#REF!</definedName>
    <definedName name="Z_9EA36D12_6C5C_4BE0_9897_E6710354124D_.wvu.Rows" localSheetId="0" hidden="1">'01'!$15:$68,'01'!$75:$102,'01'!$109:$125,'01'!#REF!,'01'!#REF!,'01'!#REF!,'01'!#REF!</definedName>
    <definedName name="Z_A0F29F5B_FB6E_4C5E_B7A7_CDA651D38207_.wvu.Rows" localSheetId="0" hidden="1">'01'!$15:$68,'01'!$75:$102,'01'!$109:$125,'01'!#REF!,'01'!#REF!,'01'!#REF!,'01'!#REF!</definedName>
    <definedName name="Z_A567DF6A_4F50_45D4_A9C8_0879E17AFD34_.wvu.Rows" localSheetId="0" hidden="1">'01'!$15:$68,'01'!$75:$102,'01'!$109:$125,'01'!#REF!,'01'!#REF!,'01'!#REF!,'01'!#REF!</definedName>
    <definedName name="Z_B2CFD8C8_F8F8_47F1_9207_6BE81612C01C_.wvu.Rows" localSheetId="0" hidden="1">'01'!$15:$68,'01'!$75:$102,'01'!$109:$125,'01'!#REF!,'01'!#REF!,'01'!#REF!,'01'!#REF!</definedName>
    <definedName name="Z_BBF15C7D_3EAF_4D98_9096_5B67F6C46C47_.wvu.Rows" localSheetId="0" hidden="1">'01'!$15:$68,'01'!$75:$102,'01'!$109:$125,'01'!#REF!,'01'!#REF!,'01'!#REF!</definedName>
    <definedName name="Z_C122BF8D_C115_42E1_B73A_F9B38D5EC060_.wvu.Rows" localSheetId="0" hidden="1">'01'!$15:$68,'01'!$75:$102,'01'!$109:$125,'01'!#REF!,'01'!#REF!,'01'!#REF!,'01'!#REF!</definedName>
    <definedName name="Z_C4D254D6_9D1C_4B3C_972D_15957FD05DD2_.wvu.Rows" localSheetId="0" hidden="1">'01'!$15:$68,'01'!$75:$102,'01'!$109:$125,'01'!#REF!,'01'!#REF!,'01'!#REF!,'01'!#REF!</definedName>
    <definedName name="Z_D4664C56_FB8A_499D_8E24_CCA12F97FAE9_.wvu.Rows" localSheetId="0" hidden="1">'01'!$15:$68,'01'!$75:$102,'01'!$109:$125,'01'!#REF!,'01'!#REF!,'01'!#REF!,'01'!#REF!</definedName>
    <definedName name="Z_DD995061_F552_4E13_8D40_A47EBB03245B_.wvu.Rows" localSheetId="0" hidden="1">'01'!$15:$68,'01'!$75:$102,'01'!$109:$125,'01'!#REF!,'01'!#REF!,'01'!#REF!,'01'!#REF!</definedName>
    <definedName name="Z_DE2F0B4F_79DE_40A0_A13B_9C7F63D3F970_.wvu.Rows" localSheetId="0" hidden="1">'01'!$15:$68,'01'!$75:$102,'01'!$109:$125,'01'!#REF!,'01'!#REF!,'01'!#REF!,'01'!#REF!</definedName>
    <definedName name="Z_E765F84B_EAF3_44AE_A058_C602C1E67401_.wvu.Rows" localSheetId="0" hidden="1">'01'!$15:$68,'01'!$75:$102,'01'!$109:$125,'01'!#REF!,'01'!#REF!,'01'!#REF!,'01'!#REF!</definedName>
    <definedName name="Z_F34DD4D3_7189_47AF_B853_F133E36CF124_.wvu.Rows" localSheetId="0" hidden="1">'01'!$15:$68,'01'!$75:$102,'01'!$109:$125,'01'!#REF!,'01'!#REF!,'01'!#REF!,'01'!#REF!</definedName>
    <definedName name="Z_F82F81AB_9C82_4E79_8CA3_CEB2B994FC06_.wvu.Rows" localSheetId="0" hidden="1">'01'!$15:$68,'01'!$75:$102,'01'!$109:$125,'01'!#REF!,'01'!#REF!,'01'!#REF!,'01'!#REF!</definedName>
    <definedName name="Z_F89CD5B0_594D_4248_B45D_59008422D599_.wvu.Rows" localSheetId="0" hidden="1">'01'!$15:$68,'01'!$75:$102,'01'!$109:$125,'01'!#REF!,'01'!#REF!,'01'!#REF!,'01'!#REF!</definedName>
    <definedName name="Z_03FBB0AD_5353_49C6_B595_178BC13C96AE_.wvu.Rows" localSheetId="1" hidden="1">'02'!$15:$68,'02'!$75:$102,'02'!$109:$125,'02'!#REF!,'02'!$132:$151,'02'!#REF!,'02'!#REF!</definedName>
    <definedName name="Z_070961C3_1DC2_4518_83D7_B3F54BC58AE2_.wvu.Rows" localSheetId="1" hidden="1">'02'!$15:$68,'02'!$75:$102,'02'!$109:$125,'02'!#REF!,'02'!$132:$151,'02'!#REF!,'02'!#REF!</definedName>
    <definedName name="Z_0B87D63B_15AD_4587_A73B_CA4B62BDFA01_.wvu.Rows" localSheetId="1" hidden="1">'02'!$15:$68,'02'!$75:$102,'02'!$109:$125,'02'!#REF!,'02'!$132:$151,'02'!#REF!,'02'!#REF!</definedName>
    <definedName name="Z_1B9AB2B5_0A50_46C3_981D_8BE75BF62E46_.wvu.Rows" localSheetId="1" hidden="1">'02'!$15:$68,'02'!$75:$102,'02'!$109:$125,'02'!#REF!,'02'!$132:$151,'02'!#REF!,'02'!#REF!</definedName>
    <definedName name="Z_20A0B2F7_9F51_4E3D_A024_0877F1F98F8D_.wvu.Rows" localSheetId="1" hidden="1">'02'!$15:$68,'02'!$75:$102,'02'!$109:$125,'02'!#REF!,'02'!$132:$151,'02'!#REF!,'02'!#REF!</definedName>
    <definedName name="Z_2C3A3C66_1522_4337_93AC_DFC422DC8462_.wvu.Rows" localSheetId="1" hidden="1">'02'!$15:$68,'02'!$75:$102,'02'!$109:$125,'02'!#REF!,'02'!$132:$151,'02'!#REF!,'02'!#REF!</definedName>
    <definedName name="Z_2E074C0E_3584_4321_A729_0961B34312BF_.wvu.Rows" localSheetId="1" hidden="1">'02'!$15:$68,'02'!$75:$102,'02'!$109:$125,'02'!#REF!,'02'!$132:$151,'02'!#REF!,'02'!#REF!</definedName>
    <definedName name="Z_2FFCC83E_A488_4450_9F9E_FF506EAEF5FC_.wvu.Rows" localSheetId="1" hidden="1">'02'!$15:$68,'02'!$75:$102,'02'!$109:$125,'02'!#REF!,'02'!$132:$151,'02'!#REF!,'02'!#REF!</definedName>
    <definedName name="Z_3351A924_D23D_45D7_8354_55677D787CA4_.wvu.Rows" localSheetId="1" hidden="1">'02'!$15:$68,'02'!$75:$102,'02'!$109:$125,'02'!#REF!,'02'!$132:$151,'02'!#REF!,'02'!#REF!</definedName>
    <definedName name="Z_51E3BC0E_B24A_447A_BC0A_03881122E44E_.wvu.Rows" localSheetId="1" hidden="1">'02'!$15:$68,'02'!$75:$102,'02'!$109:$125,'02'!#REF!,'02'!$132:$151,'02'!#REF!,'02'!#REF!</definedName>
    <definedName name="Z_5C60C8F2_A96A_4286_AB69_6A192D48B52D_.wvu.Rows" localSheetId="1" hidden="1">'02'!$15:$68,'02'!$75:$102,'02'!$109:$125,'02'!#REF!,'02'!$132:$151,'02'!#REF!,'02'!#REF!</definedName>
    <definedName name="Z_667B099C_8E79_4490_AC67_CFE2B9F8FC8D_.wvu.Rows" localSheetId="1" hidden="1">'02'!$15:$68,'02'!$75:$102,'02'!$109:$125,'02'!#REF!,'02'!$132:$151,'02'!#REF!,'02'!#REF!</definedName>
    <definedName name="Z_696C5A08_6B5C_4B07_9B14_11E12159ACF3_.wvu.Rows" localSheetId="1" hidden="1">'02'!$15:$68,'02'!$75:$102,'02'!$109:$125,'02'!#REF!,'02'!#REF!,'02'!#REF!</definedName>
    <definedName name="Z_743813BC_E137_480B_B63F_29E16C4A5D78_.wvu.Rows" localSheetId="1" hidden="1">'02'!$15:$68,'02'!$75:$102,'02'!$109:$125,'02'!#REF!,'02'!$132:$151,'02'!#REF!,'02'!#REF!</definedName>
    <definedName name="Z_7CD6C56D_7191_499D_884D_23F062610490_.wvu.Rows" localSheetId="1" hidden="1">'02'!$15:$68,'02'!$75:$102,'02'!$109:$125,'02'!#REF!,'02'!$132:$151,'02'!#REF!,'02'!#REF!</definedName>
    <definedName name="Z_8AB826A3_3F9F_46E8_8B3C_5D723650CD25_.wvu.Rows" localSheetId="1" hidden="1">'02'!$15:$68,'02'!$75:$102,'02'!$109:$125,'02'!#REF!,'02'!$132:$151,'02'!#REF!,'02'!#REF!</definedName>
    <definedName name="Z_9231B71C_ABB0_4122_BB61_A0E14ED7FAC4_.wvu.Rows" localSheetId="1" hidden="1">'02'!$15:$68,'02'!$75:$102,'02'!$109:$125,'02'!#REF!,'02'!$132:$151,'02'!#REF!,'02'!#REF!</definedName>
    <definedName name="Z_9CE42830_1BFE_4EEE_AD75_1C30A69A86B1_.wvu.Rows" localSheetId="1" hidden="1">'02'!$15:$68,'02'!$75:$102,'02'!$109:$125,'02'!#REF!,'02'!$132:$151,'02'!#REF!,'02'!#REF!</definedName>
    <definedName name="Z_9EA36D12_6C5C_4BE0_9897_E6710354124D_.wvu.Rows" localSheetId="1" hidden="1">'02'!$15:$68,'02'!$75:$102,'02'!$109:$125,'02'!#REF!,'02'!$132:$151,'02'!#REF!,'02'!#REF!</definedName>
    <definedName name="Z_A0F29F5B_FB6E_4C5E_B7A7_CDA651D38207_.wvu.Rows" localSheetId="1" hidden="1">'02'!$15:$68,'02'!$75:$102,'02'!$109:$125,'02'!#REF!,'02'!$132:$151,'02'!#REF!,'02'!#REF!</definedName>
    <definedName name="Z_A567DF6A_4F50_45D4_A9C8_0879E17AFD34_.wvu.Rows" localSheetId="1" hidden="1">'02'!$15:$68,'02'!$75:$102,'02'!$109:$125,'02'!#REF!,'02'!$132:$151,'02'!#REF!,'02'!#REF!</definedName>
    <definedName name="Z_B2CFD8C8_F8F8_47F1_9207_6BE81612C01C_.wvu.Rows" localSheetId="1" hidden="1">'02'!$15:$68,'02'!$75:$102,'02'!$109:$125,'02'!#REF!,'02'!$132:$151,'02'!#REF!,'02'!#REF!</definedName>
    <definedName name="Z_BBF15C7D_3EAF_4D98_9096_5B67F6C46C47_.wvu.Rows" localSheetId="1" hidden="1">'02'!$15:$68,'02'!$75:$102,'02'!$109:$125,'02'!#REF!,'02'!#REF!,'02'!#REF!</definedName>
    <definedName name="Z_C122BF8D_C115_42E1_B73A_F9B38D5EC060_.wvu.Rows" localSheetId="1" hidden="1">'02'!$15:$68,'02'!$75:$102,'02'!$109:$125,'02'!#REF!,'02'!$132:$151,'02'!#REF!,'02'!#REF!</definedName>
    <definedName name="Z_C4D254D6_9D1C_4B3C_972D_15957FD05DD2_.wvu.Rows" localSheetId="1" hidden="1">'02'!$15:$68,'02'!$75:$102,'02'!$109:$125,'02'!#REF!,'02'!$132:$151,'02'!#REF!,'02'!#REF!</definedName>
    <definedName name="Z_D4664C56_FB8A_499D_8E24_CCA12F97FAE9_.wvu.Rows" localSheetId="1" hidden="1">'02'!$15:$68,'02'!$75:$102,'02'!$109:$125,'02'!#REF!,'02'!$132:$151,'02'!#REF!,'02'!#REF!</definedName>
    <definedName name="Z_DD995061_F552_4E13_8D40_A47EBB03245B_.wvu.Rows" localSheetId="1" hidden="1">'02'!$15:$68,'02'!$75:$102,'02'!$109:$125,'02'!#REF!,'02'!$132:$151,'02'!#REF!,'02'!#REF!</definedName>
    <definedName name="Z_DE2F0B4F_79DE_40A0_A13B_9C7F63D3F970_.wvu.Rows" localSheetId="1" hidden="1">'02'!$15:$68,'02'!$75:$102,'02'!$109:$125,'02'!#REF!,'02'!$132:$151,'02'!#REF!,'02'!#REF!</definedName>
    <definedName name="Z_E765F84B_EAF3_44AE_A058_C602C1E67401_.wvu.Rows" localSheetId="1" hidden="1">'02'!$15:$68,'02'!$75:$102,'02'!$109:$125,'02'!#REF!,'02'!$132:$151,'02'!#REF!,'02'!#REF!</definedName>
    <definedName name="Z_F34DD4D3_7189_47AF_B853_F133E36CF124_.wvu.Rows" localSheetId="1" hidden="1">'02'!$15:$68,'02'!$75:$102,'02'!$109:$125,'02'!#REF!,'02'!$132:$151,'02'!#REF!,'02'!#REF!</definedName>
    <definedName name="Z_F82F81AB_9C82_4E79_8CA3_CEB2B994FC06_.wvu.Rows" localSheetId="1" hidden="1">'02'!$15:$68,'02'!$75:$102,'02'!$109:$125,'02'!#REF!,'02'!$132:$151,'02'!#REF!,'02'!#REF!</definedName>
    <definedName name="Z_F89CD5B0_594D_4248_B45D_59008422D599_.wvu.Rows" localSheetId="1" hidden="1">'02'!$15:$68,'02'!$75:$102,'02'!$109:$125,'02'!#REF!,'02'!$132:$151,'02'!#REF!,'02'!#REF!</definedName>
    <definedName name="Z_03FBB0AD_5353_49C6_B595_178BC13C96AE_.wvu.Rows" localSheetId="2" hidden="1">'03'!$15:$68,'03'!$75:$102,'03'!$109:$125,'03'!#REF!,'03'!$132:$151,'03'!#REF!,'03'!#REF!</definedName>
    <definedName name="Z_070961C3_1DC2_4518_83D7_B3F54BC58AE2_.wvu.Rows" localSheetId="2" hidden="1">'03'!$15:$68,'03'!$75:$102,'03'!$109:$125,'03'!#REF!,'03'!$132:$151,'03'!#REF!,'03'!#REF!</definedName>
    <definedName name="Z_0B87D63B_15AD_4587_A73B_CA4B62BDFA01_.wvu.Rows" localSheetId="2" hidden="1">'03'!$15:$68,'03'!$75:$102,'03'!$109:$125,'03'!#REF!,'03'!$132:$151,'03'!#REF!,'03'!#REF!</definedName>
    <definedName name="Z_1B9AB2B5_0A50_46C3_981D_8BE75BF62E46_.wvu.Rows" localSheetId="2" hidden="1">'03'!$15:$68,'03'!$75:$102,'03'!$109:$125,'03'!#REF!,'03'!$132:$151,'03'!#REF!,'03'!#REF!</definedName>
    <definedName name="Z_20A0B2F7_9F51_4E3D_A024_0877F1F98F8D_.wvu.Rows" localSheetId="2" hidden="1">'03'!$15:$68,'03'!$75:$102,'03'!$109:$125,'03'!#REF!,'03'!$132:$151,'03'!#REF!,'03'!#REF!</definedName>
    <definedName name="Z_2C3A3C66_1522_4337_93AC_DFC422DC8462_.wvu.Rows" localSheetId="2" hidden="1">'03'!$15:$68,'03'!$75:$102,'03'!$109:$125,'03'!#REF!,'03'!$132:$151,'03'!#REF!,'03'!#REF!</definedName>
    <definedName name="Z_2E074C0E_3584_4321_A729_0961B34312BF_.wvu.Rows" localSheetId="2" hidden="1">'03'!$15:$68,'03'!$75:$102,'03'!$109:$125,'03'!#REF!,'03'!$132:$151,'03'!#REF!,'03'!#REF!</definedName>
    <definedName name="Z_2FFCC83E_A488_4450_9F9E_FF506EAEF5FC_.wvu.Rows" localSheetId="2" hidden="1">'03'!$15:$68,'03'!$75:$102,'03'!$109:$125,'03'!#REF!,'03'!$132:$151,'03'!#REF!,'03'!#REF!</definedName>
    <definedName name="Z_3351A924_D23D_45D7_8354_55677D787CA4_.wvu.Rows" localSheetId="2" hidden="1">'03'!$15:$68,'03'!$75:$102,'03'!$109:$125,'03'!#REF!,'03'!$132:$151,'03'!#REF!,'03'!#REF!</definedName>
    <definedName name="Z_51E3BC0E_B24A_447A_BC0A_03881122E44E_.wvu.Rows" localSheetId="2" hidden="1">'03'!$15:$68,'03'!$75:$102,'03'!$109:$125,'03'!#REF!,'03'!$132:$151,'03'!#REF!,'03'!#REF!</definedName>
    <definedName name="Z_5C60C8F2_A96A_4286_AB69_6A192D48B52D_.wvu.Rows" localSheetId="2" hidden="1">'03'!$15:$68,'03'!$75:$102,'03'!$109:$125,'03'!#REF!,'03'!$132:$151,'03'!#REF!,'03'!#REF!</definedName>
    <definedName name="Z_667B099C_8E79_4490_AC67_CFE2B9F8FC8D_.wvu.Rows" localSheetId="2" hidden="1">'03'!$15:$68,'03'!$75:$102,'03'!$109:$125,'03'!#REF!,'03'!$132:$151,'03'!#REF!,'03'!#REF!</definedName>
    <definedName name="Z_696C5A08_6B5C_4B07_9B14_11E12159ACF3_.wvu.Rows" localSheetId="2" hidden="1">'03'!$15:$68,'03'!$75:$102,'03'!$109:$125,'03'!#REF!,'03'!#REF!,'03'!#REF!</definedName>
    <definedName name="Z_743813BC_E137_480B_B63F_29E16C4A5D78_.wvu.Rows" localSheetId="2" hidden="1">'03'!$15:$68,'03'!$75:$102,'03'!$109:$125,'03'!#REF!,'03'!$132:$151,'03'!#REF!,'03'!#REF!</definedName>
    <definedName name="Z_7CD6C56D_7191_499D_884D_23F062610490_.wvu.Rows" localSheetId="2" hidden="1">'03'!$15:$68,'03'!$75:$102,'03'!$109:$125,'03'!#REF!,'03'!$132:$151,'03'!#REF!,'03'!#REF!</definedName>
    <definedName name="Z_8AB826A3_3F9F_46E8_8B3C_5D723650CD25_.wvu.Rows" localSheetId="2" hidden="1">'03'!$15:$68,'03'!$75:$102,'03'!$109:$125,'03'!#REF!,'03'!$132:$151,'03'!#REF!,'03'!#REF!</definedName>
    <definedName name="Z_9231B71C_ABB0_4122_BB61_A0E14ED7FAC4_.wvu.Rows" localSheetId="2" hidden="1">'03'!$15:$68,'03'!$75:$102,'03'!$109:$125,'03'!#REF!,'03'!$132:$151,'03'!#REF!,'03'!#REF!</definedName>
    <definedName name="Z_9CE42830_1BFE_4EEE_AD75_1C30A69A86B1_.wvu.Rows" localSheetId="2" hidden="1">'03'!$15:$68,'03'!$75:$102,'03'!$109:$125,'03'!#REF!,'03'!$132:$151,'03'!#REF!,'03'!#REF!</definedName>
    <definedName name="Z_9EA36D12_6C5C_4BE0_9897_E6710354124D_.wvu.Rows" localSheetId="2" hidden="1">'03'!$15:$68,'03'!$75:$102,'03'!$109:$125,'03'!#REF!,'03'!$132:$151,'03'!#REF!,'03'!#REF!</definedName>
    <definedName name="Z_A0F29F5B_FB6E_4C5E_B7A7_CDA651D38207_.wvu.Rows" localSheetId="2" hidden="1">'03'!$15:$68,'03'!$75:$102,'03'!$109:$125,'03'!#REF!,'03'!$132:$151,'03'!#REF!,'03'!#REF!</definedName>
    <definedName name="Z_A567DF6A_4F50_45D4_A9C8_0879E17AFD34_.wvu.Rows" localSheetId="2" hidden="1">'03'!$15:$68,'03'!$75:$102,'03'!$109:$125,'03'!#REF!,'03'!$132:$151,'03'!#REF!,'03'!#REF!</definedName>
    <definedName name="Z_B2CFD8C8_F8F8_47F1_9207_6BE81612C01C_.wvu.Rows" localSheetId="2" hidden="1">'03'!$15:$68,'03'!$75:$102,'03'!$109:$125,'03'!#REF!,'03'!$132:$151,'03'!#REF!,'03'!#REF!</definedName>
    <definedName name="Z_BBF15C7D_3EAF_4D98_9096_5B67F6C46C47_.wvu.Rows" localSheetId="2" hidden="1">'03'!$15:$68,'03'!$75:$102,'03'!$109:$125,'03'!#REF!,'03'!#REF!,'03'!#REF!</definedName>
    <definedName name="Z_C122BF8D_C115_42E1_B73A_F9B38D5EC060_.wvu.Rows" localSheetId="2" hidden="1">'03'!$15:$68,'03'!$75:$102,'03'!$109:$125,'03'!#REF!,'03'!$132:$151,'03'!#REF!,'03'!#REF!</definedName>
    <definedName name="Z_C4D254D6_9D1C_4B3C_972D_15957FD05DD2_.wvu.Rows" localSheetId="2" hidden="1">'03'!$15:$68,'03'!$75:$102,'03'!$109:$125,'03'!#REF!,'03'!$132:$151,'03'!#REF!,'03'!#REF!</definedName>
    <definedName name="Z_D4664C56_FB8A_499D_8E24_CCA12F97FAE9_.wvu.Rows" localSheetId="2" hidden="1">'03'!$15:$68,'03'!$75:$102,'03'!$109:$125,'03'!#REF!,'03'!$132:$151,'03'!#REF!,'03'!#REF!</definedName>
    <definedName name="Z_DD995061_F552_4E13_8D40_A47EBB03245B_.wvu.Rows" localSheetId="2" hidden="1">'03'!$15:$68,'03'!$75:$102,'03'!$109:$125,'03'!#REF!,'03'!$132:$151,'03'!#REF!,'03'!#REF!</definedName>
    <definedName name="Z_DE2F0B4F_79DE_40A0_A13B_9C7F63D3F970_.wvu.Rows" localSheetId="2" hidden="1">'03'!$15:$68,'03'!$75:$102,'03'!$109:$125,'03'!#REF!,'03'!$132:$151,'03'!#REF!,'03'!#REF!</definedName>
    <definedName name="Z_E765F84B_EAF3_44AE_A058_C602C1E67401_.wvu.Rows" localSheetId="2" hidden="1">'03'!$15:$68,'03'!$75:$102,'03'!$109:$125,'03'!#REF!,'03'!$132:$151,'03'!#REF!,'03'!#REF!</definedName>
    <definedName name="Z_F34DD4D3_7189_47AF_B853_F133E36CF124_.wvu.Rows" localSheetId="2" hidden="1">'03'!$15:$68,'03'!$75:$102,'03'!$109:$125,'03'!#REF!,'03'!$132:$151,'03'!#REF!,'03'!#REF!</definedName>
    <definedName name="Z_F82F81AB_9C82_4E79_8CA3_CEB2B994FC06_.wvu.Rows" localSheetId="2" hidden="1">'03'!$15:$68,'03'!$75:$102,'03'!$109:$125,'03'!#REF!,'03'!$132:$151,'03'!#REF!,'03'!#REF!</definedName>
    <definedName name="Z_F89CD5B0_594D_4248_B45D_59008422D599_.wvu.Rows" localSheetId="2" hidden="1">'03'!$15:$68,'03'!$75:$102,'03'!$109:$125,'03'!#REF!,'03'!$132:$151,'03'!#REF!,'03'!#REF!</definedName>
    <definedName name="Z_03FBB0AD_5353_49C6_B595_178BC13C96AE_.wvu.Rows" localSheetId="3" hidden="1">'04'!$15:$68,'04'!$75:$102,'04'!$109:$125,'04'!#REF!,'04'!$132:$151,'04'!#REF!,'04'!#REF!</definedName>
    <definedName name="Z_070961C3_1DC2_4518_83D7_B3F54BC58AE2_.wvu.Rows" localSheetId="3" hidden="1">'04'!$15:$68,'04'!$75:$102,'04'!$109:$125,'04'!#REF!,'04'!$132:$151,'04'!#REF!,'04'!#REF!</definedName>
    <definedName name="Z_0B87D63B_15AD_4587_A73B_CA4B62BDFA01_.wvu.Rows" localSheetId="3" hidden="1">'04'!$15:$68,'04'!$75:$102,'04'!$109:$125,'04'!#REF!,'04'!$132:$151,'04'!#REF!,'04'!#REF!</definedName>
    <definedName name="Z_1B9AB2B5_0A50_46C3_981D_8BE75BF62E46_.wvu.Rows" localSheetId="3" hidden="1">'04'!$15:$68,'04'!$75:$102,'04'!$109:$125,'04'!#REF!,'04'!$132:$151,'04'!#REF!,'04'!#REF!</definedName>
    <definedName name="Z_20A0B2F7_9F51_4E3D_A024_0877F1F98F8D_.wvu.Rows" localSheetId="3" hidden="1">'04'!$15:$68,'04'!$75:$102,'04'!$109:$125,'04'!#REF!,'04'!$132:$151,'04'!#REF!,'04'!#REF!</definedName>
    <definedName name="Z_2C3A3C66_1522_4337_93AC_DFC422DC8462_.wvu.Rows" localSheetId="3" hidden="1">'04'!$15:$68,'04'!$75:$102,'04'!$109:$125,'04'!#REF!,'04'!$132:$151,'04'!#REF!,'04'!#REF!</definedName>
    <definedName name="Z_2E074C0E_3584_4321_A729_0961B34312BF_.wvu.Rows" localSheetId="3" hidden="1">'04'!$15:$68,'04'!$75:$102,'04'!$109:$125,'04'!#REF!,'04'!$132:$151,'04'!#REF!,'04'!#REF!</definedName>
    <definedName name="Z_2FFCC83E_A488_4450_9F9E_FF506EAEF5FC_.wvu.Rows" localSheetId="3" hidden="1">'04'!$15:$68,'04'!$75:$102,'04'!$109:$125,'04'!#REF!,'04'!$132:$151,'04'!#REF!,'04'!#REF!</definedName>
    <definedName name="Z_3351A924_D23D_45D7_8354_55677D787CA4_.wvu.Rows" localSheetId="3" hidden="1">'04'!$15:$68,'04'!$75:$102,'04'!$109:$125,'04'!#REF!,'04'!$132:$151,'04'!#REF!,'04'!#REF!</definedName>
    <definedName name="Z_51E3BC0E_B24A_447A_BC0A_03881122E44E_.wvu.Rows" localSheetId="3" hidden="1">'04'!$15:$68,'04'!$75:$102,'04'!$109:$125,'04'!#REF!,'04'!$132:$151,'04'!#REF!,'04'!#REF!</definedName>
    <definedName name="Z_5C60C8F2_A96A_4286_AB69_6A192D48B52D_.wvu.Rows" localSheetId="3" hidden="1">'04'!$15:$68,'04'!$75:$102,'04'!$109:$125,'04'!#REF!,'04'!$132:$151,'04'!#REF!,'04'!#REF!</definedName>
    <definedName name="Z_667B099C_8E79_4490_AC67_CFE2B9F8FC8D_.wvu.Rows" localSheetId="3" hidden="1">'04'!$15:$68,'04'!$75:$102,'04'!$109:$125,'04'!#REF!,'04'!$132:$151,'04'!#REF!,'04'!#REF!</definedName>
    <definedName name="Z_696C5A08_6B5C_4B07_9B14_11E12159ACF3_.wvu.Rows" localSheetId="3" hidden="1">'04'!$15:$68,'04'!$75:$102,'04'!$109:$125,'04'!#REF!,'04'!#REF!,'04'!#REF!</definedName>
    <definedName name="Z_743813BC_E137_480B_B63F_29E16C4A5D78_.wvu.Rows" localSheetId="3" hidden="1">'04'!$15:$68,'04'!$75:$102,'04'!$109:$125,'04'!#REF!,'04'!$132:$151,'04'!#REF!,'04'!#REF!</definedName>
    <definedName name="Z_7CD6C56D_7191_499D_884D_23F062610490_.wvu.Rows" localSheetId="3" hidden="1">'04'!$15:$68,'04'!$75:$102,'04'!$109:$125,'04'!#REF!,'04'!$132:$151,'04'!#REF!,'04'!#REF!</definedName>
    <definedName name="Z_8AB826A3_3F9F_46E8_8B3C_5D723650CD25_.wvu.Rows" localSheetId="3" hidden="1">'04'!$15:$68,'04'!$75:$102,'04'!$109:$125,'04'!#REF!,'04'!$132:$151,'04'!#REF!,'04'!#REF!</definedName>
    <definedName name="Z_9231B71C_ABB0_4122_BB61_A0E14ED7FAC4_.wvu.Rows" localSheetId="3" hidden="1">'04'!$15:$68,'04'!$75:$102,'04'!$109:$125,'04'!#REF!,'04'!$132:$151,'04'!#REF!,'04'!#REF!</definedName>
    <definedName name="Z_9CE42830_1BFE_4EEE_AD75_1C30A69A86B1_.wvu.Rows" localSheetId="3" hidden="1">'04'!$15:$68,'04'!$75:$102,'04'!$109:$125,'04'!#REF!,'04'!$132:$151,'04'!#REF!,'04'!#REF!</definedName>
    <definedName name="Z_9EA36D12_6C5C_4BE0_9897_E6710354124D_.wvu.Rows" localSheetId="3" hidden="1">'04'!$15:$68,'04'!$75:$102,'04'!$109:$125,'04'!#REF!,'04'!$132:$151,'04'!#REF!,'04'!#REF!</definedName>
    <definedName name="Z_A0F29F5B_FB6E_4C5E_B7A7_CDA651D38207_.wvu.Rows" localSheetId="3" hidden="1">'04'!$15:$68,'04'!$75:$102,'04'!$109:$125,'04'!#REF!,'04'!$132:$151,'04'!#REF!,'04'!#REF!</definedName>
    <definedName name="Z_A567DF6A_4F50_45D4_A9C8_0879E17AFD34_.wvu.Rows" localSheetId="3" hidden="1">'04'!$15:$68,'04'!$75:$102,'04'!$109:$125,'04'!#REF!,'04'!$132:$151,'04'!#REF!,'04'!#REF!</definedName>
    <definedName name="Z_B2CFD8C8_F8F8_47F1_9207_6BE81612C01C_.wvu.Rows" localSheetId="3" hidden="1">'04'!$15:$68,'04'!$75:$102,'04'!$109:$125,'04'!#REF!,'04'!$132:$151,'04'!#REF!,'04'!#REF!</definedName>
    <definedName name="Z_BBF15C7D_3EAF_4D98_9096_5B67F6C46C47_.wvu.Rows" localSheetId="3" hidden="1">'04'!$15:$68,'04'!$75:$102,'04'!$109:$125,'04'!#REF!,'04'!#REF!,'04'!#REF!</definedName>
    <definedName name="Z_C122BF8D_C115_42E1_B73A_F9B38D5EC060_.wvu.Rows" localSheetId="3" hidden="1">'04'!$15:$68,'04'!$75:$102,'04'!$109:$125,'04'!#REF!,'04'!$132:$151,'04'!#REF!,'04'!#REF!</definedName>
    <definedName name="Z_C4D254D6_9D1C_4B3C_972D_15957FD05DD2_.wvu.Rows" localSheetId="3" hidden="1">'04'!$15:$68,'04'!$75:$102,'04'!$109:$125,'04'!#REF!,'04'!$132:$151,'04'!#REF!,'04'!#REF!</definedName>
    <definedName name="Z_D4664C56_FB8A_499D_8E24_CCA12F97FAE9_.wvu.Rows" localSheetId="3" hidden="1">'04'!$15:$68,'04'!$75:$102,'04'!$109:$125,'04'!#REF!,'04'!$132:$151,'04'!#REF!,'04'!#REF!</definedName>
    <definedName name="Z_DD995061_F552_4E13_8D40_A47EBB03245B_.wvu.Rows" localSheetId="3" hidden="1">'04'!$15:$68,'04'!$75:$102,'04'!$109:$125,'04'!#REF!,'04'!$132:$151,'04'!#REF!,'04'!#REF!</definedName>
    <definedName name="Z_DE2F0B4F_79DE_40A0_A13B_9C7F63D3F970_.wvu.Rows" localSheetId="3" hidden="1">'04'!$15:$68,'04'!$75:$102,'04'!$109:$125,'04'!#REF!,'04'!$132:$151,'04'!#REF!,'04'!#REF!</definedName>
    <definedName name="Z_E765F84B_EAF3_44AE_A058_C602C1E67401_.wvu.Rows" localSheetId="3" hidden="1">'04'!$15:$68,'04'!$75:$102,'04'!$109:$125,'04'!#REF!,'04'!$132:$151,'04'!#REF!,'04'!#REF!</definedName>
    <definedName name="Z_F34DD4D3_7189_47AF_B853_F133E36CF124_.wvu.Rows" localSheetId="3" hidden="1">'04'!$15:$68,'04'!$75:$102,'04'!$109:$125,'04'!#REF!,'04'!$132:$151,'04'!#REF!,'04'!#REF!</definedName>
    <definedName name="Z_F82F81AB_9C82_4E79_8CA3_CEB2B994FC06_.wvu.Rows" localSheetId="3" hidden="1">'04'!$15:$68,'04'!$75:$102,'04'!$109:$125,'04'!#REF!,'04'!$132:$151,'04'!#REF!,'04'!#REF!</definedName>
    <definedName name="Z_F89CD5B0_594D_4248_B45D_59008422D599_.wvu.Rows" localSheetId="3" hidden="1">'04'!$15:$68,'04'!$75:$102,'04'!$109:$125,'04'!#REF!,'04'!$132:$151,'04'!#REF!,'04'!#REF!</definedName>
    <definedName name="Z_03FBB0AD_5353_49C6_B595_178BC13C96AE_.wvu.Rows" localSheetId="4" hidden="1">'05'!$15:$68,'05'!$75:$102,'05'!$109:$125,'05'!#REF!,'05'!$132:$151,'05'!#REF!,'05'!#REF!</definedName>
    <definedName name="Z_070961C3_1DC2_4518_83D7_B3F54BC58AE2_.wvu.Rows" localSheetId="4" hidden="1">'05'!$15:$68,'05'!$75:$102,'05'!$109:$125,'05'!#REF!,'05'!$132:$151,'05'!#REF!,'05'!#REF!</definedName>
    <definedName name="Z_0B87D63B_15AD_4587_A73B_CA4B62BDFA01_.wvu.Rows" localSheetId="4" hidden="1">'05'!$15:$68,'05'!$75:$102,'05'!$109:$125,'05'!#REF!,'05'!$132:$151,'05'!#REF!,'05'!#REF!</definedName>
    <definedName name="Z_1B9AB2B5_0A50_46C3_981D_8BE75BF62E46_.wvu.Rows" localSheetId="4" hidden="1">'05'!$15:$68,'05'!$75:$102,'05'!$109:$125,'05'!#REF!,'05'!$132:$151,'05'!#REF!,'05'!#REF!</definedName>
    <definedName name="Z_20A0B2F7_9F51_4E3D_A024_0877F1F98F8D_.wvu.Rows" localSheetId="4" hidden="1">'05'!$15:$68,'05'!$75:$102,'05'!$109:$125,'05'!#REF!,'05'!$132:$151,'05'!#REF!,'05'!#REF!</definedName>
    <definedName name="Z_2C3A3C66_1522_4337_93AC_DFC422DC8462_.wvu.Rows" localSheetId="4" hidden="1">'05'!$15:$68,'05'!$75:$102,'05'!$109:$125,'05'!#REF!,'05'!$132:$151,'05'!#REF!,'05'!#REF!</definedName>
    <definedName name="Z_2E074C0E_3584_4321_A729_0961B34312BF_.wvu.Rows" localSheetId="4" hidden="1">'05'!$15:$68,'05'!$75:$102,'05'!$109:$125,'05'!#REF!,'05'!$132:$151,'05'!#REF!,'05'!#REF!</definedName>
    <definedName name="Z_2FFCC83E_A488_4450_9F9E_FF506EAEF5FC_.wvu.Rows" localSheetId="4" hidden="1">'05'!$15:$68,'05'!$75:$102,'05'!$109:$125,'05'!#REF!,'05'!$132:$151,'05'!#REF!,'05'!#REF!</definedName>
    <definedName name="Z_3351A924_D23D_45D7_8354_55677D787CA4_.wvu.Rows" localSheetId="4" hidden="1">'05'!$15:$68,'05'!$75:$102,'05'!$109:$125,'05'!#REF!,'05'!$132:$151,'05'!#REF!,'05'!#REF!</definedName>
    <definedName name="Z_51E3BC0E_B24A_447A_BC0A_03881122E44E_.wvu.Rows" localSheetId="4" hidden="1">'05'!$15:$68,'05'!$75:$102,'05'!$109:$125,'05'!#REF!,'05'!$132:$151,'05'!#REF!,'05'!#REF!</definedName>
    <definedName name="Z_5C60C8F2_A96A_4286_AB69_6A192D48B52D_.wvu.Rows" localSheetId="4" hidden="1">'05'!$15:$68,'05'!$75:$102,'05'!$109:$125,'05'!#REF!,'05'!$132:$151,'05'!#REF!,'05'!#REF!</definedName>
    <definedName name="Z_667B099C_8E79_4490_AC67_CFE2B9F8FC8D_.wvu.Rows" localSheetId="4" hidden="1">'05'!$15:$68,'05'!$75:$102,'05'!$109:$125,'05'!#REF!,'05'!$132:$151,'05'!#REF!,'05'!#REF!</definedName>
    <definedName name="Z_696C5A08_6B5C_4B07_9B14_11E12159ACF3_.wvu.Rows" localSheetId="4" hidden="1">'05'!$15:$68,'05'!$75:$102,'05'!$109:$125,'05'!#REF!,'05'!#REF!,'05'!#REF!</definedName>
    <definedName name="Z_743813BC_E137_480B_B63F_29E16C4A5D78_.wvu.Rows" localSheetId="4" hidden="1">'05'!$15:$68,'05'!$75:$102,'05'!$109:$125,'05'!#REF!,'05'!$132:$151,'05'!#REF!,'05'!#REF!</definedName>
    <definedName name="Z_7CD6C56D_7191_499D_884D_23F062610490_.wvu.Rows" localSheetId="4" hidden="1">'05'!$15:$68,'05'!$75:$102,'05'!$109:$125,'05'!#REF!,'05'!$132:$151,'05'!#REF!,'05'!#REF!</definedName>
    <definedName name="Z_8AB826A3_3F9F_46E8_8B3C_5D723650CD25_.wvu.Rows" localSheetId="4" hidden="1">'05'!$15:$68,'05'!$75:$102,'05'!$109:$125,'05'!#REF!,'05'!$132:$151,'05'!#REF!,'05'!#REF!</definedName>
    <definedName name="Z_9231B71C_ABB0_4122_BB61_A0E14ED7FAC4_.wvu.Rows" localSheetId="4" hidden="1">'05'!$15:$68,'05'!$75:$102,'05'!$109:$125,'05'!#REF!,'05'!$132:$151,'05'!#REF!,'05'!#REF!</definedName>
    <definedName name="Z_9CE42830_1BFE_4EEE_AD75_1C30A69A86B1_.wvu.Rows" localSheetId="4" hidden="1">'05'!$15:$68,'05'!$75:$102,'05'!$109:$125,'05'!#REF!,'05'!$132:$151,'05'!#REF!,'05'!#REF!</definedName>
    <definedName name="Z_9EA36D12_6C5C_4BE0_9897_E6710354124D_.wvu.Rows" localSheetId="4" hidden="1">'05'!$15:$68,'05'!$75:$102,'05'!$109:$125,'05'!#REF!,'05'!$132:$151,'05'!#REF!,'05'!#REF!</definedName>
    <definedName name="Z_A0F29F5B_FB6E_4C5E_B7A7_CDA651D38207_.wvu.Rows" localSheetId="4" hidden="1">'05'!$15:$68,'05'!$75:$102,'05'!$109:$125,'05'!#REF!,'05'!$132:$151,'05'!#REF!,'05'!#REF!</definedName>
    <definedName name="Z_A567DF6A_4F50_45D4_A9C8_0879E17AFD34_.wvu.Rows" localSheetId="4" hidden="1">'05'!$15:$68,'05'!$75:$102,'05'!$109:$125,'05'!#REF!,'05'!$132:$151,'05'!#REF!,'05'!#REF!</definedName>
    <definedName name="Z_B2CFD8C8_F8F8_47F1_9207_6BE81612C01C_.wvu.Rows" localSheetId="4" hidden="1">'05'!$15:$68,'05'!$75:$102,'05'!$109:$125,'05'!#REF!,'05'!$132:$151,'05'!#REF!,'05'!#REF!</definedName>
    <definedName name="Z_BBF15C7D_3EAF_4D98_9096_5B67F6C46C47_.wvu.Rows" localSheetId="4" hidden="1">'05'!$15:$68,'05'!$75:$102,'05'!$109:$125,'05'!#REF!,'05'!#REF!,'05'!#REF!</definedName>
    <definedName name="Z_C122BF8D_C115_42E1_B73A_F9B38D5EC060_.wvu.Rows" localSheetId="4" hidden="1">'05'!$15:$68,'05'!$75:$102,'05'!$109:$125,'05'!#REF!,'05'!$132:$151,'05'!#REF!,'05'!#REF!</definedName>
    <definedName name="Z_C4D254D6_9D1C_4B3C_972D_15957FD05DD2_.wvu.Rows" localSheetId="4" hidden="1">'05'!$15:$68,'05'!$75:$102,'05'!$109:$125,'05'!#REF!,'05'!$132:$151,'05'!#REF!,'05'!#REF!</definedName>
    <definedName name="Z_D4664C56_FB8A_499D_8E24_CCA12F97FAE9_.wvu.Rows" localSheetId="4" hidden="1">'05'!$15:$68,'05'!$75:$102,'05'!$109:$125,'05'!#REF!,'05'!$132:$151,'05'!#REF!,'05'!#REF!</definedName>
    <definedName name="Z_DD995061_F552_4E13_8D40_A47EBB03245B_.wvu.Rows" localSheetId="4" hidden="1">'05'!$15:$68,'05'!$75:$102,'05'!$109:$125,'05'!#REF!,'05'!$132:$151,'05'!#REF!,'05'!#REF!</definedName>
    <definedName name="Z_DE2F0B4F_79DE_40A0_A13B_9C7F63D3F970_.wvu.Rows" localSheetId="4" hidden="1">'05'!$15:$68,'05'!$75:$102,'05'!$109:$125,'05'!#REF!,'05'!$132:$151,'05'!#REF!,'05'!#REF!</definedName>
    <definedName name="Z_E765F84B_EAF3_44AE_A058_C602C1E67401_.wvu.Rows" localSheetId="4" hidden="1">'05'!$15:$68,'05'!$75:$102,'05'!$109:$125,'05'!#REF!,'05'!$132:$151,'05'!#REF!,'05'!#REF!</definedName>
    <definedName name="Z_F34DD4D3_7189_47AF_B853_F133E36CF124_.wvu.Rows" localSheetId="4" hidden="1">'05'!$15:$68,'05'!$75:$102,'05'!$109:$125,'05'!#REF!,'05'!$132:$151,'05'!#REF!,'05'!#REF!</definedName>
    <definedName name="Z_F82F81AB_9C82_4E79_8CA3_CEB2B994FC06_.wvu.Rows" localSheetId="4" hidden="1">'05'!$15:$68,'05'!$75:$102,'05'!$109:$125,'05'!#REF!,'05'!$132:$151,'05'!#REF!,'05'!#REF!</definedName>
    <definedName name="Z_F89CD5B0_594D_4248_B45D_59008422D599_.wvu.Rows" localSheetId="4" hidden="1">'05'!$15:$68,'05'!$75:$102,'05'!$109:$125,'05'!#REF!,'05'!$132:$151,'05'!#REF!,'05'!#REF!</definedName>
    <definedName name="Z_03FBB0AD_5353_49C6_B595_178BC13C96AE_.wvu.Rows" localSheetId="5" hidden="1">'06'!$15:$68,'06'!$75:$102,'06'!$109:$125,'06'!#REF!,'06'!$132:$151,'06'!#REF!,'06'!#REF!</definedName>
    <definedName name="Z_070961C3_1DC2_4518_83D7_B3F54BC58AE2_.wvu.Rows" localSheetId="5" hidden="1">'06'!$15:$68,'06'!$75:$102,'06'!$109:$125,'06'!#REF!,'06'!$132:$151,'06'!#REF!,'06'!#REF!</definedName>
    <definedName name="Z_0B87D63B_15AD_4587_A73B_CA4B62BDFA01_.wvu.Rows" localSheetId="5" hidden="1">'06'!$15:$68,'06'!$75:$102,'06'!$109:$125,'06'!#REF!,'06'!$132:$151,'06'!#REF!,'06'!#REF!</definedName>
    <definedName name="Z_1B9AB2B5_0A50_46C3_981D_8BE75BF62E46_.wvu.Rows" localSheetId="5" hidden="1">'06'!$15:$68,'06'!$75:$102,'06'!$109:$125,'06'!#REF!,'06'!$132:$151,'06'!#REF!,'06'!#REF!</definedName>
    <definedName name="Z_20A0B2F7_9F51_4E3D_A024_0877F1F98F8D_.wvu.Rows" localSheetId="5" hidden="1">'06'!$15:$68,'06'!$75:$102,'06'!$109:$125,'06'!#REF!,'06'!$132:$151,'06'!#REF!,'06'!#REF!</definedName>
    <definedName name="Z_2C3A3C66_1522_4337_93AC_DFC422DC8462_.wvu.Rows" localSheetId="5" hidden="1">'06'!$15:$68,'06'!$75:$102,'06'!$109:$125,'06'!#REF!,'06'!$132:$151,'06'!#REF!,'06'!#REF!</definedName>
    <definedName name="Z_2E074C0E_3584_4321_A729_0961B34312BF_.wvu.Rows" localSheetId="5" hidden="1">'06'!$15:$68,'06'!$75:$102,'06'!$109:$125,'06'!#REF!,'06'!$132:$151,'06'!#REF!,'06'!#REF!</definedName>
    <definedName name="Z_2FFCC83E_A488_4450_9F9E_FF506EAEF5FC_.wvu.Rows" localSheetId="5" hidden="1">'06'!$15:$68,'06'!$75:$102,'06'!$109:$125,'06'!#REF!,'06'!$132:$151,'06'!#REF!,'06'!#REF!</definedName>
    <definedName name="Z_3351A924_D23D_45D7_8354_55677D787CA4_.wvu.Rows" localSheetId="5" hidden="1">'06'!$15:$68,'06'!$75:$102,'06'!$109:$125,'06'!#REF!,'06'!$132:$151,'06'!#REF!,'06'!#REF!</definedName>
    <definedName name="Z_51E3BC0E_B24A_447A_BC0A_03881122E44E_.wvu.Rows" localSheetId="5" hidden="1">'06'!$15:$68,'06'!$75:$102,'06'!$109:$125,'06'!#REF!,'06'!$132:$151,'06'!#REF!,'06'!#REF!</definedName>
    <definedName name="Z_5C60C8F2_A96A_4286_AB69_6A192D48B52D_.wvu.Rows" localSheetId="5" hidden="1">'06'!$15:$68,'06'!$75:$102,'06'!$109:$125,'06'!#REF!,'06'!$132:$151,'06'!#REF!,'06'!#REF!</definedName>
    <definedName name="Z_667B099C_8E79_4490_AC67_CFE2B9F8FC8D_.wvu.Rows" localSheetId="5" hidden="1">'06'!$15:$68,'06'!$75:$102,'06'!$109:$125,'06'!#REF!,'06'!$132:$151,'06'!#REF!,'06'!#REF!</definedName>
    <definedName name="Z_696C5A08_6B5C_4B07_9B14_11E12159ACF3_.wvu.Rows" localSheetId="5" hidden="1">'06'!$15:$68,'06'!$75:$102,'06'!$109:$125,'06'!#REF!,'06'!#REF!,'06'!#REF!</definedName>
    <definedName name="Z_743813BC_E137_480B_B63F_29E16C4A5D78_.wvu.Rows" localSheetId="5" hidden="1">'06'!$15:$68,'06'!$75:$102,'06'!$109:$125,'06'!#REF!,'06'!$132:$151,'06'!#REF!,'06'!#REF!</definedName>
    <definedName name="Z_7CD6C56D_7191_499D_884D_23F062610490_.wvu.Rows" localSheetId="5" hidden="1">'06'!$15:$68,'06'!$75:$102,'06'!$109:$125,'06'!#REF!,'06'!$132:$151,'06'!#REF!,'06'!#REF!</definedName>
    <definedName name="Z_8AB826A3_3F9F_46E8_8B3C_5D723650CD25_.wvu.Rows" localSheetId="5" hidden="1">'06'!$15:$68,'06'!$75:$102,'06'!$109:$125,'06'!#REF!,'06'!$132:$151,'06'!#REF!,'06'!#REF!</definedName>
    <definedName name="Z_9231B71C_ABB0_4122_BB61_A0E14ED7FAC4_.wvu.Rows" localSheetId="5" hidden="1">'06'!$15:$68,'06'!$75:$102,'06'!$109:$125,'06'!#REF!,'06'!$132:$151,'06'!#REF!,'06'!#REF!</definedName>
    <definedName name="Z_9CE42830_1BFE_4EEE_AD75_1C30A69A86B1_.wvu.Rows" localSheetId="5" hidden="1">'06'!$15:$68,'06'!$75:$102,'06'!$109:$125,'06'!#REF!,'06'!$132:$151,'06'!#REF!,'06'!#REF!</definedName>
    <definedName name="Z_9EA36D12_6C5C_4BE0_9897_E6710354124D_.wvu.Rows" localSheetId="5" hidden="1">'06'!$15:$68,'06'!$75:$102,'06'!$109:$125,'06'!#REF!,'06'!$132:$151,'06'!#REF!,'06'!#REF!</definedName>
    <definedName name="Z_A0F29F5B_FB6E_4C5E_B7A7_CDA651D38207_.wvu.Rows" localSheetId="5" hidden="1">'06'!$15:$68,'06'!$75:$102,'06'!$109:$125,'06'!#REF!,'06'!$132:$151,'06'!#REF!,'06'!#REF!</definedName>
    <definedName name="Z_A567DF6A_4F50_45D4_A9C8_0879E17AFD34_.wvu.Rows" localSheetId="5" hidden="1">'06'!$15:$68,'06'!$75:$102,'06'!$109:$125,'06'!#REF!,'06'!$132:$151,'06'!#REF!,'06'!#REF!</definedName>
    <definedName name="Z_B2CFD8C8_F8F8_47F1_9207_6BE81612C01C_.wvu.Rows" localSheetId="5" hidden="1">'06'!$15:$68,'06'!$75:$102,'06'!$109:$125,'06'!#REF!,'06'!$132:$151,'06'!#REF!,'06'!#REF!</definedName>
    <definedName name="Z_BBF15C7D_3EAF_4D98_9096_5B67F6C46C47_.wvu.Rows" localSheetId="5" hidden="1">'06'!$15:$68,'06'!$75:$102,'06'!$109:$125,'06'!#REF!,'06'!#REF!,'06'!#REF!</definedName>
    <definedName name="Z_C122BF8D_C115_42E1_B73A_F9B38D5EC060_.wvu.Rows" localSheetId="5" hidden="1">'06'!$15:$68,'06'!$75:$102,'06'!$109:$125,'06'!#REF!,'06'!$132:$151,'06'!#REF!,'06'!#REF!</definedName>
    <definedName name="Z_C4D254D6_9D1C_4B3C_972D_15957FD05DD2_.wvu.Rows" localSheetId="5" hidden="1">'06'!$15:$68,'06'!$75:$102,'06'!$109:$125,'06'!#REF!,'06'!$132:$151,'06'!#REF!,'06'!#REF!</definedName>
    <definedName name="Z_D4664C56_FB8A_499D_8E24_CCA12F97FAE9_.wvu.Rows" localSheetId="5" hidden="1">'06'!$15:$68,'06'!$75:$102,'06'!$109:$125,'06'!#REF!,'06'!$132:$151,'06'!#REF!,'06'!#REF!</definedName>
    <definedName name="Z_DD995061_F552_4E13_8D40_A47EBB03245B_.wvu.Rows" localSheetId="5" hidden="1">'06'!$15:$68,'06'!$75:$102,'06'!$109:$125,'06'!#REF!,'06'!$132:$151,'06'!#REF!,'06'!#REF!</definedName>
    <definedName name="Z_DE2F0B4F_79DE_40A0_A13B_9C7F63D3F970_.wvu.Rows" localSheetId="5" hidden="1">'06'!$15:$68,'06'!$75:$102,'06'!$109:$125,'06'!#REF!,'06'!$132:$151,'06'!#REF!,'06'!#REF!</definedName>
    <definedName name="Z_E765F84B_EAF3_44AE_A058_C602C1E67401_.wvu.Rows" localSheetId="5" hidden="1">'06'!$15:$68,'06'!$75:$102,'06'!$109:$125,'06'!#REF!,'06'!$132:$151,'06'!#REF!,'06'!#REF!</definedName>
    <definedName name="Z_F34DD4D3_7189_47AF_B853_F133E36CF124_.wvu.Rows" localSheetId="5" hidden="1">'06'!$15:$68,'06'!$75:$102,'06'!$109:$125,'06'!#REF!,'06'!$132:$151,'06'!#REF!,'06'!#REF!</definedName>
    <definedName name="Z_F82F81AB_9C82_4E79_8CA3_CEB2B994FC06_.wvu.Rows" localSheetId="5" hidden="1">'06'!$15:$68,'06'!$75:$102,'06'!$109:$125,'06'!#REF!,'06'!$132:$151,'06'!#REF!,'06'!#REF!</definedName>
    <definedName name="Z_F89CD5B0_594D_4248_B45D_59008422D599_.wvu.Rows" localSheetId="5" hidden="1">'06'!$15:$68,'06'!$75:$102,'06'!$109:$125,'06'!#REF!,'06'!$132:$151,'06'!#REF!,'06'!#REF!</definedName>
    <definedName name="Z_03FBB0AD_5353_49C6_B595_178BC13C96AE_.wvu.Rows" localSheetId="6" hidden="1">'07'!$15:$68,'07'!$75:$102,'07'!$109:$125,'07'!#REF!,'07'!$132:$151,'07'!#REF!,'07'!#REF!</definedName>
    <definedName name="Z_070961C3_1DC2_4518_83D7_B3F54BC58AE2_.wvu.Rows" localSheetId="6" hidden="1">'07'!$15:$68,'07'!$75:$102,'07'!$109:$125,'07'!#REF!,'07'!$132:$151,'07'!#REF!,'07'!#REF!</definedName>
    <definedName name="Z_0B87D63B_15AD_4587_A73B_CA4B62BDFA01_.wvu.Rows" localSheetId="6" hidden="1">'07'!$15:$68,'07'!$75:$102,'07'!$109:$125,'07'!#REF!,'07'!$132:$151,'07'!#REF!,'07'!#REF!</definedName>
    <definedName name="Z_1B9AB2B5_0A50_46C3_981D_8BE75BF62E46_.wvu.Rows" localSheetId="6" hidden="1">'07'!$15:$68,'07'!$75:$102,'07'!$109:$125,'07'!#REF!,'07'!$132:$151,'07'!#REF!,'07'!#REF!</definedName>
    <definedName name="Z_20A0B2F7_9F51_4E3D_A024_0877F1F98F8D_.wvu.Rows" localSheetId="6" hidden="1">'07'!$15:$68,'07'!$75:$102,'07'!$109:$125,'07'!#REF!,'07'!$132:$151,'07'!#REF!,'07'!#REF!</definedName>
    <definedName name="Z_2C3A3C66_1522_4337_93AC_DFC422DC8462_.wvu.Rows" localSheetId="6" hidden="1">'07'!$15:$68,'07'!$75:$102,'07'!$109:$125,'07'!#REF!,'07'!$132:$151,'07'!#REF!,'07'!#REF!</definedName>
    <definedName name="Z_2E074C0E_3584_4321_A729_0961B34312BF_.wvu.Rows" localSheetId="6" hidden="1">'07'!$15:$68,'07'!$75:$102,'07'!$109:$125,'07'!#REF!,'07'!$132:$151,'07'!#REF!,'07'!#REF!</definedName>
    <definedName name="Z_2FFCC83E_A488_4450_9F9E_FF506EAEF5FC_.wvu.Rows" localSheetId="6" hidden="1">'07'!$15:$68,'07'!$75:$102,'07'!$109:$125,'07'!#REF!,'07'!$132:$151,'07'!#REF!,'07'!#REF!</definedName>
    <definedName name="Z_3351A924_D23D_45D7_8354_55677D787CA4_.wvu.Rows" localSheetId="6" hidden="1">'07'!$15:$68,'07'!$75:$102,'07'!$109:$125,'07'!#REF!,'07'!$132:$151,'07'!#REF!,'07'!#REF!</definedName>
    <definedName name="Z_51E3BC0E_B24A_447A_BC0A_03881122E44E_.wvu.Rows" localSheetId="6" hidden="1">'07'!$15:$68,'07'!$75:$102,'07'!$109:$125,'07'!#REF!,'07'!$132:$151,'07'!#REF!,'07'!#REF!</definedName>
    <definedName name="Z_5C60C8F2_A96A_4286_AB69_6A192D48B52D_.wvu.Rows" localSheetId="6" hidden="1">'07'!$15:$68,'07'!$75:$102,'07'!$109:$125,'07'!#REF!,'07'!$132:$151,'07'!#REF!,'07'!#REF!</definedName>
    <definedName name="Z_667B099C_8E79_4490_AC67_CFE2B9F8FC8D_.wvu.Rows" localSheetId="6" hidden="1">'07'!$15:$68,'07'!$75:$102,'07'!$109:$125,'07'!#REF!,'07'!$132:$151,'07'!#REF!,'07'!#REF!</definedName>
    <definedName name="Z_696C5A08_6B5C_4B07_9B14_11E12159ACF3_.wvu.Rows" localSheetId="6" hidden="1">'07'!$15:$68,'07'!$75:$102,'07'!$109:$125,'07'!#REF!,'07'!#REF!,'07'!#REF!</definedName>
    <definedName name="Z_743813BC_E137_480B_B63F_29E16C4A5D78_.wvu.Rows" localSheetId="6" hidden="1">'07'!$15:$68,'07'!$75:$102,'07'!$109:$125,'07'!#REF!,'07'!$132:$151,'07'!#REF!,'07'!#REF!</definedName>
    <definedName name="Z_7CD6C56D_7191_499D_884D_23F062610490_.wvu.Rows" localSheetId="6" hidden="1">'07'!$15:$68,'07'!$75:$102,'07'!$109:$125,'07'!#REF!,'07'!$132:$151,'07'!#REF!,'07'!#REF!</definedName>
    <definedName name="Z_8AB826A3_3F9F_46E8_8B3C_5D723650CD25_.wvu.Rows" localSheetId="6" hidden="1">'07'!$15:$68,'07'!$75:$102,'07'!$109:$125,'07'!#REF!,'07'!$132:$151,'07'!#REF!,'07'!#REF!</definedName>
    <definedName name="Z_9231B71C_ABB0_4122_BB61_A0E14ED7FAC4_.wvu.Rows" localSheetId="6" hidden="1">'07'!$15:$68,'07'!$75:$102,'07'!$109:$125,'07'!#REF!,'07'!$132:$151,'07'!#REF!,'07'!#REF!</definedName>
    <definedName name="Z_9CE42830_1BFE_4EEE_AD75_1C30A69A86B1_.wvu.Rows" localSheetId="6" hidden="1">'07'!$15:$68,'07'!$75:$102,'07'!$109:$125,'07'!#REF!,'07'!$132:$151,'07'!#REF!,'07'!#REF!</definedName>
    <definedName name="Z_9EA36D12_6C5C_4BE0_9897_E6710354124D_.wvu.Rows" localSheetId="6" hidden="1">'07'!$15:$68,'07'!$75:$102,'07'!$109:$125,'07'!#REF!,'07'!$132:$151,'07'!#REF!,'07'!#REF!</definedName>
    <definedName name="Z_A0F29F5B_FB6E_4C5E_B7A7_CDA651D38207_.wvu.Rows" localSheetId="6" hidden="1">'07'!$15:$68,'07'!$75:$102,'07'!$109:$125,'07'!#REF!,'07'!$132:$151,'07'!#REF!,'07'!#REF!</definedName>
    <definedName name="Z_A567DF6A_4F50_45D4_A9C8_0879E17AFD34_.wvu.Rows" localSheetId="6" hidden="1">'07'!$15:$68,'07'!$75:$102,'07'!$109:$125,'07'!#REF!,'07'!$132:$151,'07'!#REF!,'07'!#REF!</definedName>
    <definedName name="Z_B2CFD8C8_F8F8_47F1_9207_6BE81612C01C_.wvu.Rows" localSheetId="6" hidden="1">'07'!$15:$68,'07'!$75:$102,'07'!$109:$125,'07'!#REF!,'07'!$132:$151,'07'!#REF!,'07'!#REF!</definedName>
    <definedName name="Z_BBF15C7D_3EAF_4D98_9096_5B67F6C46C47_.wvu.Rows" localSheetId="6" hidden="1">'07'!$15:$68,'07'!$75:$102,'07'!$109:$125,'07'!#REF!,'07'!#REF!,'07'!#REF!</definedName>
    <definedName name="Z_C122BF8D_C115_42E1_B73A_F9B38D5EC060_.wvu.Rows" localSheetId="6" hidden="1">'07'!$15:$68,'07'!$75:$102,'07'!$109:$125,'07'!#REF!,'07'!$132:$151,'07'!#REF!,'07'!#REF!</definedName>
    <definedName name="Z_C4D254D6_9D1C_4B3C_972D_15957FD05DD2_.wvu.Rows" localSheetId="6" hidden="1">'07'!$15:$68,'07'!$75:$102,'07'!$109:$125,'07'!#REF!,'07'!$132:$151,'07'!#REF!,'07'!#REF!</definedName>
    <definedName name="Z_D4664C56_FB8A_499D_8E24_CCA12F97FAE9_.wvu.Rows" localSheetId="6" hidden="1">'07'!$15:$68,'07'!$75:$102,'07'!$109:$125,'07'!#REF!,'07'!$132:$151,'07'!#REF!,'07'!#REF!</definedName>
    <definedName name="Z_DD995061_F552_4E13_8D40_A47EBB03245B_.wvu.Rows" localSheetId="6" hidden="1">'07'!$15:$68,'07'!$75:$102,'07'!$109:$125,'07'!#REF!,'07'!$132:$151,'07'!#REF!,'07'!#REF!</definedName>
    <definedName name="Z_DE2F0B4F_79DE_40A0_A13B_9C7F63D3F970_.wvu.Rows" localSheetId="6" hidden="1">'07'!$15:$68,'07'!$75:$102,'07'!$109:$125,'07'!#REF!,'07'!$132:$151,'07'!#REF!,'07'!#REF!</definedName>
    <definedName name="Z_E765F84B_EAF3_44AE_A058_C602C1E67401_.wvu.Rows" localSheetId="6" hidden="1">'07'!$15:$68,'07'!$75:$102,'07'!$109:$125,'07'!#REF!,'07'!$132:$151,'07'!#REF!,'07'!#REF!</definedName>
    <definedName name="Z_F34DD4D3_7189_47AF_B853_F133E36CF124_.wvu.Rows" localSheetId="6" hidden="1">'07'!$15:$68,'07'!$75:$102,'07'!$109:$125,'07'!#REF!,'07'!$132:$151,'07'!#REF!,'07'!#REF!</definedName>
    <definedName name="Z_F82F81AB_9C82_4E79_8CA3_CEB2B994FC06_.wvu.Rows" localSheetId="6" hidden="1">'07'!$15:$68,'07'!$75:$102,'07'!$109:$125,'07'!#REF!,'07'!$132:$151,'07'!#REF!,'07'!#REF!</definedName>
    <definedName name="Z_F89CD5B0_594D_4248_B45D_59008422D599_.wvu.Rows" localSheetId="6" hidden="1">'07'!$15:$68,'07'!$75:$102,'07'!$109:$125,'07'!#REF!,'07'!$132:$151,'07'!#REF!,'07'!#REF!</definedName>
    <definedName name="Z_03FBB0AD_5353_49C6_B595_178BC13C96AE_.wvu.Rows" localSheetId="7" hidden="1">'08'!$15:$68,'08'!$75:$102,'08'!$109:$125,'08'!#REF!,'08'!$132:$151,'08'!#REF!,'08'!#REF!</definedName>
    <definedName name="Z_070961C3_1DC2_4518_83D7_B3F54BC58AE2_.wvu.Rows" localSheetId="7" hidden="1">'08'!$15:$68,'08'!$75:$102,'08'!$109:$125,'08'!#REF!,'08'!$132:$151,'08'!#REF!,'08'!#REF!</definedName>
    <definedName name="Z_0B87D63B_15AD_4587_A73B_CA4B62BDFA01_.wvu.Rows" localSheetId="7" hidden="1">'08'!$15:$68,'08'!$75:$102,'08'!$109:$125,'08'!#REF!,'08'!$132:$151,'08'!#REF!,'08'!#REF!</definedName>
    <definedName name="Z_1B9AB2B5_0A50_46C3_981D_8BE75BF62E46_.wvu.Rows" localSheetId="7" hidden="1">'08'!$15:$68,'08'!$75:$102,'08'!$109:$125,'08'!#REF!,'08'!$132:$151,'08'!#REF!,'08'!#REF!</definedName>
    <definedName name="Z_20A0B2F7_9F51_4E3D_A024_0877F1F98F8D_.wvu.Rows" localSheetId="7" hidden="1">'08'!$15:$68,'08'!$75:$102,'08'!$109:$125,'08'!#REF!,'08'!$132:$151,'08'!#REF!,'08'!#REF!</definedName>
    <definedName name="Z_2C3A3C66_1522_4337_93AC_DFC422DC8462_.wvu.Rows" localSheetId="7" hidden="1">'08'!$15:$68,'08'!$75:$102,'08'!$109:$125,'08'!#REF!,'08'!$132:$151,'08'!#REF!,'08'!#REF!</definedName>
    <definedName name="Z_2E074C0E_3584_4321_A729_0961B34312BF_.wvu.Rows" localSheetId="7" hidden="1">'08'!$15:$68,'08'!$75:$102,'08'!$109:$125,'08'!#REF!,'08'!$132:$151,'08'!#REF!,'08'!#REF!</definedName>
    <definedName name="Z_2FFCC83E_A488_4450_9F9E_FF506EAEF5FC_.wvu.Rows" localSheetId="7" hidden="1">'08'!$15:$68,'08'!$75:$102,'08'!$109:$125,'08'!#REF!,'08'!$132:$151,'08'!#REF!,'08'!#REF!</definedName>
    <definedName name="Z_3351A924_D23D_45D7_8354_55677D787CA4_.wvu.Rows" localSheetId="7" hidden="1">'08'!$15:$68,'08'!$75:$102,'08'!$109:$125,'08'!#REF!,'08'!$132:$151,'08'!#REF!,'08'!#REF!</definedName>
    <definedName name="Z_51E3BC0E_B24A_447A_BC0A_03881122E44E_.wvu.Rows" localSheetId="7" hidden="1">'08'!$15:$68,'08'!$75:$102,'08'!$109:$125,'08'!#REF!,'08'!$132:$151,'08'!#REF!,'08'!#REF!</definedName>
    <definedName name="Z_5C60C8F2_A96A_4286_AB69_6A192D48B52D_.wvu.Rows" localSheetId="7" hidden="1">'08'!$15:$68,'08'!$75:$102,'08'!$109:$125,'08'!#REF!,'08'!$132:$151,'08'!#REF!,'08'!#REF!</definedName>
    <definedName name="Z_667B099C_8E79_4490_AC67_CFE2B9F8FC8D_.wvu.Rows" localSheetId="7" hidden="1">'08'!$15:$68,'08'!$75:$102,'08'!$109:$125,'08'!#REF!,'08'!$132:$151,'08'!#REF!,'08'!#REF!</definedName>
    <definedName name="Z_696C5A08_6B5C_4B07_9B14_11E12159ACF3_.wvu.Rows" localSheetId="7" hidden="1">'08'!$15:$68,'08'!$75:$102,'08'!$109:$125,'08'!#REF!,'08'!#REF!,'08'!#REF!</definedName>
    <definedName name="Z_743813BC_E137_480B_B63F_29E16C4A5D78_.wvu.Rows" localSheetId="7" hidden="1">'08'!$15:$68,'08'!$75:$102,'08'!$109:$125,'08'!#REF!,'08'!$132:$151,'08'!#REF!,'08'!#REF!</definedName>
    <definedName name="Z_7CD6C56D_7191_499D_884D_23F062610490_.wvu.Rows" localSheetId="7" hidden="1">'08'!$15:$68,'08'!$75:$102,'08'!$109:$125,'08'!#REF!,'08'!$132:$151,'08'!#REF!,'08'!#REF!</definedName>
    <definedName name="Z_8AB826A3_3F9F_46E8_8B3C_5D723650CD25_.wvu.Rows" localSheetId="7" hidden="1">'08'!$15:$68,'08'!$75:$102,'08'!$109:$125,'08'!#REF!,'08'!$132:$151,'08'!#REF!,'08'!#REF!</definedName>
    <definedName name="Z_9231B71C_ABB0_4122_BB61_A0E14ED7FAC4_.wvu.Rows" localSheetId="7" hidden="1">'08'!$15:$68,'08'!$75:$102,'08'!$109:$125,'08'!#REF!,'08'!$132:$151,'08'!#REF!,'08'!#REF!</definedName>
    <definedName name="Z_9CE42830_1BFE_4EEE_AD75_1C30A69A86B1_.wvu.Rows" localSheetId="7" hidden="1">'08'!$15:$68,'08'!$75:$102,'08'!$109:$125,'08'!#REF!,'08'!$132:$151,'08'!#REF!,'08'!#REF!</definedName>
    <definedName name="Z_9EA36D12_6C5C_4BE0_9897_E6710354124D_.wvu.Rows" localSheetId="7" hidden="1">'08'!$15:$68,'08'!$75:$102,'08'!$109:$125,'08'!#REF!,'08'!$132:$151,'08'!#REF!,'08'!#REF!</definedName>
    <definedName name="Z_A0F29F5B_FB6E_4C5E_B7A7_CDA651D38207_.wvu.Rows" localSheetId="7" hidden="1">'08'!$15:$68,'08'!$75:$102,'08'!$109:$125,'08'!#REF!,'08'!$132:$151,'08'!#REF!,'08'!#REF!</definedName>
    <definedName name="Z_A567DF6A_4F50_45D4_A9C8_0879E17AFD34_.wvu.Rows" localSheetId="7" hidden="1">'08'!$15:$68,'08'!$75:$102,'08'!$109:$125,'08'!#REF!,'08'!$132:$151,'08'!#REF!,'08'!#REF!</definedName>
    <definedName name="Z_B2CFD8C8_F8F8_47F1_9207_6BE81612C01C_.wvu.Rows" localSheetId="7" hidden="1">'08'!$15:$68,'08'!$75:$102,'08'!$109:$125,'08'!#REF!,'08'!$132:$151,'08'!#REF!,'08'!#REF!</definedName>
    <definedName name="Z_BBF15C7D_3EAF_4D98_9096_5B67F6C46C47_.wvu.Rows" localSheetId="7" hidden="1">'08'!$15:$68,'08'!$75:$102,'08'!$109:$125,'08'!#REF!,'08'!#REF!,'08'!#REF!</definedName>
    <definedName name="Z_C122BF8D_C115_42E1_B73A_F9B38D5EC060_.wvu.Rows" localSheetId="7" hidden="1">'08'!$15:$68,'08'!$75:$102,'08'!$109:$125,'08'!#REF!,'08'!$132:$151,'08'!#REF!,'08'!#REF!</definedName>
    <definedName name="Z_C4D254D6_9D1C_4B3C_972D_15957FD05DD2_.wvu.Rows" localSheetId="7" hidden="1">'08'!$15:$68,'08'!$75:$102,'08'!$109:$125,'08'!#REF!,'08'!$132:$151,'08'!#REF!,'08'!#REF!</definedName>
    <definedName name="Z_D4664C56_FB8A_499D_8E24_CCA12F97FAE9_.wvu.Rows" localSheetId="7" hidden="1">'08'!$15:$68,'08'!$75:$102,'08'!$109:$125,'08'!#REF!,'08'!$132:$151,'08'!#REF!,'08'!#REF!</definedName>
    <definedName name="Z_DD995061_F552_4E13_8D40_A47EBB03245B_.wvu.Rows" localSheetId="7" hidden="1">'08'!$15:$68,'08'!$75:$102,'08'!$109:$125,'08'!#REF!,'08'!$132:$151,'08'!#REF!,'08'!#REF!</definedName>
    <definedName name="Z_DE2F0B4F_79DE_40A0_A13B_9C7F63D3F970_.wvu.Rows" localSheetId="7" hidden="1">'08'!$15:$68,'08'!$75:$102,'08'!$109:$125,'08'!#REF!,'08'!$132:$151,'08'!#REF!,'08'!#REF!</definedName>
    <definedName name="Z_E765F84B_EAF3_44AE_A058_C602C1E67401_.wvu.Rows" localSheetId="7" hidden="1">'08'!$15:$68,'08'!$75:$102,'08'!$109:$125,'08'!#REF!,'08'!$132:$151,'08'!#REF!,'08'!#REF!</definedName>
    <definedName name="Z_F34DD4D3_7189_47AF_B853_F133E36CF124_.wvu.Rows" localSheetId="7" hidden="1">'08'!$15:$68,'08'!$75:$102,'08'!$109:$125,'08'!#REF!,'08'!$132:$151,'08'!#REF!,'08'!#REF!</definedName>
    <definedName name="Z_F82F81AB_9C82_4E79_8CA3_CEB2B994FC06_.wvu.Rows" localSheetId="7" hidden="1">'08'!$15:$68,'08'!$75:$102,'08'!$109:$125,'08'!#REF!,'08'!$132:$151,'08'!#REF!,'08'!#REF!</definedName>
    <definedName name="Z_F89CD5B0_594D_4248_B45D_59008422D599_.wvu.Rows" localSheetId="7" hidden="1">'08'!$15:$68,'08'!$75:$102,'08'!$109:$125,'08'!#REF!,'08'!$132:$151,'08'!#REF!,'08'!#REF!</definedName>
    <definedName name="Z_03FBB0AD_5353_49C6_B595_178BC13C96AE_.wvu.Rows" localSheetId="8" hidden="1">'09'!$15:$68,'09'!$75:$102,'09'!$109:$125,'09'!#REF!,'09'!$132:$151,'09'!#REF!,'09'!#REF!</definedName>
    <definedName name="Z_070961C3_1DC2_4518_83D7_B3F54BC58AE2_.wvu.Rows" localSheetId="8" hidden="1">'09'!$15:$68,'09'!$75:$102,'09'!$109:$125,'09'!#REF!,'09'!$132:$151,'09'!#REF!,'09'!#REF!</definedName>
    <definedName name="Z_0B87D63B_15AD_4587_A73B_CA4B62BDFA01_.wvu.Rows" localSheetId="8" hidden="1">'09'!$15:$68,'09'!$75:$102,'09'!$109:$125,'09'!#REF!,'09'!$132:$151,'09'!#REF!,'09'!#REF!</definedName>
    <definedName name="Z_1B9AB2B5_0A50_46C3_981D_8BE75BF62E46_.wvu.Rows" localSheetId="8" hidden="1">'09'!$15:$68,'09'!$75:$102,'09'!$109:$125,'09'!#REF!,'09'!$132:$151,'09'!#REF!,'09'!#REF!</definedName>
    <definedName name="Z_20A0B2F7_9F51_4E3D_A024_0877F1F98F8D_.wvu.Rows" localSheetId="8" hidden="1">'09'!$15:$68,'09'!$75:$102,'09'!$109:$125,'09'!#REF!,'09'!$132:$151,'09'!#REF!,'09'!#REF!</definedName>
    <definedName name="Z_2C3A3C66_1522_4337_93AC_DFC422DC8462_.wvu.Rows" localSheetId="8" hidden="1">'09'!$15:$68,'09'!$75:$102,'09'!$109:$125,'09'!#REF!,'09'!$132:$151,'09'!#REF!,'09'!#REF!</definedName>
    <definedName name="Z_2E074C0E_3584_4321_A729_0961B34312BF_.wvu.Rows" localSheetId="8" hidden="1">'09'!$15:$68,'09'!$75:$102,'09'!$109:$125,'09'!#REF!,'09'!$132:$151,'09'!#REF!,'09'!#REF!</definedName>
    <definedName name="Z_2FFCC83E_A488_4450_9F9E_FF506EAEF5FC_.wvu.Rows" localSheetId="8" hidden="1">'09'!$15:$68,'09'!$75:$102,'09'!$109:$125,'09'!#REF!,'09'!$132:$151,'09'!#REF!,'09'!#REF!</definedName>
    <definedName name="Z_3351A924_D23D_45D7_8354_55677D787CA4_.wvu.Rows" localSheetId="8" hidden="1">'09'!$15:$68,'09'!$75:$102,'09'!$109:$125,'09'!#REF!,'09'!$132:$151,'09'!#REF!,'09'!#REF!</definedName>
    <definedName name="Z_51E3BC0E_B24A_447A_BC0A_03881122E44E_.wvu.Rows" localSheetId="8" hidden="1">'09'!$15:$68,'09'!$75:$102,'09'!$109:$125,'09'!#REF!,'09'!$132:$151,'09'!#REF!,'09'!#REF!</definedName>
    <definedName name="Z_5C60C8F2_A96A_4286_AB69_6A192D48B52D_.wvu.Rows" localSheetId="8" hidden="1">'09'!$15:$68,'09'!$75:$102,'09'!$109:$125,'09'!#REF!,'09'!$132:$151,'09'!#REF!,'09'!#REF!</definedName>
    <definedName name="Z_667B099C_8E79_4490_AC67_CFE2B9F8FC8D_.wvu.Rows" localSheetId="8" hidden="1">'09'!$15:$68,'09'!$75:$102,'09'!$109:$125,'09'!#REF!,'09'!$132:$151,'09'!#REF!,'09'!#REF!</definedName>
    <definedName name="Z_696C5A08_6B5C_4B07_9B14_11E12159ACF3_.wvu.Rows" localSheetId="8" hidden="1">'09'!$15:$68,'09'!$75:$102,'09'!$109:$125,'09'!#REF!,'09'!#REF!,'09'!#REF!</definedName>
    <definedName name="Z_743813BC_E137_480B_B63F_29E16C4A5D78_.wvu.Rows" localSheetId="8" hidden="1">'09'!$15:$68,'09'!$75:$102,'09'!$109:$125,'09'!#REF!,'09'!$132:$151,'09'!#REF!,'09'!#REF!</definedName>
    <definedName name="Z_7CD6C56D_7191_499D_884D_23F062610490_.wvu.Rows" localSheetId="8" hidden="1">'09'!$15:$68,'09'!$75:$102,'09'!$109:$125,'09'!#REF!,'09'!$132:$151,'09'!#REF!,'09'!#REF!</definedName>
    <definedName name="Z_8AB826A3_3F9F_46E8_8B3C_5D723650CD25_.wvu.Rows" localSheetId="8" hidden="1">'09'!$15:$68,'09'!$75:$102,'09'!$109:$125,'09'!#REF!,'09'!$132:$151,'09'!#REF!,'09'!#REF!</definedName>
    <definedName name="Z_9231B71C_ABB0_4122_BB61_A0E14ED7FAC4_.wvu.Rows" localSheetId="8" hidden="1">'09'!$15:$68,'09'!$75:$102,'09'!$109:$125,'09'!#REF!,'09'!$132:$151,'09'!#REF!,'09'!#REF!</definedName>
    <definedName name="Z_9CE42830_1BFE_4EEE_AD75_1C30A69A86B1_.wvu.Rows" localSheetId="8" hidden="1">'09'!$15:$68,'09'!$75:$102,'09'!$109:$125,'09'!#REF!,'09'!$132:$151,'09'!#REF!,'09'!#REF!</definedName>
    <definedName name="Z_9EA36D12_6C5C_4BE0_9897_E6710354124D_.wvu.Rows" localSheetId="8" hidden="1">'09'!$15:$68,'09'!$75:$102,'09'!$109:$125,'09'!#REF!,'09'!$132:$151,'09'!#REF!,'09'!#REF!</definedName>
    <definedName name="Z_A0F29F5B_FB6E_4C5E_B7A7_CDA651D38207_.wvu.Rows" localSheetId="8" hidden="1">'09'!$15:$68,'09'!$75:$102,'09'!$109:$125,'09'!#REF!,'09'!$132:$151,'09'!#REF!,'09'!#REF!</definedName>
    <definedName name="Z_A567DF6A_4F50_45D4_A9C8_0879E17AFD34_.wvu.Rows" localSheetId="8" hidden="1">'09'!$15:$68,'09'!$75:$102,'09'!$109:$125,'09'!#REF!,'09'!$132:$151,'09'!#REF!,'09'!#REF!</definedName>
    <definedName name="Z_B2CFD8C8_F8F8_47F1_9207_6BE81612C01C_.wvu.Rows" localSheetId="8" hidden="1">'09'!$15:$68,'09'!$75:$102,'09'!$109:$125,'09'!#REF!,'09'!$132:$151,'09'!#REF!,'09'!#REF!</definedName>
    <definedName name="Z_BBF15C7D_3EAF_4D98_9096_5B67F6C46C47_.wvu.Rows" localSheetId="8" hidden="1">'09'!$15:$68,'09'!$75:$102,'09'!$109:$125,'09'!#REF!,'09'!#REF!,'09'!#REF!</definedName>
    <definedName name="Z_C122BF8D_C115_42E1_B73A_F9B38D5EC060_.wvu.Rows" localSheetId="8" hidden="1">'09'!$15:$68,'09'!$75:$102,'09'!$109:$125,'09'!#REF!,'09'!$132:$151,'09'!#REF!,'09'!#REF!</definedName>
    <definedName name="Z_C4D254D6_9D1C_4B3C_972D_15957FD05DD2_.wvu.Rows" localSheetId="8" hidden="1">'09'!$15:$68,'09'!$75:$102,'09'!$109:$125,'09'!#REF!,'09'!$132:$151,'09'!#REF!,'09'!#REF!</definedName>
    <definedName name="Z_D4664C56_FB8A_499D_8E24_CCA12F97FAE9_.wvu.Rows" localSheetId="8" hidden="1">'09'!$15:$68,'09'!$75:$102,'09'!$109:$125,'09'!#REF!,'09'!$132:$151,'09'!#REF!,'09'!#REF!</definedName>
    <definedName name="Z_DD995061_F552_4E13_8D40_A47EBB03245B_.wvu.Rows" localSheetId="8" hidden="1">'09'!$15:$68,'09'!$75:$102,'09'!$109:$125,'09'!#REF!,'09'!$132:$151,'09'!#REF!,'09'!#REF!</definedName>
    <definedName name="Z_DE2F0B4F_79DE_40A0_A13B_9C7F63D3F970_.wvu.Rows" localSheetId="8" hidden="1">'09'!$15:$68,'09'!$75:$102,'09'!$109:$125,'09'!#REF!,'09'!$132:$151,'09'!#REF!,'09'!#REF!</definedName>
    <definedName name="Z_E765F84B_EAF3_44AE_A058_C602C1E67401_.wvu.Rows" localSheetId="8" hidden="1">'09'!$15:$68,'09'!$75:$102,'09'!$109:$125,'09'!#REF!,'09'!$132:$151,'09'!#REF!,'09'!#REF!</definedName>
    <definedName name="Z_F34DD4D3_7189_47AF_B853_F133E36CF124_.wvu.Rows" localSheetId="8" hidden="1">'09'!$15:$68,'09'!$75:$102,'09'!$109:$125,'09'!#REF!,'09'!$132:$151,'09'!#REF!,'09'!#REF!</definedName>
    <definedName name="Z_F82F81AB_9C82_4E79_8CA3_CEB2B994FC06_.wvu.Rows" localSheetId="8" hidden="1">'09'!$15:$68,'09'!$75:$102,'09'!$109:$125,'09'!#REF!,'09'!$132:$151,'09'!#REF!,'09'!#REF!</definedName>
    <definedName name="Z_F89CD5B0_594D_4248_B45D_59008422D599_.wvu.Rows" localSheetId="8" hidden="1">'09'!$15:$68,'09'!$75:$102,'09'!$109:$125,'09'!#REF!,'09'!$132:$151,'09'!#REF!,'09'!#REF!</definedName>
    <definedName name="Z_03FBB0AD_5353_49C6_B595_178BC13C96AE_.wvu.Rows" localSheetId="9" hidden="1">'10'!$15:$68,'10'!$75:$102,'10'!$109:$125,'10'!#REF!,'10'!$132:$151,'10'!#REF!,'10'!#REF!</definedName>
    <definedName name="Z_070961C3_1DC2_4518_83D7_B3F54BC58AE2_.wvu.Rows" localSheetId="9" hidden="1">'10'!$15:$68,'10'!$75:$102,'10'!$109:$125,'10'!#REF!,'10'!$132:$151,'10'!#REF!,'10'!#REF!</definedName>
    <definedName name="Z_0B87D63B_15AD_4587_A73B_CA4B62BDFA01_.wvu.Rows" localSheetId="9" hidden="1">'10'!$15:$68,'10'!$75:$102,'10'!$109:$125,'10'!#REF!,'10'!$132:$151,'10'!#REF!,'10'!#REF!</definedName>
    <definedName name="Z_1B9AB2B5_0A50_46C3_981D_8BE75BF62E46_.wvu.Rows" localSheetId="9" hidden="1">'10'!$15:$68,'10'!$75:$102,'10'!$109:$125,'10'!#REF!,'10'!$132:$151,'10'!#REF!,'10'!#REF!</definedName>
    <definedName name="Z_20A0B2F7_9F51_4E3D_A024_0877F1F98F8D_.wvu.Rows" localSheetId="9" hidden="1">'10'!$15:$68,'10'!$75:$102,'10'!$109:$125,'10'!#REF!,'10'!$132:$151,'10'!#REF!,'10'!#REF!</definedName>
    <definedName name="Z_2C3A3C66_1522_4337_93AC_DFC422DC8462_.wvu.Rows" localSheetId="9" hidden="1">'10'!$15:$68,'10'!$75:$102,'10'!$109:$125,'10'!#REF!,'10'!$132:$151,'10'!#REF!,'10'!#REF!</definedName>
    <definedName name="Z_2E074C0E_3584_4321_A729_0961B34312BF_.wvu.Rows" localSheetId="9" hidden="1">'10'!$15:$68,'10'!$75:$102,'10'!$109:$125,'10'!#REF!,'10'!$132:$151,'10'!#REF!,'10'!#REF!</definedName>
    <definedName name="Z_2FFCC83E_A488_4450_9F9E_FF506EAEF5FC_.wvu.Rows" localSheetId="9" hidden="1">'10'!$15:$68,'10'!$75:$102,'10'!$109:$125,'10'!#REF!,'10'!$132:$151,'10'!#REF!,'10'!#REF!</definedName>
    <definedName name="Z_3351A924_D23D_45D7_8354_55677D787CA4_.wvu.Rows" localSheetId="9" hidden="1">'10'!$15:$68,'10'!$75:$102,'10'!$109:$125,'10'!#REF!,'10'!$132:$151,'10'!#REF!,'10'!#REF!</definedName>
    <definedName name="Z_51E3BC0E_B24A_447A_BC0A_03881122E44E_.wvu.Rows" localSheetId="9" hidden="1">'10'!$15:$68,'10'!$75:$102,'10'!$109:$125,'10'!#REF!,'10'!$132:$151,'10'!#REF!,'10'!#REF!</definedName>
    <definedName name="Z_5C60C8F2_A96A_4286_AB69_6A192D48B52D_.wvu.Rows" localSheetId="9" hidden="1">'10'!$15:$68,'10'!$75:$102,'10'!$109:$125,'10'!#REF!,'10'!$132:$151,'10'!#REF!,'10'!#REF!</definedName>
    <definedName name="Z_667B099C_8E79_4490_AC67_CFE2B9F8FC8D_.wvu.Rows" localSheetId="9" hidden="1">'10'!$15:$68,'10'!$75:$102,'10'!$109:$125,'10'!#REF!,'10'!$132:$151,'10'!#REF!,'10'!#REF!</definedName>
    <definedName name="Z_696C5A08_6B5C_4B07_9B14_11E12159ACF3_.wvu.Rows" localSheetId="9" hidden="1">'10'!$15:$68,'10'!$75:$102,'10'!$109:$125,'10'!#REF!,'10'!#REF!,'10'!#REF!</definedName>
    <definedName name="Z_743813BC_E137_480B_B63F_29E16C4A5D78_.wvu.Rows" localSheetId="9" hidden="1">'10'!$15:$68,'10'!$75:$102,'10'!$109:$125,'10'!#REF!,'10'!$132:$151,'10'!#REF!,'10'!#REF!</definedName>
    <definedName name="Z_7CD6C56D_7191_499D_884D_23F062610490_.wvu.Rows" localSheetId="9" hidden="1">'10'!$15:$68,'10'!$75:$102,'10'!$109:$125,'10'!#REF!,'10'!$132:$151,'10'!#REF!,'10'!#REF!</definedName>
    <definedName name="Z_8AB826A3_3F9F_46E8_8B3C_5D723650CD25_.wvu.Rows" localSheetId="9" hidden="1">'10'!$15:$68,'10'!$75:$102,'10'!$109:$125,'10'!#REF!,'10'!$132:$151,'10'!#REF!,'10'!#REF!</definedName>
    <definedName name="Z_9231B71C_ABB0_4122_BB61_A0E14ED7FAC4_.wvu.Rows" localSheetId="9" hidden="1">'10'!$15:$68,'10'!$75:$102,'10'!$109:$125,'10'!#REF!,'10'!$132:$151,'10'!#REF!,'10'!#REF!</definedName>
    <definedName name="Z_9CE42830_1BFE_4EEE_AD75_1C30A69A86B1_.wvu.Rows" localSheetId="9" hidden="1">'10'!$15:$68,'10'!$75:$102,'10'!$109:$125,'10'!#REF!,'10'!$132:$151,'10'!#REF!,'10'!#REF!</definedName>
    <definedName name="Z_9EA36D12_6C5C_4BE0_9897_E6710354124D_.wvu.Rows" localSheetId="9" hidden="1">'10'!$15:$68,'10'!$75:$102,'10'!$109:$125,'10'!#REF!,'10'!$132:$151,'10'!#REF!,'10'!#REF!</definedName>
    <definedName name="Z_A0F29F5B_FB6E_4C5E_B7A7_CDA651D38207_.wvu.Rows" localSheetId="9" hidden="1">'10'!$15:$68,'10'!$75:$102,'10'!$109:$125,'10'!#REF!,'10'!$132:$151,'10'!#REF!,'10'!#REF!</definedName>
    <definedName name="Z_A567DF6A_4F50_45D4_A9C8_0879E17AFD34_.wvu.Rows" localSheetId="9" hidden="1">'10'!$15:$68,'10'!$75:$102,'10'!$109:$125,'10'!#REF!,'10'!$132:$151,'10'!#REF!,'10'!#REF!</definedName>
    <definedName name="Z_B2CFD8C8_F8F8_47F1_9207_6BE81612C01C_.wvu.Rows" localSheetId="9" hidden="1">'10'!$15:$68,'10'!$75:$102,'10'!$109:$125,'10'!#REF!,'10'!$132:$151,'10'!#REF!,'10'!#REF!</definedName>
    <definedName name="Z_BBF15C7D_3EAF_4D98_9096_5B67F6C46C47_.wvu.Rows" localSheetId="9" hidden="1">'10'!$15:$68,'10'!$75:$102,'10'!$109:$125,'10'!#REF!,'10'!#REF!,'10'!#REF!</definedName>
    <definedName name="Z_C122BF8D_C115_42E1_B73A_F9B38D5EC060_.wvu.Rows" localSheetId="9" hidden="1">'10'!$15:$68,'10'!$75:$102,'10'!$109:$125,'10'!#REF!,'10'!$132:$151,'10'!#REF!,'10'!#REF!</definedName>
    <definedName name="Z_C4D254D6_9D1C_4B3C_972D_15957FD05DD2_.wvu.Rows" localSheetId="9" hidden="1">'10'!$15:$68,'10'!$75:$102,'10'!$109:$125,'10'!#REF!,'10'!$132:$151,'10'!#REF!,'10'!#REF!</definedName>
    <definedName name="Z_D4664C56_FB8A_499D_8E24_CCA12F97FAE9_.wvu.Rows" localSheetId="9" hidden="1">'10'!$15:$68,'10'!$75:$102,'10'!$109:$125,'10'!#REF!,'10'!$132:$151,'10'!#REF!,'10'!#REF!</definedName>
    <definedName name="Z_DD995061_F552_4E13_8D40_A47EBB03245B_.wvu.Rows" localSheetId="9" hidden="1">'10'!$15:$68,'10'!$75:$102,'10'!$109:$125,'10'!#REF!,'10'!$132:$151,'10'!#REF!,'10'!#REF!</definedName>
    <definedName name="Z_DE2F0B4F_79DE_40A0_A13B_9C7F63D3F970_.wvu.Rows" localSheetId="9" hidden="1">'10'!$15:$68,'10'!$75:$102,'10'!$109:$125,'10'!#REF!,'10'!$132:$151,'10'!#REF!,'10'!#REF!</definedName>
    <definedName name="Z_E765F84B_EAF3_44AE_A058_C602C1E67401_.wvu.Rows" localSheetId="9" hidden="1">'10'!$15:$68,'10'!$75:$102,'10'!$109:$125,'10'!#REF!,'10'!$132:$151,'10'!#REF!,'10'!#REF!</definedName>
    <definedName name="Z_F34DD4D3_7189_47AF_B853_F133E36CF124_.wvu.Rows" localSheetId="9" hidden="1">'10'!$15:$68,'10'!$75:$102,'10'!$109:$125,'10'!#REF!,'10'!$132:$151,'10'!#REF!,'10'!#REF!</definedName>
    <definedName name="Z_F82F81AB_9C82_4E79_8CA3_CEB2B994FC06_.wvu.Rows" localSheetId="9" hidden="1">'10'!$15:$68,'10'!$75:$102,'10'!$109:$125,'10'!#REF!,'10'!$132:$151,'10'!#REF!,'10'!#REF!</definedName>
    <definedName name="Z_F89CD5B0_594D_4248_B45D_59008422D599_.wvu.Rows" localSheetId="9" hidden="1">'10'!$15:$68,'10'!$75:$102,'10'!$109:$125,'10'!#REF!,'10'!$132:$151,'10'!#REF!,'10'!#REF!</definedName>
    <definedName name="Z_03FBB0AD_5353_49C6_B595_178BC13C96AE_.wvu.Rows" localSheetId="10" hidden="1">'11'!$15:$68,'11'!$75:$102,'11'!$109:$125,'11'!#REF!,'11'!$132:$151,'11'!#REF!,'11'!#REF!</definedName>
    <definedName name="Z_070961C3_1DC2_4518_83D7_B3F54BC58AE2_.wvu.Rows" localSheetId="10" hidden="1">'11'!$15:$68,'11'!$75:$102,'11'!$109:$125,'11'!#REF!,'11'!$132:$151,'11'!#REF!,'11'!#REF!</definedName>
    <definedName name="Z_0B87D63B_15AD_4587_A73B_CA4B62BDFA01_.wvu.Rows" localSheetId="10" hidden="1">'11'!$15:$68,'11'!$75:$102,'11'!$109:$125,'11'!#REF!,'11'!$132:$151,'11'!#REF!,'11'!#REF!</definedName>
    <definedName name="Z_1B9AB2B5_0A50_46C3_981D_8BE75BF62E46_.wvu.Rows" localSheetId="10" hidden="1">'11'!$15:$68,'11'!$75:$102,'11'!$109:$125,'11'!#REF!,'11'!$132:$151,'11'!#REF!,'11'!#REF!</definedName>
    <definedName name="Z_20A0B2F7_9F51_4E3D_A024_0877F1F98F8D_.wvu.Rows" localSheetId="10" hidden="1">'11'!$15:$68,'11'!$75:$102,'11'!$109:$125,'11'!#REF!,'11'!$132:$151,'11'!#REF!,'11'!#REF!</definedName>
    <definedName name="Z_2C3A3C66_1522_4337_93AC_DFC422DC8462_.wvu.Rows" localSheetId="10" hidden="1">'11'!$15:$68,'11'!$75:$102,'11'!$109:$125,'11'!#REF!,'11'!$132:$151,'11'!#REF!,'11'!#REF!</definedName>
    <definedName name="Z_2E074C0E_3584_4321_A729_0961B34312BF_.wvu.Rows" localSheetId="10" hidden="1">'11'!$15:$68,'11'!$75:$102,'11'!$109:$125,'11'!#REF!,'11'!$132:$151,'11'!#REF!,'11'!#REF!</definedName>
    <definedName name="Z_2FFCC83E_A488_4450_9F9E_FF506EAEF5FC_.wvu.Rows" localSheetId="10" hidden="1">'11'!$15:$68,'11'!$75:$102,'11'!$109:$125,'11'!#REF!,'11'!$132:$151,'11'!#REF!,'11'!#REF!</definedName>
    <definedName name="Z_3351A924_D23D_45D7_8354_55677D787CA4_.wvu.Rows" localSheetId="10" hidden="1">'11'!$15:$68,'11'!$75:$102,'11'!$109:$125,'11'!#REF!,'11'!$132:$151,'11'!#REF!,'11'!#REF!</definedName>
    <definedName name="Z_51E3BC0E_B24A_447A_BC0A_03881122E44E_.wvu.Rows" localSheetId="10" hidden="1">'11'!$15:$68,'11'!$75:$102,'11'!$109:$125,'11'!#REF!,'11'!$132:$151,'11'!#REF!,'11'!#REF!</definedName>
    <definedName name="Z_5C60C8F2_A96A_4286_AB69_6A192D48B52D_.wvu.Rows" localSheetId="10" hidden="1">'11'!$15:$68,'11'!$75:$102,'11'!$109:$125,'11'!#REF!,'11'!$132:$151,'11'!#REF!,'11'!#REF!</definedName>
    <definedName name="Z_667B099C_8E79_4490_AC67_CFE2B9F8FC8D_.wvu.Rows" localSheetId="10" hidden="1">'11'!$15:$68,'11'!$75:$102,'11'!$109:$125,'11'!#REF!,'11'!$132:$151,'11'!#REF!,'11'!#REF!</definedName>
    <definedName name="Z_696C5A08_6B5C_4B07_9B14_11E12159ACF3_.wvu.Rows" localSheetId="10" hidden="1">'11'!$15:$68,'11'!$75:$102,'11'!$109:$125,'11'!#REF!,'11'!#REF!,'11'!#REF!</definedName>
    <definedName name="Z_743813BC_E137_480B_B63F_29E16C4A5D78_.wvu.Rows" localSheetId="10" hidden="1">'11'!$15:$68,'11'!$75:$102,'11'!$109:$125,'11'!#REF!,'11'!$132:$151,'11'!#REF!,'11'!#REF!</definedName>
    <definedName name="Z_7CD6C56D_7191_499D_884D_23F062610490_.wvu.Rows" localSheetId="10" hidden="1">'11'!$15:$68,'11'!$75:$102,'11'!$109:$125,'11'!#REF!,'11'!$132:$151,'11'!#REF!,'11'!#REF!</definedName>
    <definedName name="Z_8AB826A3_3F9F_46E8_8B3C_5D723650CD25_.wvu.Rows" localSheetId="10" hidden="1">'11'!$15:$68,'11'!$75:$102,'11'!$109:$125,'11'!#REF!,'11'!$132:$151,'11'!#REF!,'11'!#REF!</definedName>
    <definedName name="Z_9231B71C_ABB0_4122_BB61_A0E14ED7FAC4_.wvu.Rows" localSheetId="10" hidden="1">'11'!$15:$68,'11'!$75:$102,'11'!$109:$125,'11'!#REF!,'11'!$132:$151,'11'!#REF!,'11'!#REF!</definedName>
    <definedName name="Z_9CE42830_1BFE_4EEE_AD75_1C30A69A86B1_.wvu.Rows" localSheetId="10" hidden="1">'11'!$15:$68,'11'!$75:$102,'11'!$109:$125,'11'!#REF!,'11'!$132:$151,'11'!#REF!,'11'!#REF!</definedName>
    <definedName name="Z_9EA36D12_6C5C_4BE0_9897_E6710354124D_.wvu.Rows" localSheetId="10" hidden="1">'11'!$15:$68,'11'!$75:$102,'11'!$109:$125,'11'!#REF!,'11'!$132:$151,'11'!#REF!,'11'!#REF!</definedName>
    <definedName name="Z_A0F29F5B_FB6E_4C5E_B7A7_CDA651D38207_.wvu.Rows" localSheetId="10" hidden="1">'11'!$15:$68,'11'!$75:$102,'11'!$109:$125,'11'!#REF!,'11'!$132:$151,'11'!#REF!,'11'!#REF!</definedName>
    <definedName name="Z_A567DF6A_4F50_45D4_A9C8_0879E17AFD34_.wvu.Rows" localSheetId="10" hidden="1">'11'!$15:$68,'11'!$75:$102,'11'!$109:$125,'11'!#REF!,'11'!$132:$151,'11'!#REF!,'11'!#REF!</definedName>
    <definedName name="Z_B2CFD8C8_F8F8_47F1_9207_6BE81612C01C_.wvu.Rows" localSheetId="10" hidden="1">'11'!$15:$68,'11'!$75:$102,'11'!$109:$125,'11'!#REF!,'11'!$132:$151,'11'!#REF!,'11'!#REF!</definedName>
    <definedName name="Z_BBF15C7D_3EAF_4D98_9096_5B67F6C46C47_.wvu.Rows" localSheetId="10" hidden="1">'11'!$15:$68,'11'!$75:$102,'11'!$109:$125,'11'!#REF!,'11'!#REF!,'11'!#REF!</definedName>
    <definedName name="Z_C122BF8D_C115_42E1_B73A_F9B38D5EC060_.wvu.Rows" localSheetId="10" hidden="1">'11'!$15:$68,'11'!$75:$102,'11'!$109:$125,'11'!#REF!,'11'!$132:$151,'11'!#REF!,'11'!#REF!</definedName>
    <definedName name="Z_C4D254D6_9D1C_4B3C_972D_15957FD05DD2_.wvu.Rows" localSheetId="10" hidden="1">'11'!$15:$68,'11'!$75:$102,'11'!$109:$125,'11'!#REF!,'11'!$132:$151,'11'!#REF!,'11'!#REF!</definedName>
    <definedName name="Z_D4664C56_FB8A_499D_8E24_CCA12F97FAE9_.wvu.Rows" localSheetId="10" hidden="1">'11'!$15:$68,'11'!$75:$102,'11'!$109:$125,'11'!#REF!,'11'!$132:$151,'11'!#REF!,'11'!#REF!</definedName>
    <definedName name="Z_DD995061_F552_4E13_8D40_A47EBB03245B_.wvu.Rows" localSheetId="10" hidden="1">'11'!$15:$68,'11'!$75:$102,'11'!$109:$125,'11'!#REF!,'11'!$132:$151,'11'!#REF!,'11'!#REF!</definedName>
    <definedName name="Z_DE2F0B4F_79DE_40A0_A13B_9C7F63D3F970_.wvu.Rows" localSheetId="10" hidden="1">'11'!$15:$68,'11'!$75:$102,'11'!$109:$125,'11'!#REF!,'11'!$132:$151,'11'!#REF!,'11'!#REF!</definedName>
    <definedName name="Z_E765F84B_EAF3_44AE_A058_C602C1E67401_.wvu.Rows" localSheetId="10" hidden="1">'11'!$15:$68,'11'!$75:$102,'11'!$109:$125,'11'!#REF!,'11'!$132:$151,'11'!#REF!,'11'!#REF!</definedName>
    <definedName name="Z_F34DD4D3_7189_47AF_B853_F133E36CF124_.wvu.Rows" localSheetId="10" hidden="1">'11'!$15:$68,'11'!$75:$102,'11'!$109:$125,'11'!#REF!,'11'!$132:$151,'11'!#REF!,'11'!#REF!</definedName>
    <definedName name="Z_F82F81AB_9C82_4E79_8CA3_CEB2B994FC06_.wvu.Rows" localSheetId="10" hidden="1">'11'!$15:$68,'11'!$75:$102,'11'!$109:$125,'11'!#REF!,'11'!$132:$151,'11'!#REF!,'11'!#REF!</definedName>
    <definedName name="Z_F89CD5B0_594D_4248_B45D_59008422D599_.wvu.Rows" localSheetId="10" hidden="1">'11'!$15:$68,'11'!$75:$102,'11'!$109:$125,'11'!#REF!,'11'!$132:$151,'11'!#REF!,'11'!#REF!</definedName>
    <definedName name="Z_03FBB0AD_5353_49C6_B595_178BC13C96AE_.wvu.Rows" localSheetId="11" hidden="1">'12'!$15:$68,'12'!$75:$102,'12'!$109:$125,'12'!#REF!,'12'!$132:$151,'12'!#REF!,'12'!#REF!</definedName>
    <definedName name="Z_070961C3_1DC2_4518_83D7_B3F54BC58AE2_.wvu.Rows" localSheetId="11" hidden="1">'12'!$15:$68,'12'!$75:$102,'12'!$109:$125,'12'!#REF!,'12'!$132:$151,'12'!#REF!,'12'!#REF!</definedName>
    <definedName name="Z_0B87D63B_15AD_4587_A73B_CA4B62BDFA01_.wvu.Rows" localSheetId="11" hidden="1">'12'!$15:$68,'12'!$75:$102,'12'!$109:$125,'12'!#REF!,'12'!$132:$151,'12'!#REF!,'12'!#REF!</definedName>
    <definedName name="Z_1B9AB2B5_0A50_46C3_981D_8BE75BF62E46_.wvu.Rows" localSheetId="11" hidden="1">'12'!$15:$68,'12'!$75:$102,'12'!$109:$125,'12'!#REF!,'12'!$132:$151,'12'!#REF!,'12'!#REF!</definedName>
    <definedName name="Z_20A0B2F7_9F51_4E3D_A024_0877F1F98F8D_.wvu.Rows" localSheetId="11" hidden="1">'12'!$15:$68,'12'!$75:$102,'12'!$109:$125,'12'!#REF!,'12'!$132:$151,'12'!#REF!,'12'!#REF!</definedName>
    <definedName name="Z_2C3A3C66_1522_4337_93AC_DFC422DC8462_.wvu.Rows" localSheetId="11" hidden="1">'12'!$15:$68,'12'!$75:$102,'12'!$109:$125,'12'!#REF!,'12'!$132:$151,'12'!#REF!,'12'!#REF!</definedName>
    <definedName name="Z_2E074C0E_3584_4321_A729_0961B34312BF_.wvu.Rows" localSheetId="11" hidden="1">'12'!$15:$68,'12'!$75:$102,'12'!$109:$125,'12'!#REF!,'12'!$132:$151,'12'!#REF!,'12'!#REF!</definedName>
    <definedName name="Z_2FFCC83E_A488_4450_9F9E_FF506EAEF5FC_.wvu.Rows" localSheetId="11" hidden="1">'12'!$15:$68,'12'!$75:$102,'12'!$109:$125,'12'!#REF!,'12'!$132:$151,'12'!#REF!,'12'!#REF!</definedName>
    <definedName name="Z_3351A924_D23D_45D7_8354_55677D787CA4_.wvu.Rows" localSheetId="11" hidden="1">'12'!$15:$68,'12'!$75:$102,'12'!$109:$125,'12'!#REF!,'12'!$132:$151,'12'!#REF!,'12'!#REF!</definedName>
    <definedName name="Z_51E3BC0E_B24A_447A_BC0A_03881122E44E_.wvu.Rows" localSheetId="11" hidden="1">'12'!$15:$68,'12'!$75:$102,'12'!$109:$125,'12'!#REF!,'12'!$132:$151,'12'!#REF!,'12'!#REF!</definedName>
    <definedName name="Z_5C60C8F2_A96A_4286_AB69_6A192D48B52D_.wvu.Rows" localSheetId="11" hidden="1">'12'!$15:$68,'12'!$75:$102,'12'!$109:$125,'12'!#REF!,'12'!$132:$151,'12'!#REF!,'12'!#REF!</definedName>
    <definedName name="Z_667B099C_8E79_4490_AC67_CFE2B9F8FC8D_.wvu.Rows" localSheetId="11" hidden="1">'12'!$15:$68,'12'!$75:$102,'12'!$109:$125,'12'!#REF!,'12'!$132:$151,'12'!#REF!,'12'!#REF!</definedName>
    <definedName name="Z_696C5A08_6B5C_4B07_9B14_11E12159ACF3_.wvu.Rows" localSheetId="11" hidden="1">'12'!$15:$68,'12'!$75:$102,'12'!$109:$125,'12'!#REF!,'12'!#REF!,'12'!#REF!</definedName>
    <definedName name="Z_743813BC_E137_480B_B63F_29E16C4A5D78_.wvu.Rows" localSheetId="11" hidden="1">'12'!$15:$68,'12'!$75:$102,'12'!$109:$125,'12'!#REF!,'12'!$132:$151,'12'!#REF!,'12'!#REF!</definedName>
    <definedName name="Z_7CD6C56D_7191_499D_884D_23F062610490_.wvu.Rows" localSheetId="11" hidden="1">'12'!$15:$68,'12'!$75:$102,'12'!$109:$125,'12'!#REF!,'12'!$132:$151,'12'!#REF!,'12'!#REF!</definedName>
    <definedName name="Z_8AB826A3_3F9F_46E8_8B3C_5D723650CD25_.wvu.Rows" localSheetId="11" hidden="1">'12'!$15:$68,'12'!$75:$102,'12'!$109:$125,'12'!#REF!,'12'!$132:$151,'12'!#REF!,'12'!#REF!</definedName>
    <definedName name="Z_9231B71C_ABB0_4122_BB61_A0E14ED7FAC4_.wvu.Rows" localSheetId="11" hidden="1">'12'!$15:$68,'12'!$75:$102,'12'!$109:$125,'12'!#REF!,'12'!$132:$151,'12'!#REF!,'12'!#REF!</definedName>
    <definedName name="Z_9CE42830_1BFE_4EEE_AD75_1C30A69A86B1_.wvu.Rows" localSheetId="11" hidden="1">'12'!$15:$68,'12'!$75:$102,'12'!$109:$125,'12'!#REF!,'12'!$132:$151,'12'!#REF!,'12'!#REF!</definedName>
    <definedName name="Z_9EA36D12_6C5C_4BE0_9897_E6710354124D_.wvu.Rows" localSheetId="11" hidden="1">'12'!$15:$68,'12'!$75:$102,'12'!$109:$125,'12'!#REF!,'12'!$132:$151,'12'!#REF!,'12'!#REF!</definedName>
    <definedName name="Z_A0F29F5B_FB6E_4C5E_B7A7_CDA651D38207_.wvu.Rows" localSheetId="11" hidden="1">'12'!$15:$68,'12'!$75:$102,'12'!$109:$125,'12'!#REF!,'12'!$132:$151,'12'!#REF!,'12'!#REF!</definedName>
    <definedName name="Z_A567DF6A_4F50_45D4_A9C8_0879E17AFD34_.wvu.Rows" localSheetId="11" hidden="1">'12'!$15:$68,'12'!$75:$102,'12'!$109:$125,'12'!#REF!,'12'!$132:$151,'12'!#REF!,'12'!#REF!</definedName>
    <definedName name="Z_B2CFD8C8_F8F8_47F1_9207_6BE81612C01C_.wvu.Rows" localSheetId="11" hidden="1">'12'!$15:$68,'12'!$75:$102,'12'!$109:$125,'12'!#REF!,'12'!$132:$151,'12'!#REF!,'12'!#REF!</definedName>
    <definedName name="Z_BBF15C7D_3EAF_4D98_9096_5B67F6C46C47_.wvu.Rows" localSheetId="11" hidden="1">'12'!$15:$68,'12'!$75:$102,'12'!$109:$125,'12'!#REF!,'12'!#REF!,'12'!#REF!</definedName>
    <definedName name="Z_C122BF8D_C115_42E1_B73A_F9B38D5EC060_.wvu.Rows" localSheetId="11" hidden="1">'12'!$15:$68,'12'!$75:$102,'12'!$109:$125,'12'!#REF!,'12'!$132:$151,'12'!#REF!,'12'!#REF!</definedName>
    <definedName name="Z_C4D254D6_9D1C_4B3C_972D_15957FD05DD2_.wvu.Rows" localSheetId="11" hidden="1">'12'!$15:$68,'12'!$75:$102,'12'!$109:$125,'12'!#REF!,'12'!$132:$151,'12'!#REF!,'12'!#REF!</definedName>
    <definedName name="Z_D4664C56_FB8A_499D_8E24_CCA12F97FAE9_.wvu.Rows" localSheetId="11" hidden="1">'12'!$15:$68,'12'!$75:$102,'12'!$109:$125,'12'!#REF!,'12'!$132:$151,'12'!#REF!,'12'!#REF!</definedName>
    <definedName name="Z_DD995061_F552_4E13_8D40_A47EBB03245B_.wvu.Rows" localSheetId="11" hidden="1">'12'!$15:$68,'12'!$75:$102,'12'!$109:$125,'12'!#REF!,'12'!$132:$151,'12'!#REF!,'12'!#REF!</definedName>
    <definedName name="Z_DE2F0B4F_79DE_40A0_A13B_9C7F63D3F970_.wvu.Rows" localSheetId="11" hidden="1">'12'!$15:$68,'12'!$75:$102,'12'!$109:$125,'12'!#REF!,'12'!$132:$151,'12'!#REF!,'12'!#REF!</definedName>
    <definedName name="Z_E765F84B_EAF3_44AE_A058_C602C1E67401_.wvu.Rows" localSheetId="11" hidden="1">'12'!$15:$68,'12'!$75:$102,'12'!$109:$125,'12'!#REF!,'12'!$132:$151,'12'!#REF!,'12'!#REF!</definedName>
    <definedName name="Z_F34DD4D3_7189_47AF_B853_F133E36CF124_.wvu.Rows" localSheetId="11" hidden="1">'12'!$15:$68,'12'!$75:$102,'12'!$109:$125,'12'!#REF!,'12'!$132:$151,'12'!#REF!,'12'!#REF!</definedName>
    <definedName name="Z_F82F81AB_9C82_4E79_8CA3_CEB2B994FC06_.wvu.Rows" localSheetId="11" hidden="1">'12'!$15:$68,'12'!$75:$102,'12'!$109:$125,'12'!#REF!,'12'!$132:$151,'12'!#REF!,'12'!#REF!</definedName>
    <definedName name="Z_F89CD5B0_594D_4248_B45D_59008422D599_.wvu.Rows" localSheetId="11" hidden="1">'12'!$15:$68,'12'!$75:$102,'12'!$109:$125,'12'!#REF!,'12'!$132:$151,'12'!#REF!,'12'!#REF!</definedName>
    <definedName name="Z_03FBB0AD_5353_49C6_B595_178BC13C96AE_.wvu.Rows" localSheetId="12" hidden="1">'13'!$15:$68,'13'!$75:$102,'13'!$109:$125,'13'!#REF!,'13'!$132:$151,'13'!#REF!,'13'!#REF!</definedName>
    <definedName name="Z_070961C3_1DC2_4518_83D7_B3F54BC58AE2_.wvu.Rows" localSheetId="12" hidden="1">'13'!$15:$68,'13'!$75:$102,'13'!$109:$125,'13'!#REF!,'13'!$132:$151,'13'!#REF!,'13'!#REF!</definedName>
    <definedName name="Z_0B87D63B_15AD_4587_A73B_CA4B62BDFA01_.wvu.Rows" localSheetId="12" hidden="1">'13'!$15:$68,'13'!$75:$102,'13'!$109:$125,'13'!#REF!,'13'!$132:$151,'13'!#REF!,'13'!#REF!</definedName>
    <definedName name="Z_1B9AB2B5_0A50_46C3_981D_8BE75BF62E46_.wvu.Rows" localSheetId="12" hidden="1">'13'!$15:$68,'13'!$75:$102,'13'!$109:$125,'13'!#REF!,'13'!$132:$151,'13'!#REF!,'13'!#REF!</definedName>
    <definedName name="Z_20A0B2F7_9F51_4E3D_A024_0877F1F98F8D_.wvu.Rows" localSheetId="12" hidden="1">'13'!$15:$68,'13'!$75:$102,'13'!$109:$125,'13'!#REF!,'13'!$132:$151,'13'!#REF!,'13'!#REF!</definedName>
    <definedName name="Z_2C3A3C66_1522_4337_93AC_DFC422DC8462_.wvu.Rows" localSheetId="12" hidden="1">'13'!$15:$68,'13'!$75:$102,'13'!$109:$125,'13'!#REF!,'13'!$132:$151,'13'!#REF!,'13'!#REF!</definedName>
    <definedName name="Z_2E074C0E_3584_4321_A729_0961B34312BF_.wvu.Rows" localSheetId="12" hidden="1">'13'!$15:$68,'13'!$75:$102,'13'!$109:$125,'13'!#REF!,'13'!$132:$151,'13'!#REF!,'13'!#REF!</definedName>
    <definedName name="Z_2FFCC83E_A488_4450_9F9E_FF506EAEF5FC_.wvu.Rows" localSheetId="12" hidden="1">'13'!$15:$68,'13'!$75:$102,'13'!$109:$125,'13'!#REF!,'13'!$132:$151,'13'!#REF!,'13'!#REF!</definedName>
    <definedName name="Z_3351A924_D23D_45D7_8354_55677D787CA4_.wvu.Rows" localSheetId="12" hidden="1">'13'!$15:$68,'13'!$75:$102,'13'!$109:$125,'13'!#REF!,'13'!$132:$151,'13'!#REF!,'13'!#REF!</definedName>
    <definedName name="Z_51E3BC0E_B24A_447A_BC0A_03881122E44E_.wvu.Rows" localSheetId="12" hidden="1">'13'!$15:$68,'13'!$75:$102,'13'!$109:$125,'13'!#REF!,'13'!$132:$151,'13'!#REF!,'13'!#REF!</definedName>
    <definedName name="Z_5C60C8F2_A96A_4286_AB69_6A192D48B52D_.wvu.Rows" localSheetId="12" hidden="1">'13'!$15:$68,'13'!$75:$102,'13'!$109:$125,'13'!#REF!,'13'!$132:$151,'13'!#REF!,'13'!#REF!</definedName>
    <definedName name="Z_667B099C_8E79_4490_AC67_CFE2B9F8FC8D_.wvu.Rows" localSheetId="12" hidden="1">'13'!$15:$68,'13'!$75:$102,'13'!$109:$125,'13'!#REF!,'13'!$132:$151,'13'!#REF!,'13'!#REF!</definedName>
    <definedName name="Z_696C5A08_6B5C_4B07_9B14_11E12159ACF3_.wvu.Rows" localSheetId="12" hidden="1">'13'!$15:$68,'13'!$75:$102,'13'!$109:$125,'13'!#REF!,'13'!#REF!,'13'!#REF!</definedName>
    <definedName name="Z_743813BC_E137_480B_B63F_29E16C4A5D78_.wvu.Rows" localSheetId="12" hidden="1">'13'!$15:$68,'13'!$75:$102,'13'!$109:$125,'13'!#REF!,'13'!$132:$151,'13'!#REF!,'13'!#REF!</definedName>
    <definedName name="Z_7CD6C56D_7191_499D_884D_23F062610490_.wvu.Rows" localSheetId="12" hidden="1">'13'!$15:$68,'13'!$75:$102,'13'!$109:$125,'13'!#REF!,'13'!$132:$151,'13'!#REF!,'13'!#REF!</definedName>
    <definedName name="Z_8AB826A3_3F9F_46E8_8B3C_5D723650CD25_.wvu.Rows" localSheetId="12" hidden="1">'13'!$15:$68,'13'!$75:$102,'13'!$109:$125,'13'!#REF!,'13'!$132:$151,'13'!#REF!,'13'!#REF!</definedName>
    <definedName name="Z_9231B71C_ABB0_4122_BB61_A0E14ED7FAC4_.wvu.Rows" localSheetId="12" hidden="1">'13'!$15:$68,'13'!$75:$102,'13'!$109:$125,'13'!#REF!,'13'!$132:$151,'13'!#REF!,'13'!#REF!</definedName>
    <definedName name="Z_9CE42830_1BFE_4EEE_AD75_1C30A69A86B1_.wvu.Rows" localSheetId="12" hidden="1">'13'!$15:$68,'13'!$75:$102,'13'!$109:$125,'13'!#REF!,'13'!$132:$151,'13'!#REF!,'13'!#REF!</definedName>
    <definedName name="Z_9EA36D12_6C5C_4BE0_9897_E6710354124D_.wvu.Rows" localSheetId="12" hidden="1">'13'!$15:$68,'13'!$75:$102,'13'!$109:$125,'13'!#REF!,'13'!$132:$151,'13'!#REF!,'13'!#REF!</definedName>
    <definedName name="Z_A0F29F5B_FB6E_4C5E_B7A7_CDA651D38207_.wvu.Rows" localSheetId="12" hidden="1">'13'!$15:$68,'13'!$75:$102,'13'!$109:$125,'13'!#REF!,'13'!$132:$151,'13'!#REF!,'13'!#REF!</definedName>
    <definedName name="Z_A567DF6A_4F50_45D4_A9C8_0879E17AFD34_.wvu.Rows" localSheetId="12" hidden="1">'13'!$15:$68,'13'!$75:$102,'13'!$109:$125,'13'!#REF!,'13'!$132:$151,'13'!#REF!,'13'!#REF!</definedName>
    <definedName name="Z_B2CFD8C8_F8F8_47F1_9207_6BE81612C01C_.wvu.Rows" localSheetId="12" hidden="1">'13'!$15:$68,'13'!$75:$102,'13'!$109:$125,'13'!#REF!,'13'!$132:$151,'13'!#REF!,'13'!#REF!</definedName>
    <definedName name="Z_BBF15C7D_3EAF_4D98_9096_5B67F6C46C47_.wvu.Rows" localSheetId="12" hidden="1">'13'!$15:$68,'13'!$75:$102,'13'!$109:$125,'13'!#REF!,'13'!#REF!,'13'!#REF!</definedName>
    <definedName name="Z_C122BF8D_C115_42E1_B73A_F9B38D5EC060_.wvu.Rows" localSheetId="12" hidden="1">'13'!$15:$68,'13'!$75:$102,'13'!$109:$125,'13'!#REF!,'13'!$132:$151,'13'!#REF!,'13'!#REF!</definedName>
    <definedName name="Z_C4D254D6_9D1C_4B3C_972D_15957FD05DD2_.wvu.Rows" localSheetId="12" hidden="1">'13'!$15:$68,'13'!$75:$102,'13'!$109:$125,'13'!#REF!,'13'!$132:$151,'13'!#REF!,'13'!#REF!</definedName>
    <definedName name="Z_D4664C56_FB8A_499D_8E24_CCA12F97FAE9_.wvu.Rows" localSheetId="12" hidden="1">'13'!$15:$68,'13'!$75:$102,'13'!$109:$125,'13'!#REF!,'13'!$132:$151,'13'!#REF!,'13'!#REF!</definedName>
    <definedName name="Z_DD995061_F552_4E13_8D40_A47EBB03245B_.wvu.Rows" localSheetId="12" hidden="1">'13'!$15:$68,'13'!$75:$102,'13'!$109:$125,'13'!#REF!,'13'!$132:$151,'13'!#REF!,'13'!#REF!</definedName>
    <definedName name="Z_DE2F0B4F_79DE_40A0_A13B_9C7F63D3F970_.wvu.Rows" localSheetId="12" hidden="1">'13'!$15:$68,'13'!$75:$102,'13'!$109:$125,'13'!#REF!,'13'!$132:$151,'13'!#REF!,'13'!#REF!</definedName>
    <definedName name="Z_E765F84B_EAF3_44AE_A058_C602C1E67401_.wvu.Rows" localSheetId="12" hidden="1">'13'!$15:$68,'13'!$75:$102,'13'!$109:$125,'13'!#REF!,'13'!$132:$151,'13'!#REF!,'13'!#REF!</definedName>
    <definedName name="Z_F34DD4D3_7189_47AF_B853_F133E36CF124_.wvu.Rows" localSheetId="12" hidden="1">'13'!$15:$68,'13'!$75:$102,'13'!$109:$125,'13'!#REF!,'13'!$132:$151,'13'!#REF!,'13'!#REF!</definedName>
    <definedName name="Z_F82F81AB_9C82_4E79_8CA3_CEB2B994FC06_.wvu.Rows" localSheetId="12" hidden="1">'13'!$15:$68,'13'!$75:$102,'13'!$109:$125,'13'!#REF!,'13'!$132:$151,'13'!#REF!,'13'!#REF!</definedName>
    <definedName name="Z_F89CD5B0_594D_4248_B45D_59008422D599_.wvu.Rows" localSheetId="12" hidden="1">'13'!$15:$68,'13'!$75:$102,'13'!$109:$125,'13'!#REF!,'13'!$132:$151,'13'!#REF!,'13'!#REF!</definedName>
    <definedName name="Z_03FBB0AD_5353_49C6_B595_178BC13C96AE_.wvu.Rows" localSheetId="13" hidden="1">'14'!$15:$68,'14'!$75:$102,'14'!$109:$125,'14'!#REF!,'14'!$132:$151,'14'!#REF!,'14'!#REF!</definedName>
    <definedName name="Z_070961C3_1DC2_4518_83D7_B3F54BC58AE2_.wvu.Rows" localSheetId="13" hidden="1">'14'!$15:$68,'14'!$75:$102,'14'!$109:$125,'14'!#REF!,'14'!$132:$151,'14'!#REF!,'14'!#REF!</definedName>
    <definedName name="Z_0B87D63B_15AD_4587_A73B_CA4B62BDFA01_.wvu.Rows" localSheetId="13" hidden="1">'14'!$15:$68,'14'!$75:$102,'14'!$109:$125,'14'!#REF!,'14'!$132:$151,'14'!#REF!,'14'!#REF!</definedName>
    <definedName name="Z_1B9AB2B5_0A50_46C3_981D_8BE75BF62E46_.wvu.Rows" localSheetId="13" hidden="1">'14'!$15:$68,'14'!$75:$102,'14'!$109:$125,'14'!#REF!,'14'!$132:$151,'14'!#REF!,'14'!#REF!</definedName>
    <definedName name="Z_20A0B2F7_9F51_4E3D_A024_0877F1F98F8D_.wvu.Rows" localSheetId="13" hidden="1">'14'!$15:$68,'14'!$75:$102,'14'!$109:$125,'14'!#REF!,'14'!$132:$151,'14'!#REF!,'14'!#REF!</definedName>
    <definedName name="Z_2C3A3C66_1522_4337_93AC_DFC422DC8462_.wvu.Rows" localSheetId="13" hidden="1">'14'!$15:$68,'14'!$75:$102,'14'!$109:$125,'14'!#REF!,'14'!$132:$151,'14'!#REF!,'14'!#REF!</definedName>
    <definedName name="Z_2E074C0E_3584_4321_A729_0961B34312BF_.wvu.Rows" localSheetId="13" hidden="1">'14'!$15:$68,'14'!$75:$102,'14'!$109:$125,'14'!#REF!,'14'!$132:$151,'14'!#REF!,'14'!#REF!</definedName>
    <definedName name="Z_2FFCC83E_A488_4450_9F9E_FF506EAEF5FC_.wvu.Rows" localSheetId="13" hidden="1">'14'!$15:$68,'14'!$75:$102,'14'!$109:$125,'14'!#REF!,'14'!$132:$151,'14'!#REF!,'14'!#REF!</definedName>
    <definedName name="Z_3351A924_D23D_45D7_8354_55677D787CA4_.wvu.Rows" localSheetId="13" hidden="1">'14'!$15:$68,'14'!$75:$102,'14'!$109:$125,'14'!#REF!,'14'!$132:$151,'14'!#REF!,'14'!#REF!</definedName>
    <definedName name="Z_51E3BC0E_B24A_447A_BC0A_03881122E44E_.wvu.Rows" localSheetId="13" hidden="1">'14'!$15:$68,'14'!$75:$102,'14'!$109:$125,'14'!#REF!,'14'!$132:$151,'14'!#REF!,'14'!#REF!</definedName>
    <definedName name="Z_5C60C8F2_A96A_4286_AB69_6A192D48B52D_.wvu.Rows" localSheetId="13" hidden="1">'14'!$15:$68,'14'!$75:$102,'14'!$109:$125,'14'!#REF!,'14'!$132:$151,'14'!#REF!,'14'!#REF!</definedName>
    <definedName name="Z_667B099C_8E79_4490_AC67_CFE2B9F8FC8D_.wvu.Rows" localSheetId="13" hidden="1">'14'!$15:$68,'14'!$75:$102,'14'!$109:$125,'14'!#REF!,'14'!$132:$151,'14'!#REF!,'14'!#REF!</definedName>
    <definedName name="Z_696C5A08_6B5C_4B07_9B14_11E12159ACF3_.wvu.Rows" localSheetId="13" hidden="1">'14'!$15:$68,'14'!$75:$102,'14'!$109:$125,'14'!#REF!,'14'!#REF!,'14'!#REF!</definedName>
    <definedName name="Z_743813BC_E137_480B_B63F_29E16C4A5D78_.wvu.Rows" localSheetId="13" hidden="1">'14'!$15:$68,'14'!$75:$102,'14'!$109:$125,'14'!#REF!,'14'!$132:$151,'14'!#REF!,'14'!#REF!</definedName>
    <definedName name="Z_7CD6C56D_7191_499D_884D_23F062610490_.wvu.Rows" localSheetId="13" hidden="1">'14'!$15:$68,'14'!$75:$102,'14'!$109:$125,'14'!#REF!,'14'!$132:$151,'14'!#REF!,'14'!#REF!</definedName>
    <definedName name="Z_8AB826A3_3F9F_46E8_8B3C_5D723650CD25_.wvu.Rows" localSheetId="13" hidden="1">'14'!$15:$68,'14'!$75:$102,'14'!$109:$125,'14'!#REF!,'14'!$132:$151,'14'!#REF!,'14'!#REF!</definedName>
    <definedName name="Z_9231B71C_ABB0_4122_BB61_A0E14ED7FAC4_.wvu.Rows" localSheetId="13" hidden="1">'14'!$15:$68,'14'!$75:$102,'14'!$109:$125,'14'!#REF!,'14'!$132:$151,'14'!#REF!,'14'!#REF!</definedName>
    <definedName name="Z_9CE42830_1BFE_4EEE_AD75_1C30A69A86B1_.wvu.Rows" localSheetId="13" hidden="1">'14'!$15:$68,'14'!$75:$102,'14'!$109:$125,'14'!#REF!,'14'!$132:$151,'14'!#REF!,'14'!#REF!</definedName>
    <definedName name="Z_9EA36D12_6C5C_4BE0_9897_E6710354124D_.wvu.Rows" localSheetId="13" hidden="1">'14'!$15:$68,'14'!$75:$102,'14'!$109:$125,'14'!#REF!,'14'!$132:$151,'14'!#REF!,'14'!#REF!</definedName>
    <definedName name="Z_A0F29F5B_FB6E_4C5E_B7A7_CDA651D38207_.wvu.Rows" localSheetId="13" hidden="1">'14'!$15:$68,'14'!$75:$102,'14'!$109:$125,'14'!#REF!,'14'!$132:$151,'14'!#REF!,'14'!#REF!</definedName>
    <definedName name="Z_A567DF6A_4F50_45D4_A9C8_0879E17AFD34_.wvu.Rows" localSheetId="13" hidden="1">'14'!$15:$68,'14'!$75:$102,'14'!$109:$125,'14'!#REF!,'14'!$132:$151,'14'!#REF!,'14'!#REF!</definedName>
    <definedName name="Z_B2CFD8C8_F8F8_47F1_9207_6BE81612C01C_.wvu.Rows" localSheetId="13" hidden="1">'14'!$15:$68,'14'!$75:$102,'14'!$109:$125,'14'!#REF!,'14'!$132:$151,'14'!#REF!,'14'!#REF!</definedName>
    <definedName name="Z_BBF15C7D_3EAF_4D98_9096_5B67F6C46C47_.wvu.Rows" localSheetId="13" hidden="1">'14'!$15:$68,'14'!$75:$102,'14'!$109:$125,'14'!#REF!,'14'!#REF!,'14'!#REF!</definedName>
    <definedName name="Z_C122BF8D_C115_42E1_B73A_F9B38D5EC060_.wvu.Rows" localSheetId="13" hidden="1">'14'!$15:$68,'14'!$75:$102,'14'!$109:$125,'14'!#REF!,'14'!$132:$151,'14'!#REF!,'14'!#REF!</definedName>
    <definedName name="Z_C4D254D6_9D1C_4B3C_972D_15957FD05DD2_.wvu.Rows" localSheetId="13" hidden="1">'14'!$15:$68,'14'!$75:$102,'14'!$109:$125,'14'!#REF!,'14'!$132:$151,'14'!#REF!,'14'!#REF!</definedName>
    <definedName name="Z_D4664C56_FB8A_499D_8E24_CCA12F97FAE9_.wvu.Rows" localSheetId="13" hidden="1">'14'!$15:$68,'14'!$75:$102,'14'!$109:$125,'14'!#REF!,'14'!$132:$151,'14'!#REF!,'14'!#REF!</definedName>
    <definedName name="Z_DD995061_F552_4E13_8D40_A47EBB03245B_.wvu.Rows" localSheetId="13" hidden="1">'14'!$15:$68,'14'!$75:$102,'14'!$109:$125,'14'!#REF!,'14'!$132:$151,'14'!#REF!,'14'!#REF!</definedName>
    <definedName name="Z_DE2F0B4F_79DE_40A0_A13B_9C7F63D3F970_.wvu.Rows" localSheetId="13" hidden="1">'14'!$15:$68,'14'!$75:$102,'14'!$109:$125,'14'!#REF!,'14'!$132:$151,'14'!#REF!,'14'!#REF!</definedName>
    <definedName name="Z_E765F84B_EAF3_44AE_A058_C602C1E67401_.wvu.Rows" localSheetId="13" hidden="1">'14'!$15:$68,'14'!$75:$102,'14'!$109:$125,'14'!#REF!,'14'!$132:$151,'14'!#REF!,'14'!#REF!</definedName>
    <definedName name="Z_F34DD4D3_7189_47AF_B853_F133E36CF124_.wvu.Rows" localSheetId="13" hidden="1">'14'!$15:$68,'14'!$75:$102,'14'!$109:$125,'14'!#REF!,'14'!$132:$151,'14'!#REF!,'14'!#REF!</definedName>
    <definedName name="Z_F82F81AB_9C82_4E79_8CA3_CEB2B994FC06_.wvu.Rows" localSheetId="13" hidden="1">'14'!$15:$68,'14'!$75:$102,'14'!$109:$125,'14'!#REF!,'14'!$132:$151,'14'!#REF!,'14'!#REF!</definedName>
    <definedName name="Z_F89CD5B0_594D_4248_B45D_59008422D599_.wvu.Rows" localSheetId="13" hidden="1">'14'!$15:$68,'14'!$75:$102,'14'!$109:$125,'14'!#REF!,'14'!$132:$151,'14'!#REF!,'14'!#REF!</definedName>
    <definedName name="Z_03FBB0AD_5353_49C6_B595_178BC13C96AE_.wvu.Rows" localSheetId="14" hidden="1">'15'!$15:$68,'15'!$75:$102,'15'!$109:$125,'15'!#REF!,'15'!$132:$151,'15'!#REF!,'15'!#REF!</definedName>
    <definedName name="Z_070961C3_1DC2_4518_83D7_B3F54BC58AE2_.wvu.Rows" localSheetId="14" hidden="1">'15'!$15:$68,'15'!$75:$102,'15'!$109:$125,'15'!#REF!,'15'!$132:$151,'15'!#REF!,'15'!#REF!</definedName>
    <definedName name="Z_0B87D63B_15AD_4587_A73B_CA4B62BDFA01_.wvu.Rows" localSheetId="14" hidden="1">'15'!$15:$68,'15'!$75:$102,'15'!$109:$125,'15'!#REF!,'15'!$132:$151,'15'!#REF!,'15'!#REF!</definedName>
    <definedName name="Z_1B9AB2B5_0A50_46C3_981D_8BE75BF62E46_.wvu.Rows" localSheetId="14" hidden="1">'15'!$15:$68,'15'!$75:$102,'15'!$109:$125,'15'!#REF!,'15'!$132:$151,'15'!#REF!,'15'!#REF!</definedName>
    <definedName name="Z_20A0B2F7_9F51_4E3D_A024_0877F1F98F8D_.wvu.Rows" localSheetId="14" hidden="1">'15'!$15:$68,'15'!$75:$102,'15'!$109:$125,'15'!#REF!,'15'!$132:$151,'15'!#REF!,'15'!#REF!</definedName>
    <definedName name="Z_2C3A3C66_1522_4337_93AC_DFC422DC8462_.wvu.Rows" localSheetId="14" hidden="1">'15'!$15:$68,'15'!$75:$102,'15'!$109:$125,'15'!#REF!,'15'!$132:$151,'15'!#REF!,'15'!#REF!</definedName>
    <definedName name="Z_2E074C0E_3584_4321_A729_0961B34312BF_.wvu.Rows" localSheetId="14" hidden="1">'15'!$15:$68,'15'!$75:$102,'15'!$109:$125,'15'!#REF!,'15'!$132:$151,'15'!#REF!,'15'!#REF!</definedName>
    <definedName name="Z_2FFCC83E_A488_4450_9F9E_FF506EAEF5FC_.wvu.Rows" localSheetId="14" hidden="1">'15'!$15:$68,'15'!$75:$102,'15'!$109:$125,'15'!#REF!,'15'!$132:$151,'15'!#REF!,'15'!#REF!</definedName>
    <definedName name="Z_3351A924_D23D_45D7_8354_55677D787CA4_.wvu.Rows" localSheetId="14" hidden="1">'15'!$15:$68,'15'!$75:$102,'15'!$109:$125,'15'!#REF!,'15'!$132:$151,'15'!#REF!,'15'!#REF!</definedName>
    <definedName name="Z_51E3BC0E_B24A_447A_BC0A_03881122E44E_.wvu.Rows" localSheetId="14" hidden="1">'15'!$15:$68,'15'!$75:$102,'15'!$109:$125,'15'!#REF!,'15'!$132:$151,'15'!#REF!,'15'!#REF!</definedName>
    <definedName name="Z_5C60C8F2_A96A_4286_AB69_6A192D48B52D_.wvu.Rows" localSheetId="14" hidden="1">'15'!$15:$68,'15'!$75:$102,'15'!$109:$125,'15'!#REF!,'15'!$132:$151,'15'!#REF!,'15'!#REF!</definedName>
    <definedName name="Z_667B099C_8E79_4490_AC67_CFE2B9F8FC8D_.wvu.Rows" localSheetId="14" hidden="1">'15'!$15:$68,'15'!$75:$102,'15'!$109:$125,'15'!#REF!,'15'!$132:$151,'15'!#REF!,'15'!#REF!</definedName>
    <definedName name="Z_696C5A08_6B5C_4B07_9B14_11E12159ACF3_.wvu.Rows" localSheetId="14" hidden="1">'15'!$15:$68,'15'!$75:$102,'15'!$109:$125,'15'!#REF!,'15'!#REF!,'15'!#REF!</definedName>
    <definedName name="Z_743813BC_E137_480B_B63F_29E16C4A5D78_.wvu.Rows" localSheetId="14" hidden="1">'15'!$15:$68,'15'!$75:$102,'15'!$109:$125,'15'!#REF!,'15'!$132:$151,'15'!#REF!,'15'!#REF!</definedName>
    <definedName name="Z_7CD6C56D_7191_499D_884D_23F062610490_.wvu.Rows" localSheetId="14" hidden="1">'15'!$15:$68,'15'!$75:$102,'15'!$109:$125,'15'!#REF!,'15'!$132:$151,'15'!#REF!,'15'!#REF!</definedName>
    <definedName name="Z_8AB826A3_3F9F_46E8_8B3C_5D723650CD25_.wvu.Rows" localSheetId="14" hidden="1">'15'!$15:$68,'15'!$75:$102,'15'!$109:$125,'15'!#REF!,'15'!$132:$151,'15'!#REF!,'15'!#REF!</definedName>
    <definedName name="Z_9231B71C_ABB0_4122_BB61_A0E14ED7FAC4_.wvu.Rows" localSheetId="14" hidden="1">'15'!$15:$68,'15'!$75:$102,'15'!$109:$125,'15'!#REF!,'15'!$132:$151,'15'!#REF!,'15'!#REF!</definedName>
    <definedName name="Z_9CE42830_1BFE_4EEE_AD75_1C30A69A86B1_.wvu.Rows" localSheetId="14" hidden="1">'15'!$15:$68,'15'!$75:$102,'15'!$109:$125,'15'!#REF!,'15'!$132:$151,'15'!#REF!,'15'!#REF!</definedName>
    <definedName name="Z_9EA36D12_6C5C_4BE0_9897_E6710354124D_.wvu.Rows" localSheetId="14" hidden="1">'15'!$15:$68,'15'!$75:$102,'15'!$109:$125,'15'!#REF!,'15'!$132:$151,'15'!#REF!,'15'!#REF!</definedName>
    <definedName name="Z_A0F29F5B_FB6E_4C5E_B7A7_CDA651D38207_.wvu.Rows" localSheetId="14" hidden="1">'15'!$15:$68,'15'!$75:$102,'15'!$109:$125,'15'!#REF!,'15'!$132:$151,'15'!#REF!,'15'!#REF!</definedName>
    <definedName name="Z_A567DF6A_4F50_45D4_A9C8_0879E17AFD34_.wvu.Rows" localSheetId="14" hidden="1">'15'!$15:$68,'15'!$75:$102,'15'!$109:$125,'15'!#REF!,'15'!$132:$151,'15'!#REF!,'15'!#REF!</definedName>
    <definedName name="Z_B2CFD8C8_F8F8_47F1_9207_6BE81612C01C_.wvu.Rows" localSheetId="14" hidden="1">'15'!$15:$68,'15'!$75:$102,'15'!$109:$125,'15'!#REF!,'15'!$132:$151,'15'!#REF!,'15'!#REF!</definedName>
    <definedName name="Z_BBF15C7D_3EAF_4D98_9096_5B67F6C46C47_.wvu.Rows" localSheetId="14" hidden="1">'15'!$15:$68,'15'!$75:$102,'15'!$109:$125,'15'!#REF!,'15'!#REF!,'15'!#REF!</definedName>
    <definedName name="Z_C122BF8D_C115_42E1_B73A_F9B38D5EC060_.wvu.Rows" localSheetId="14" hidden="1">'15'!$15:$68,'15'!$75:$102,'15'!$109:$125,'15'!#REF!,'15'!$132:$151,'15'!#REF!,'15'!#REF!</definedName>
    <definedName name="Z_C4D254D6_9D1C_4B3C_972D_15957FD05DD2_.wvu.Rows" localSheetId="14" hidden="1">'15'!$15:$68,'15'!$75:$102,'15'!$109:$125,'15'!#REF!,'15'!$132:$151,'15'!#REF!,'15'!#REF!</definedName>
    <definedName name="Z_D4664C56_FB8A_499D_8E24_CCA12F97FAE9_.wvu.Rows" localSheetId="14" hidden="1">'15'!$15:$68,'15'!$75:$102,'15'!$109:$125,'15'!#REF!,'15'!$132:$151,'15'!#REF!,'15'!#REF!</definedName>
    <definedName name="Z_DD995061_F552_4E13_8D40_A47EBB03245B_.wvu.Rows" localSheetId="14" hidden="1">'15'!$15:$68,'15'!$75:$102,'15'!$109:$125,'15'!#REF!,'15'!$132:$151,'15'!#REF!,'15'!#REF!</definedName>
    <definedName name="Z_DE2F0B4F_79DE_40A0_A13B_9C7F63D3F970_.wvu.Rows" localSheetId="14" hidden="1">'15'!$15:$68,'15'!$75:$102,'15'!$109:$125,'15'!#REF!,'15'!$132:$151,'15'!#REF!,'15'!#REF!</definedName>
    <definedName name="Z_E765F84B_EAF3_44AE_A058_C602C1E67401_.wvu.Rows" localSheetId="14" hidden="1">'15'!$15:$68,'15'!$75:$102,'15'!$109:$125,'15'!#REF!,'15'!$132:$151,'15'!#REF!,'15'!#REF!</definedName>
    <definedName name="Z_F34DD4D3_7189_47AF_B853_F133E36CF124_.wvu.Rows" localSheetId="14" hidden="1">'15'!$15:$68,'15'!$75:$102,'15'!$109:$125,'15'!#REF!,'15'!$132:$151,'15'!#REF!,'15'!#REF!</definedName>
    <definedName name="Z_F82F81AB_9C82_4E79_8CA3_CEB2B994FC06_.wvu.Rows" localSheetId="14" hidden="1">'15'!$15:$68,'15'!$75:$102,'15'!$109:$125,'15'!#REF!,'15'!$132:$151,'15'!#REF!,'15'!#REF!</definedName>
    <definedName name="Z_F89CD5B0_594D_4248_B45D_59008422D599_.wvu.Rows" localSheetId="14" hidden="1">'15'!$15:$68,'15'!$75:$102,'15'!$109:$125,'15'!#REF!,'15'!$132:$151,'15'!#REF!,'15'!#REF!</definedName>
    <definedName name="Z_03FBB0AD_5353_49C6_B595_178BC13C96AE_.wvu.Rows" localSheetId="15" hidden="1">'16'!$15:$68,'16'!$75:$102,'16'!$109:$125,'16'!#REF!,'16'!$132:$151,'16'!#REF!,'16'!#REF!</definedName>
    <definedName name="Z_070961C3_1DC2_4518_83D7_B3F54BC58AE2_.wvu.Rows" localSheetId="15" hidden="1">'16'!$15:$68,'16'!$75:$102,'16'!$109:$125,'16'!#REF!,'16'!$132:$151,'16'!#REF!,'16'!#REF!</definedName>
    <definedName name="Z_0B87D63B_15AD_4587_A73B_CA4B62BDFA01_.wvu.Rows" localSheetId="15" hidden="1">'16'!$15:$68,'16'!$75:$102,'16'!$109:$125,'16'!#REF!,'16'!$132:$151,'16'!#REF!,'16'!#REF!</definedName>
    <definedName name="Z_1B9AB2B5_0A50_46C3_981D_8BE75BF62E46_.wvu.Rows" localSheetId="15" hidden="1">'16'!$15:$68,'16'!$75:$102,'16'!$109:$125,'16'!#REF!,'16'!$132:$151,'16'!#REF!,'16'!#REF!</definedName>
    <definedName name="Z_20A0B2F7_9F51_4E3D_A024_0877F1F98F8D_.wvu.Rows" localSheetId="15" hidden="1">'16'!$15:$68,'16'!$75:$102,'16'!$109:$125,'16'!#REF!,'16'!$132:$151,'16'!#REF!,'16'!#REF!</definedName>
    <definedName name="Z_2C3A3C66_1522_4337_93AC_DFC422DC8462_.wvu.Rows" localSheetId="15" hidden="1">'16'!$15:$68,'16'!$75:$102,'16'!$109:$125,'16'!#REF!,'16'!$132:$151,'16'!#REF!,'16'!#REF!</definedName>
    <definedName name="Z_2E074C0E_3584_4321_A729_0961B34312BF_.wvu.Rows" localSheetId="15" hidden="1">'16'!$15:$68,'16'!$75:$102,'16'!$109:$125,'16'!#REF!,'16'!$132:$151,'16'!#REF!,'16'!#REF!</definedName>
    <definedName name="Z_2FFCC83E_A488_4450_9F9E_FF506EAEF5FC_.wvu.Rows" localSheetId="15" hidden="1">'16'!$15:$68,'16'!$75:$102,'16'!$109:$125,'16'!#REF!,'16'!$132:$151,'16'!#REF!,'16'!#REF!</definedName>
    <definedName name="Z_3351A924_D23D_45D7_8354_55677D787CA4_.wvu.Rows" localSheetId="15" hidden="1">'16'!$15:$68,'16'!$75:$102,'16'!$109:$125,'16'!#REF!,'16'!$132:$151,'16'!#REF!,'16'!#REF!</definedName>
    <definedName name="Z_51E3BC0E_B24A_447A_BC0A_03881122E44E_.wvu.Rows" localSheetId="15" hidden="1">'16'!$15:$68,'16'!$75:$102,'16'!$109:$125,'16'!#REF!,'16'!$132:$151,'16'!#REF!,'16'!#REF!</definedName>
    <definedName name="Z_5C60C8F2_A96A_4286_AB69_6A192D48B52D_.wvu.Rows" localSheetId="15" hidden="1">'16'!$15:$68,'16'!$75:$102,'16'!$109:$125,'16'!#REF!,'16'!$132:$151,'16'!#REF!,'16'!#REF!</definedName>
    <definedName name="Z_667B099C_8E79_4490_AC67_CFE2B9F8FC8D_.wvu.Rows" localSheetId="15" hidden="1">'16'!$15:$68,'16'!$75:$102,'16'!$109:$125,'16'!#REF!,'16'!$132:$151,'16'!#REF!,'16'!#REF!</definedName>
    <definedName name="Z_696C5A08_6B5C_4B07_9B14_11E12159ACF3_.wvu.Rows" localSheetId="15" hidden="1">'16'!$15:$68,'16'!$75:$102,'16'!$109:$125,'16'!#REF!,'16'!#REF!,'16'!#REF!</definedName>
    <definedName name="Z_743813BC_E137_480B_B63F_29E16C4A5D78_.wvu.Rows" localSheetId="15" hidden="1">'16'!$15:$68,'16'!$75:$102,'16'!$109:$125,'16'!#REF!,'16'!$132:$151,'16'!#REF!,'16'!#REF!</definedName>
    <definedName name="Z_7CD6C56D_7191_499D_884D_23F062610490_.wvu.Rows" localSheetId="15" hidden="1">'16'!$15:$68,'16'!$75:$102,'16'!$109:$125,'16'!#REF!,'16'!$132:$151,'16'!#REF!,'16'!#REF!</definedName>
    <definedName name="Z_8AB826A3_3F9F_46E8_8B3C_5D723650CD25_.wvu.Rows" localSheetId="15" hidden="1">'16'!$15:$68,'16'!$75:$102,'16'!$109:$125,'16'!#REF!,'16'!$132:$151,'16'!#REF!,'16'!#REF!</definedName>
    <definedName name="Z_9231B71C_ABB0_4122_BB61_A0E14ED7FAC4_.wvu.Rows" localSheetId="15" hidden="1">'16'!$15:$68,'16'!$75:$102,'16'!$109:$125,'16'!#REF!,'16'!$132:$151,'16'!#REF!,'16'!#REF!</definedName>
    <definedName name="Z_9CE42830_1BFE_4EEE_AD75_1C30A69A86B1_.wvu.Rows" localSheetId="15" hidden="1">'16'!$15:$68,'16'!$75:$102,'16'!$109:$125,'16'!#REF!,'16'!$132:$151,'16'!#REF!,'16'!#REF!</definedName>
    <definedName name="Z_9EA36D12_6C5C_4BE0_9897_E6710354124D_.wvu.Rows" localSheetId="15" hidden="1">'16'!$15:$68,'16'!$75:$102,'16'!$109:$125,'16'!#REF!,'16'!$132:$151,'16'!#REF!,'16'!#REF!</definedName>
    <definedName name="Z_A0F29F5B_FB6E_4C5E_B7A7_CDA651D38207_.wvu.Rows" localSheetId="15" hidden="1">'16'!$15:$68,'16'!$75:$102,'16'!$109:$125,'16'!#REF!,'16'!$132:$151,'16'!#REF!,'16'!#REF!</definedName>
    <definedName name="Z_A567DF6A_4F50_45D4_A9C8_0879E17AFD34_.wvu.Rows" localSheetId="15" hidden="1">'16'!$15:$68,'16'!$75:$102,'16'!$109:$125,'16'!#REF!,'16'!$132:$151,'16'!#REF!,'16'!#REF!</definedName>
    <definedName name="Z_B2CFD8C8_F8F8_47F1_9207_6BE81612C01C_.wvu.Rows" localSheetId="15" hidden="1">'16'!$15:$68,'16'!$75:$102,'16'!$109:$125,'16'!#REF!,'16'!$132:$151,'16'!#REF!,'16'!#REF!</definedName>
    <definedName name="Z_BBF15C7D_3EAF_4D98_9096_5B67F6C46C47_.wvu.Rows" localSheetId="15" hidden="1">'16'!$15:$68,'16'!$75:$102,'16'!$109:$125,'16'!#REF!,'16'!#REF!,'16'!#REF!</definedName>
    <definedName name="Z_C122BF8D_C115_42E1_B73A_F9B38D5EC060_.wvu.Rows" localSheetId="15" hidden="1">'16'!$15:$68,'16'!$75:$102,'16'!$109:$125,'16'!#REF!,'16'!$132:$151,'16'!#REF!,'16'!#REF!</definedName>
    <definedName name="Z_C4D254D6_9D1C_4B3C_972D_15957FD05DD2_.wvu.Rows" localSheetId="15" hidden="1">'16'!$15:$68,'16'!$75:$102,'16'!$109:$125,'16'!#REF!,'16'!$132:$151,'16'!#REF!,'16'!#REF!</definedName>
    <definedName name="Z_D4664C56_FB8A_499D_8E24_CCA12F97FAE9_.wvu.Rows" localSheetId="15" hidden="1">'16'!$15:$68,'16'!$75:$102,'16'!$109:$125,'16'!#REF!,'16'!$132:$151,'16'!#REF!,'16'!#REF!</definedName>
    <definedName name="Z_DD995061_F552_4E13_8D40_A47EBB03245B_.wvu.Rows" localSheetId="15" hidden="1">'16'!$15:$68,'16'!$75:$102,'16'!$109:$125,'16'!#REF!,'16'!$132:$151,'16'!#REF!,'16'!#REF!</definedName>
    <definedName name="Z_DE2F0B4F_79DE_40A0_A13B_9C7F63D3F970_.wvu.Rows" localSheetId="15" hidden="1">'16'!$15:$68,'16'!$75:$102,'16'!$109:$125,'16'!#REF!,'16'!$132:$151,'16'!#REF!,'16'!#REF!</definedName>
    <definedName name="Z_E765F84B_EAF3_44AE_A058_C602C1E67401_.wvu.Rows" localSheetId="15" hidden="1">'16'!$15:$68,'16'!$75:$102,'16'!$109:$125,'16'!#REF!,'16'!$132:$151,'16'!#REF!,'16'!#REF!</definedName>
    <definedName name="Z_F34DD4D3_7189_47AF_B853_F133E36CF124_.wvu.Rows" localSheetId="15" hidden="1">'16'!$15:$68,'16'!$75:$102,'16'!$109:$125,'16'!#REF!,'16'!$132:$151,'16'!#REF!,'16'!#REF!</definedName>
    <definedName name="Z_F82F81AB_9C82_4E79_8CA3_CEB2B994FC06_.wvu.Rows" localSheetId="15" hidden="1">'16'!$15:$68,'16'!$75:$102,'16'!$109:$125,'16'!#REF!,'16'!$132:$151,'16'!#REF!,'16'!#REF!</definedName>
    <definedName name="Z_F89CD5B0_594D_4248_B45D_59008422D599_.wvu.Rows" localSheetId="15" hidden="1">'16'!$15:$68,'16'!$75:$102,'16'!$109:$125,'16'!#REF!,'16'!$132:$151,'16'!#REF!,'16'!#REF!</definedName>
    <definedName name="Z_03FBB0AD_5353_49C6_B595_178BC13C96AE_.wvu.Rows" localSheetId="16" hidden="1">'17'!$15:$68,'17'!$75:$102,'17'!$109:$125,'17'!#REF!,'17'!$132:$151,'17'!#REF!,'17'!#REF!</definedName>
    <definedName name="Z_070961C3_1DC2_4518_83D7_B3F54BC58AE2_.wvu.Rows" localSheetId="16" hidden="1">'17'!$15:$68,'17'!$75:$102,'17'!$109:$125,'17'!#REF!,'17'!$132:$151,'17'!#REF!,'17'!#REF!</definedName>
    <definedName name="Z_0B87D63B_15AD_4587_A73B_CA4B62BDFA01_.wvu.Rows" localSheetId="16" hidden="1">'17'!$15:$68,'17'!$75:$102,'17'!$109:$125,'17'!#REF!,'17'!$132:$151,'17'!#REF!,'17'!#REF!</definedName>
    <definedName name="Z_1B9AB2B5_0A50_46C3_981D_8BE75BF62E46_.wvu.Rows" localSheetId="16" hidden="1">'17'!$15:$68,'17'!$75:$102,'17'!$109:$125,'17'!#REF!,'17'!$132:$151,'17'!#REF!,'17'!#REF!</definedName>
    <definedName name="Z_20A0B2F7_9F51_4E3D_A024_0877F1F98F8D_.wvu.Rows" localSheetId="16" hidden="1">'17'!$15:$68,'17'!$75:$102,'17'!$109:$125,'17'!#REF!,'17'!$132:$151,'17'!#REF!,'17'!#REF!</definedName>
    <definedName name="Z_2C3A3C66_1522_4337_93AC_DFC422DC8462_.wvu.Rows" localSheetId="16" hidden="1">'17'!$15:$68,'17'!$75:$102,'17'!$109:$125,'17'!#REF!,'17'!$132:$151,'17'!#REF!,'17'!#REF!</definedName>
    <definedName name="Z_2E074C0E_3584_4321_A729_0961B34312BF_.wvu.Rows" localSheetId="16" hidden="1">'17'!$15:$68,'17'!$75:$102,'17'!$109:$125,'17'!#REF!,'17'!$132:$151,'17'!#REF!,'17'!#REF!</definedName>
    <definedName name="Z_2FFCC83E_A488_4450_9F9E_FF506EAEF5FC_.wvu.Rows" localSheetId="16" hidden="1">'17'!$15:$68,'17'!$75:$102,'17'!$109:$125,'17'!#REF!,'17'!$132:$151,'17'!#REF!,'17'!#REF!</definedName>
    <definedName name="Z_3351A924_D23D_45D7_8354_55677D787CA4_.wvu.Rows" localSheetId="16" hidden="1">'17'!$15:$68,'17'!$75:$102,'17'!$109:$125,'17'!#REF!,'17'!$132:$151,'17'!#REF!,'17'!#REF!</definedName>
    <definedName name="Z_51E3BC0E_B24A_447A_BC0A_03881122E44E_.wvu.Rows" localSheetId="16" hidden="1">'17'!$15:$68,'17'!$75:$102,'17'!$109:$125,'17'!#REF!,'17'!$132:$151,'17'!#REF!,'17'!#REF!</definedName>
    <definedName name="Z_5C60C8F2_A96A_4286_AB69_6A192D48B52D_.wvu.Rows" localSheetId="16" hidden="1">'17'!$15:$68,'17'!$75:$102,'17'!$109:$125,'17'!#REF!,'17'!$132:$151,'17'!#REF!,'17'!#REF!</definedName>
    <definedName name="Z_667B099C_8E79_4490_AC67_CFE2B9F8FC8D_.wvu.Rows" localSheetId="16" hidden="1">'17'!$15:$68,'17'!$75:$102,'17'!$109:$125,'17'!#REF!,'17'!$132:$151,'17'!#REF!,'17'!#REF!</definedName>
    <definedName name="Z_696C5A08_6B5C_4B07_9B14_11E12159ACF3_.wvu.Rows" localSheetId="16" hidden="1">'17'!$15:$68,'17'!$75:$102,'17'!$109:$125,'17'!#REF!,'17'!#REF!,'17'!#REF!</definedName>
    <definedName name="Z_743813BC_E137_480B_B63F_29E16C4A5D78_.wvu.Rows" localSheetId="16" hidden="1">'17'!$15:$68,'17'!$75:$102,'17'!$109:$125,'17'!#REF!,'17'!$132:$151,'17'!#REF!,'17'!#REF!</definedName>
    <definedName name="Z_7CD6C56D_7191_499D_884D_23F062610490_.wvu.Rows" localSheetId="16" hidden="1">'17'!$15:$68,'17'!$75:$102,'17'!$109:$125,'17'!#REF!,'17'!$132:$151,'17'!#REF!,'17'!#REF!</definedName>
    <definedName name="Z_8AB826A3_3F9F_46E8_8B3C_5D723650CD25_.wvu.Rows" localSheetId="16" hidden="1">'17'!$15:$68,'17'!$75:$102,'17'!$109:$125,'17'!#REF!,'17'!$132:$151,'17'!#REF!,'17'!#REF!</definedName>
    <definedName name="Z_9231B71C_ABB0_4122_BB61_A0E14ED7FAC4_.wvu.Rows" localSheetId="16" hidden="1">'17'!$15:$68,'17'!$75:$102,'17'!$109:$125,'17'!#REF!,'17'!$132:$151,'17'!#REF!,'17'!#REF!</definedName>
    <definedName name="Z_9CE42830_1BFE_4EEE_AD75_1C30A69A86B1_.wvu.Rows" localSheetId="16" hidden="1">'17'!$15:$68,'17'!$75:$102,'17'!$109:$125,'17'!#REF!,'17'!$132:$151,'17'!#REF!,'17'!#REF!</definedName>
    <definedName name="Z_9EA36D12_6C5C_4BE0_9897_E6710354124D_.wvu.Rows" localSheetId="16" hidden="1">'17'!$15:$68,'17'!$75:$102,'17'!$109:$125,'17'!#REF!,'17'!$132:$151,'17'!#REF!,'17'!#REF!</definedName>
    <definedName name="Z_A0F29F5B_FB6E_4C5E_B7A7_CDA651D38207_.wvu.Rows" localSheetId="16" hidden="1">'17'!$15:$68,'17'!$75:$102,'17'!$109:$125,'17'!#REF!,'17'!$132:$151,'17'!#REF!,'17'!#REF!</definedName>
    <definedName name="Z_A567DF6A_4F50_45D4_A9C8_0879E17AFD34_.wvu.Rows" localSheetId="16" hidden="1">'17'!$15:$68,'17'!$75:$102,'17'!$109:$125,'17'!#REF!,'17'!$132:$151,'17'!#REF!,'17'!#REF!</definedName>
    <definedName name="Z_B2CFD8C8_F8F8_47F1_9207_6BE81612C01C_.wvu.Rows" localSheetId="16" hidden="1">'17'!$15:$68,'17'!$75:$102,'17'!$109:$125,'17'!#REF!,'17'!$132:$151,'17'!#REF!,'17'!#REF!</definedName>
    <definedName name="Z_BBF15C7D_3EAF_4D98_9096_5B67F6C46C47_.wvu.Rows" localSheetId="16" hidden="1">'17'!$15:$68,'17'!$75:$102,'17'!$109:$125,'17'!#REF!,'17'!#REF!,'17'!#REF!</definedName>
    <definedName name="Z_C122BF8D_C115_42E1_B73A_F9B38D5EC060_.wvu.Rows" localSheetId="16" hidden="1">'17'!$15:$68,'17'!$75:$102,'17'!$109:$125,'17'!#REF!,'17'!$132:$151,'17'!#REF!,'17'!#REF!</definedName>
    <definedName name="Z_C4D254D6_9D1C_4B3C_972D_15957FD05DD2_.wvu.Rows" localSheetId="16" hidden="1">'17'!$15:$68,'17'!$75:$102,'17'!$109:$125,'17'!#REF!,'17'!$132:$151,'17'!#REF!,'17'!#REF!</definedName>
    <definedName name="Z_D4664C56_FB8A_499D_8E24_CCA12F97FAE9_.wvu.Rows" localSheetId="16" hidden="1">'17'!$15:$68,'17'!$75:$102,'17'!$109:$125,'17'!#REF!,'17'!$132:$151,'17'!#REF!,'17'!#REF!</definedName>
    <definedName name="Z_DD995061_F552_4E13_8D40_A47EBB03245B_.wvu.Rows" localSheetId="16" hidden="1">'17'!$15:$68,'17'!$75:$102,'17'!$109:$125,'17'!#REF!,'17'!$132:$151,'17'!#REF!,'17'!#REF!</definedName>
    <definedName name="Z_DE2F0B4F_79DE_40A0_A13B_9C7F63D3F970_.wvu.Rows" localSheetId="16" hidden="1">'17'!$15:$68,'17'!$75:$102,'17'!$109:$125,'17'!#REF!,'17'!$132:$151,'17'!#REF!,'17'!#REF!</definedName>
    <definedName name="Z_E765F84B_EAF3_44AE_A058_C602C1E67401_.wvu.Rows" localSheetId="16" hidden="1">'17'!$15:$68,'17'!$75:$102,'17'!$109:$125,'17'!#REF!,'17'!$132:$151,'17'!#REF!,'17'!#REF!</definedName>
    <definedName name="Z_F34DD4D3_7189_47AF_B853_F133E36CF124_.wvu.Rows" localSheetId="16" hidden="1">'17'!$15:$68,'17'!$75:$102,'17'!$109:$125,'17'!#REF!,'17'!$132:$151,'17'!#REF!,'17'!#REF!</definedName>
    <definedName name="Z_F82F81AB_9C82_4E79_8CA3_CEB2B994FC06_.wvu.Rows" localSheetId="16" hidden="1">'17'!$15:$68,'17'!$75:$102,'17'!$109:$125,'17'!#REF!,'17'!$132:$151,'17'!#REF!,'17'!#REF!</definedName>
    <definedName name="Z_F89CD5B0_594D_4248_B45D_59008422D599_.wvu.Rows" localSheetId="16" hidden="1">'17'!$15:$68,'17'!$75:$102,'17'!$109:$125,'17'!#REF!,'17'!$132:$151,'17'!#REF!,'17'!#REF!</definedName>
    <definedName name="Z_03FBB0AD_5353_49C6_B595_178BC13C96AE_.wvu.Rows" localSheetId="17" hidden="1">'18'!$15:$68,'18'!$75:$102,'18'!$109:$125,'18'!#REF!,'18'!$132:$151,'18'!#REF!,'18'!#REF!</definedName>
    <definedName name="Z_070961C3_1DC2_4518_83D7_B3F54BC58AE2_.wvu.Rows" localSheetId="17" hidden="1">'18'!$15:$68,'18'!$75:$102,'18'!$109:$125,'18'!#REF!,'18'!$132:$151,'18'!#REF!,'18'!#REF!</definedName>
    <definedName name="Z_0B87D63B_15AD_4587_A73B_CA4B62BDFA01_.wvu.Rows" localSheetId="17" hidden="1">'18'!$15:$68,'18'!$75:$102,'18'!$109:$125,'18'!#REF!,'18'!$132:$151,'18'!#REF!,'18'!#REF!</definedName>
    <definedName name="Z_1B9AB2B5_0A50_46C3_981D_8BE75BF62E46_.wvu.Rows" localSheetId="17" hidden="1">'18'!$15:$68,'18'!$75:$102,'18'!$109:$125,'18'!#REF!,'18'!$132:$151,'18'!#REF!,'18'!#REF!</definedName>
    <definedName name="Z_20A0B2F7_9F51_4E3D_A024_0877F1F98F8D_.wvu.Rows" localSheetId="17" hidden="1">'18'!$15:$68,'18'!$75:$102,'18'!$109:$125,'18'!#REF!,'18'!$132:$151,'18'!#REF!,'18'!#REF!</definedName>
    <definedName name="Z_2C3A3C66_1522_4337_93AC_DFC422DC8462_.wvu.Rows" localSheetId="17" hidden="1">'18'!$15:$68,'18'!$75:$102,'18'!$109:$125,'18'!#REF!,'18'!$132:$151,'18'!#REF!,'18'!#REF!</definedName>
    <definedName name="Z_2E074C0E_3584_4321_A729_0961B34312BF_.wvu.Rows" localSheetId="17" hidden="1">'18'!$15:$68,'18'!$75:$102,'18'!$109:$125,'18'!#REF!,'18'!$132:$151,'18'!#REF!,'18'!#REF!</definedName>
    <definedName name="Z_2FFCC83E_A488_4450_9F9E_FF506EAEF5FC_.wvu.Rows" localSheetId="17" hidden="1">'18'!$15:$68,'18'!$75:$102,'18'!$109:$125,'18'!#REF!,'18'!$132:$151,'18'!#REF!,'18'!#REF!</definedName>
    <definedName name="Z_3351A924_D23D_45D7_8354_55677D787CA4_.wvu.Rows" localSheetId="17" hidden="1">'18'!$15:$68,'18'!$75:$102,'18'!$109:$125,'18'!#REF!,'18'!$132:$151,'18'!#REF!,'18'!#REF!</definedName>
    <definedName name="Z_51E3BC0E_B24A_447A_BC0A_03881122E44E_.wvu.Rows" localSheetId="17" hidden="1">'18'!$15:$68,'18'!$75:$102,'18'!$109:$125,'18'!#REF!,'18'!$132:$151,'18'!#REF!,'18'!#REF!</definedName>
    <definedName name="Z_5C60C8F2_A96A_4286_AB69_6A192D48B52D_.wvu.Rows" localSheetId="17" hidden="1">'18'!$15:$68,'18'!$75:$102,'18'!$109:$125,'18'!#REF!,'18'!$132:$151,'18'!#REF!,'18'!#REF!</definedName>
    <definedName name="Z_667B099C_8E79_4490_AC67_CFE2B9F8FC8D_.wvu.Rows" localSheetId="17" hidden="1">'18'!$15:$68,'18'!$75:$102,'18'!$109:$125,'18'!#REF!,'18'!$132:$151,'18'!#REF!,'18'!#REF!</definedName>
    <definedName name="Z_696C5A08_6B5C_4B07_9B14_11E12159ACF3_.wvu.Rows" localSheetId="17" hidden="1">'18'!$15:$68,'18'!$75:$102,'18'!$109:$125,'18'!#REF!,'18'!#REF!,'18'!#REF!</definedName>
    <definedName name="Z_743813BC_E137_480B_B63F_29E16C4A5D78_.wvu.Rows" localSheetId="17" hidden="1">'18'!$15:$68,'18'!$75:$102,'18'!$109:$125,'18'!#REF!,'18'!$132:$151,'18'!#REF!,'18'!#REF!</definedName>
    <definedName name="Z_7CD6C56D_7191_499D_884D_23F062610490_.wvu.Rows" localSheetId="17" hidden="1">'18'!$15:$68,'18'!$75:$102,'18'!$109:$125,'18'!#REF!,'18'!$132:$151,'18'!#REF!,'18'!#REF!</definedName>
    <definedName name="Z_8AB826A3_3F9F_46E8_8B3C_5D723650CD25_.wvu.Rows" localSheetId="17" hidden="1">'18'!$15:$68,'18'!$75:$102,'18'!$109:$125,'18'!#REF!,'18'!$132:$151,'18'!#REF!,'18'!#REF!</definedName>
    <definedName name="Z_9231B71C_ABB0_4122_BB61_A0E14ED7FAC4_.wvu.Rows" localSheetId="17" hidden="1">'18'!$15:$68,'18'!$75:$102,'18'!$109:$125,'18'!#REF!,'18'!$132:$151,'18'!#REF!,'18'!#REF!</definedName>
    <definedName name="Z_9CE42830_1BFE_4EEE_AD75_1C30A69A86B1_.wvu.Rows" localSheetId="17" hidden="1">'18'!$15:$68,'18'!$75:$102,'18'!$109:$125,'18'!#REF!,'18'!$132:$151,'18'!#REF!,'18'!#REF!</definedName>
    <definedName name="Z_9EA36D12_6C5C_4BE0_9897_E6710354124D_.wvu.Rows" localSheetId="17" hidden="1">'18'!$15:$68,'18'!$75:$102,'18'!$109:$125,'18'!#REF!,'18'!$132:$151,'18'!#REF!,'18'!#REF!</definedName>
    <definedName name="Z_A0F29F5B_FB6E_4C5E_B7A7_CDA651D38207_.wvu.Rows" localSheetId="17" hidden="1">'18'!$15:$68,'18'!$75:$102,'18'!$109:$125,'18'!#REF!,'18'!$132:$151,'18'!#REF!,'18'!#REF!</definedName>
    <definedName name="Z_A567DF6A_4F50_45D4_A9C8_0879E17AFD34_.wvu.Rows" localSheetId="17" hidden="1">'18'!$15:$68,'18'!$75:$102,'18'!$109:$125,'18'!#REF!,'18'!$132:$151,'18'!#REF!,'18'!#REF!</definedName>
    <definedName name="Z_B2CFD8C8_F8F8_47F1_9207_6BE81612C01C_.wvu.Rows" localSheetId="17" hidden="1">'18'!$15:$68,'18'!$75:$102,'18'!$109:$125,'18'!#REF!,'18'!$132:$151,'18'!#REF!,'18'!#REF!</definedName>
    <definedName name="Z_BBF15C7D_3EAF_4D98_9096_5B67F6C46C47_.wvu.Rows" localSheetId="17" hidden="1">'18'!$15:$68,'18'!$75:$102,'18'!$109:$125,'18'!#REF!,'18'!#REF!,'18'!#REF!</definedName>
    <definedName name="Z_C122BF8D_C115_42E1_B73A_F9B38D5EC060_.wvu.Rows" localSheetId="17" hidden="1">'18'!$15:$68,'18'!$75:$102,'18'!$109:$125,'18'!#REF!,'18'!$132:$151,'18'!#REF!,'18'!#REF!</definedName>
    <definedName name="Z_C4D254D6_9D1C_4B3C_972D_15957FD05DD2_.wvu.Rows" localSheetId="17" hidden="1">'18'!$15:$68,'18'!$75:$102,'18'!$109:$125,'18'!#REF!,'18'!$132:$151,'18'!#REF!,'18'!#REF!</definedName>
    <definedName name="Z_D4664C56_FB8A_499D_8E24_CCA12F97FAE9_.wvu.Rows" localSheetId="17" hidden="1">'18'!$15:$68,'18'!$75:$102,'18'!$109:$125,'18'!#REF!,'18'!$132:$151,'18'!#REF!,'18'!#REF!</definedName>
    <definedName name="Z_DD995061_F552_4E13_8D40_A47EBB03245B_.wvu.Rows" localSheetId="17" hidden="1">'18'!$15:$68,'18'!$75:$102,'18'!$109:$125,'18'!#REF!,'18'!$132:$151,'18'!#REF!,'18'!#REF!</definedName>
    <definedName name="Z_DE2F0B4F_79DE_40A0_A13B_9C7F63D3F970_.wvu.Rows" localSheetId="17" hidden="1">'18'!$15:$68,'18'!$75:$102,'18'!$109:$125,'18'!#REF!,'18'!$132:$151,'18'!#REF!,'18'!#REF!</definedName>
    <definedName name="Z_E765F84B_EAF3_44AE_A058_C602C1E67401_.wvu.Rows" localSheetId="17" hidden="1">'18'!$15:$68,'18'!$75:$102,'18'!$109:$125,'18'!#REF!,'18'!$132:$151,'18'!#REF!,'18'!#REF!</definedName>
    <definedName name="Z_F34DD4D3_7189_47AF_B853_F133E36CF124_.wvu.Rows" localSheetId="17" hidden="1">'18'!$15:$68,'18'!$75:$102,'18'!$109:$125,'18'!#REF!,'18'!$132:$151,'18'!#REF!,'18'!#REF!</definedName>
    <definedName name="Z_F82F81AB_9C82_4E79_8CA3_CEB2B994FC06_.wvu.Rows" localSheetId="17" hidden="1">'18'!$15:$68,'18'!$75:$102,'18'!$109:$125,'18'!#REF!,'18'!$132:$151,'18'!#REF!,'18'!#REF!</definedName>
    <definedName name="Z_F89CD5B0_594D_4248_B45D_59008422D599_.wvu.Rows" localSheetId="17" hidden="1">'18'!$15:$68,'18'!$75:$102,'18'!$109:$125,'18'!#REF!,'18'!$132:$151,'18'!#REF!,'18'!#REF!</definedName>
    <definedName name="Z_03FBB0AD_5353_49C6_B595_178BC13C96AE_.wvu.Rows" localSheetId="18" hidden="1">'19'!$15:$68,'19'!$75:$102,'19'!$109:$125,'19'!#REF!,'19'!$132:$151,'19'!#REF!,'19'!#REF!</definedName>
    <definedName name="Z_070961C3_1DC2_4518_83D7_B3F54BC58AE2_.wvu.Rows" localSheetId="18" hidden="1">'19'!$15:$68,'19'!$75:$102,'19'!$109:$125,'19'!#REF!,'19'!$132:$151,'19'!#REF!,'19'!#REF!</definedName>
    <definedName name="Z_0B87D63B_15AD_4587_A73B_CA4B62BDFA01_.wvu.Rows" localSheetId="18" hidden="1">'19'!$15:$68,'19'!$75:$102,'19'!$109:$125,'19'!#REF!,'19'!$132:$151,'19'!#REF!,'19'!#REF!</definedName>
    <definedName name="Z_1B9AB2B5_0A50_46C3_981D_8BE75BF62E46_.wvu.Rows" localSheetId="18" hidden="1">'19'!$15:$68,'19'!$75:$102,'19'!$109:$125,'19'!#REF!,'19'!$132:$151,'19'!#REF!,'19'!#REF!</definedName>
    <definedName name="Z_20A0B2F7_9F51_4E3D_A024_0877F1F98F8D_.wvu.Rows" localSheetId="18" hidden="1">'19'!$15:$68,'19'!$75:$102,'19'!$109:$125,'19'!#REF!,'19'!$132:$151,'19'!#REF!,'19'!#REF!</definedName>
    <definedName name="Z_2C3A3C66_1522_4337_93AC_DFC422DC8462_.wvu.Rows" localSheetId="18" hidden="1">'19'!$15:$68,'19'!$75:$102,'19'!$109:$125,'19'!#REF!,'19'!$132:$151,'19'!#REF!,'19'!#REF!</definedName>
    <definedName name="Z_2E074C0E_3584_4321_A729_0961B34312BF_.wvu.Rows" localSheetId="18" hidden="1">'19'!$15:$68,'19'!$75:$102,'19'!$109:$125,'19'!#REF!,'19'!$132:$151,'19'!#REF!,'19'!#REF!</definedName>
    <definedName name="Z_2FFCC83E_A488_4450_9F9E_FF506EAEF5FC_.wvu.Rows" localSheetId="18" hidden="1">'19'!$15:$68,'19'!$75:$102,'19'!$109:$125,'19'!#REF!,'19'!$132:$151,'19'!#REF!,'19'!#REF!</definedName>
    <definedName name="Z_3351A924_D23D_45D7_8354_55677D787CA4_.wvu.Rows" localSheetId="18" hidden="1">'19'!$15:$68,'19'!$75:$102,'19'!$109:$125,'19'!#REF!,'19'!$132:$151,'19'!#REF!,'19'!#REF!</definedName>
    <definedName name="Z_51E3BC0E_B24A_447A_BC0A_03881122E44E_.wvu.Rows" localSheetId="18" hidden="1">'19'!$15:$68,'19'!$75:$102,'19'!$109:$125,'19'!#REF!,'19'!$132:$151,'19'!#REF!,'19'!#REF!</definedName>
    <definedName name="Z_5C60C8F2_A96A_4286_AB69_6A192D48B52D_.wvu.Rows" localSheetId="18" hidden="1">'19'!$15:$68,'19'!$75:$102,'19'!$109:$125,'19'!#REF!,'19'!$132:$151,'19'!#REF!,'19'!#REF!</definedName>
    <definedName name="Z_667B099C_8E79_4490_AC67_CFE2B9F8FC8D_.wvu.Rows" localSheetId="18" hidden="1">'19'!$15:$68,'19'!$75:$102,'19'!$109:$125,'19'!#REF!,'19'!$132:$151,'19'!#REF!,'19'!#REF!</definedName>
    <definedName name="Z_696C5A08_6B5C_4B07_9B14_11E12159ACF3_.wvu.Rows" localSheetId="18" hidden="1">'19'!$15:$68,'19'!$75:$102,'19'!$109:$125,'19'!#REF!,'19'!#REF!,'19'!#REF!</definedName>
    <definedName name="Z_743813BC_E137_480B_B63F_29E16C4A5D78_.wvu.Rows" localSheetId="18" hidden="1">'19'!$15:$68,'19'!$75:$102,'19'!$109:$125,'19'!#REF!,'19'!$132:$151,'19'!#REF!,'19'!#REF!</definedName>
    <definedName name="Z_7CD6C56D_7191_499D_884D_23F062610490_.wvu.Rows" localSheetId="18" hidden="1">'19'!$15:$68,'19'!$75:$102,'19'!$109:$125,'19'!#REF!,'19'!$132:$151,'19'!#REF!,'19'!#REF!</definedName>
    <definedName name="Z_8AB826A3_3F9F_46E8_8B3C_5D723650CD25_.wvu.Rows" localSheetId="18" hidden="1">'19'!$15:$68,'19'!$75:$102,'19'!$109:$125,'19'!#REF!,'19'!$132:$151,'19'!#REF!,'19'!#REF!</definedName>
    <definedName name="Z_9231B71C_ABB0_4122_BB61_A0E14ED7FAC4_.wvu.Rows" localSheetId="18" hidden="1">'19'!$15:$68,'19'!$75:$102,'19'!$109:$125,'19'!#REF!,'19'!$132:$151,'19'!#REF!,'19'!#REF!</definedName>
    <definedName name="Z_9CE42830_1BFE_4EEE_AD75_1C30A69A86B1_.wvu.Rows" localSheetId="18" hidden="1">'19'!$15:$68,'19'!$75:$102,'19'!$109:$125,'19'!#REF!,'19'!$132:$151,'19'!#REF!,'19'!#REF!</definedName>
    <definedName name="Z_9EA36D12_6C5C_4BE0_9897_E6710354124D_.wvu.Rows" localSheetId="18" hidden="1">'19'!$15:$68,'19'!$75:$102,'19'!$109:$125,'19'!#REF!,'19'!$132:$151,'19'!#REF!,'19'!#REF!</definedName>
    <definedName name="Z_A0F29F5B_FB6E_4C5E_B7A7_CDA651D38207_.wvu.Rows" localSheetId="18" hidden="1">'19'!$15:$68,'19'!$75:$102,'19'!$109:$125,'19'!#REF!,'19'!$132:$151,'19'!#REF!,'19'!#REF!</definedName>
    <definedName name="Z_A567DF6A_4F50_45D4_A9C8_0879E17AFD34_.wvu.Rows" localSheetId="18" hidden="1">'19'!$15:$68,'19'!$75:$102,'19'!$109:$125,'19'!#REF!,'19'!$132:$151,'19'!#REF!,'19'!#REF!</definedName>
    <definedName name="Z_B2CFD8C8_F8F8_47F1_9207_6BE81612C01C_.wvu.Rows" localSheetId="18" hidden="1">'19'!$15:$68,'19'!$75:$102,'19'!$109:$125,'19'!#REF!,'19'!$132:$151,'19'!#REF!,'19'!#REF!</definedName>
    <definedName name="Z_BBF15C7D_3EAF_4D98_9096_5B67F6C46C47_.wvu.Rows" localSheetId="18" hidden="1">'19'!$15:$68,'19'!$75:$102,'19'!$109:$125,'19'!#REF!,'19'!#REF!,'19'!#REF!</definedName>
    <definedName name="Z_C122BF8D_C115_42E1_B73A_F9B38D5EC060_.wvu.Rows" localSheetId="18" hidden="1">'19'!$15:$68,'19'!$75:$102,'19'!$109:$125,'19'!#REF!,'19'!$132:$151,'19'!#REF!,'19'!#REF!</definedName>
    <definedName name="Z_C4D254D6_9D1C_4B3C_972D_15957FD05DD2_.wvu.Rows" localSheetId="18" hidden="1">'19'!$15:$68,'19'!$75:$102,'19'!$109:$125,'19'!#REF!,'19'!$132:$151,'19'!#REF!,'19'!#REF!</definedName>
    <definedName name="Z_D4664C56_FB8A_499D_8E24_CCA12F97FAE9_.wvu.Rows" localSheetId="18" hidden="1">'19'!$15:$68,'19'!$75:$102,'19'!$109:$125,'19'!#REF!,'19'!$132:$151,'19'!#REF!,'19'!#REF!</definedName>
    <definedName name="Z_DD995061_F552_4E13_8D40_A47EBB03245B_.wvu.Rows" localSheetId="18" hidden="1">'19'!$15:$68,'19'!$75:$102,'19'!$109:$125,'19'!#REF!,'19'!$132:$151,'19'!#REF!,'19'!#REF!</definedName>
    <definedName name="Z_DE2F0B4F_79DE_40A0_A13B_9C7F63D3F970_.wvu.Rows" localSheetId="18" hidden="1">'19'!$15:$68,'19'!$75:$102,'19'!$109:$125,'19'!#REF!,'19'!$132:$151,'19'!#REF!,'19'!#REF!</definedName>
    <definedName name="Z_E765F84B_EAF3_44AE_A058_C602C1E67401_.wvu.Rows" localSheetId="18" hidden="1">'19'!$15:$68,'19'!$75:$102,'19'!$109:$125,'19'!#REF!,'19'!$132:$151,'19'!#REF!,'19'!#REF!</definedName>
    <definedName name="Z_F34DD4D3_7189_47AF_B853_F133E36CF124_.wvu.Rows" localSheetId="18" hidden="1">'19'!$15:$68,'19'!$75:$102,'19'!$109:$125,'19'!#REF!,'19'!$132:$151,'19'!#REF!,'19'!#REF!</definedName>
    <definedName name="Z_F82F81AB_9C82_4E79_8CA3_CEB2B994FC06_.wvu.Rows" localSheetId="18" hidden="1">'19'!$15:$68,'19'!$75:$102,'19'!$109:$125,'19'!#REF!,'19'!$132:$151,'19'!#REF!,'19'!#REF!</definedName>
    <definedName name="Z_F89CD5B0_594D_4248_B45D_59008422D599_.wvu.Rows" localSheetId="18" hidden="1">'19'!$15:$68,'19'!$75:$102,'19'!$109:$125,'19'!#REF!,'19'!$132:$151,'19'!#REF!,'19'!#REF!</definedName>
    <definedName name="Z_03FBB0AD_5353_49C6_B595_178BC13C96AE_.wvu.Rows" localSheetId="19" hidden="1">'20'!$15:$68,'20'!$75:$102,'20'!$109:$125,'20'!#REF!,'20'!$132:$151,'20'!#REF!,'20'!#REF!</definedName>
    <definedName name="Z_070961C3_1DC2_4518_83D7_B3F54BC58AE2_.wvu.Rows" localSheetId="19" hidden="1">'20'!$15:$68,'20'!$75:$102,'20'!$109:$125,'20'!#REF!,'20'!$132:$151,'20'!#REF!,'20'!#REF!</definedName>
    <definedName name="Z_0B87D63B_15AD_4587_A73B_CA4B62BDFA01_.wvu.Rows" localSheetId="19" hidden="1">'20'!$15:$68,'20'!$75:$102,'20'!$109:$125,'20'!#REF!,'20'!$132:$151,'20'!#REF!,'20'!#REF!</definedName>
    <definedName name="Z_1B9AB2B5_0A50_46C3_981D_8BE75BF62E46_.wvu.Rows" localSheetId="19" hidden="1">'20'!$15:$68,'20'!$75:$102,'20'!$109:$125,'20'!#REF!,'20'!$132:$151,'20'!#REF!,'20'!#REF!</definedName>
    <definedName name="Z_20A0B2F7_9F51_4E3D_A024_0877F1F98F8D_.wvu.Rows" localSheetId="19" hidden="1">'20'!$15:$68,'20'!$75:$102,'20'!$109:$125,'20'!#REF!,'20'!$132:$151,'20'!#REF!,'20'!#REF!</definedName>
    <definedName name="Z_2C3A3C66_1522_4337_93AC_DFC422DC8462_.wvu.Rows" localSheetId="19" hidden="1">'20'!$15:$68,'20'!$75:$102,'20'!$109:$125,'20'!#REF!,'20'!$132:$151,'20'!#REF!,'20'!#REF!</definedName>
    <definedName name="Z_2E074C0E_3584_4321_A729_0961B34312BF_.wvu.Rows" localSheetId="19" hidden="1">'20'!$15:$68,'20'!$75:$102,'20'!$109:$125,'20'!#REF!,'20'!$132:$151,'20'!#REF!,'20'!#REF!</definedName>
    <definedName name="Z_2FFCC83E_A488_4450_9F9E_FF506EAEF5FC_.wvu.Rows" localSheetId="19" hidden="1">'20'!$15:$68,'20'!$75:$102,'20'!$109:$125,'20'!#REF!,'20'!$132:$151,'20'!#REF!,'20'!#REF!</definedName>
    <definedName name="Z_3351A924_D23D_45D7_8354_55677D787CA4_.wvu.Rows" localSheetId="19" hidden="1">'20'!$15:$68,'20'!$75:$102,'20'!$109:$125,'20'!#REF!,'20'!$132:$151,'20'!#REF!,'20'!#REF!</definedName>
    <definedName name="Z_51E3BC0E_B24A_447A_BC0A_03881122E44E_.wvu.Rows" localSheetId="19" hidden="1">'20'!$15:$68,'20'!$75:$102,'20'!$109:$125,'20'!#REF!,'20'!$132:$151,'20'!#REF!,'20'!#REF!</definedName>
    <definedName name="Z_5C60C8F2_A96A_4286_AB69_6A192D48B52D_.wvu.Rows" localSheetId="19" hidden="1">'20'!$15:$68,'20'!$75:$102,'20'!$109:$125,'20'!#REF!,'20'!$132:$151,'20'!#REF!,'20'!#REF!</definedName>
    <definedName name="Z_667B099C_8E79_4490_AC67_CFE2B9F8FC8D_.wvu.Rows" localSheetId="19" hidden="1">'20'!$15:$68,'20'!$75:$102,'20'!$109:$125,'20'!#REF!,'20'!$132:$151,'20'!#REF!,'20'!#REF!</definedName>
    <definedName name="Z_696C5A08_6B5C_4B07_9B14_11E12159ACF3_.wvu.Rows" localSheetId="19" hidden="1">'20'!$15:$68,'20'!$75:$102,'20'!$109:$125,'20'!#REF!,'20'!#REF!,'20'!#REF!</definedName>
    <definedName name="Z_743813BC_E137_480B_B63F_29E16C4A5D78_.wvu.Rows" localSheetId="19" hidden="1">'20'!$15:$68,'20'!$75:$102,'20'!$109:$125,'20'!#REF!,'20'!$132:$151,'20'!#REF!,'20'!#REF!</definedName>
    <definedName name="Z_7CD6C56D_7191_499D_884D_23F062610490_.wvu.Rows" localSheetId="19" hidden="1">'20'!$15:$68,'20'!$75:$102,'20'!$109:$125,'20'!#REF!,'20'!$132:$151,'20'!#REF!,'20'!#REF!</definedName>
    <definedName name="Z_8AB826A3_3F9F_46E8_8B3C_5D723650CD25_.wvu.Rows" localSheetId="19" hidden="1">'20'!$15:$68,'20'!$75:$102,'20'!$109:$125,'20'!#REF!,'20'!$132:$151,'20'!#REF!,'20'!#REF!</definedName>
    <definedName name="Z_9231B71C_ABB0_4122_BB61_A0E14ED7FAC4_.wvu.Rows" localSheetId="19" hidden="1">'20'!$15:$68,'20'!$75:$102,'20'!$109:$125,'20'!#REF!,'20'!$132:$151,'20'!#REF!,'20'!#REF!</definedName>
    <definedName name="Z_9CE42830_1BFE_4EEE_AD75_1C30A69A86B1_.wvu.Rows" localSheetId="19" hidden="1">'20'!$15:$68,'20'!$75:$102,'20'!$109:$125,'20'!#REF!,'20'!$132:$151,'20'!#REF!,'20'!#REF!</definedName>
    <definedName name="Z_9EA36D12_6C5C_4BE0_9897_E6710354124D_.wvu.Rows" localSheetId="19" hidden="1">'20'!$15:$68,'20'!$75:$102,'20'!$109:$125,'20'!#REF!,'20'!$132:$151,'20'!#REF!,'20'!#REF!</definedName>
    <definedName name="Z_A0F29F5B_FB6E_4C5E_B7A7_CDA651D38207_.wvu.Rows" localSheetId="19" hidden="1">'20'!$15:$68,'20'!$75:$102,'20'!$109:$125,'20'!#REF!,'20'!$132:$151,'20'!#REF!,'20'!#REF!</definedName>
    <definedName name="Z_A567DF6A_4F50_45D4_A9C8_0879E17AFD34_.wvu.Rows" localSheetId="19" hidden="1">'20'!$15:$68,'20'!$75:$102,'20'!$109:$125,'20'!#REF!,'20'!$132:$151,'20'!#REF!,'20'!#REF!</definedName>
    <definedName name="Z_B2CFD8C8_F8F8_47F1_9207_6BE81612C01C_.wvu.Rows" localSheetId="19" hidden="1">'20'!$15:$68,'20'!$75:$102,'20'!$109:$125,'20'!#REF!,'20'!$132:$151,'20'!#REF!,'20'!#REF!</definedName>
    <definedName name="Z_BBF15C7D_3EAF_4D98_9096_5B67F6C46C47_.wvu.Rows" localSheetId="19" hidden="1">'20'!$15:$68,'20'!$75:$102,'20'!$109:$125,'20'!#REF!,'20'!#REF!,'20'!#REF!</definedName>
    <definedName name="Z_C122BF8D_C115_42E1_B73A_F9B38D5EC060_.wvu.Rows" localSheetId="19" hidden="1">'20'!$15:$68,'20'!$75:$102,'20'!$109:$125,'20'!#REF!,'20'!$132:$151,'20'!#REF!,'20'!#REF!</definedName>
    <definedName name="Z_C4D254D6_9D1C_4B3C_972D_15957FD05DD2_.wvu.Rows" localSheetId="19" hidden="1">'20'!$15:$68,'20'!$75:$102,'20'!$109:$125,'20'!#REF!,'20'!$132:$151,'20'!#REF!,'20'!#REF!</definedName>
    <definedName name="Z_D4664C56_FB8A_499D_8E24_CCA12F97FAE9_.wvu.Rows" localSheetId="19" hidden="1">'20'!$15:$68,'20'!$75:$102,'20'!$109:$125,'20'!#REF!,'20'!$132:$151,'20'!#REF!,'20'!#REF!</definedName>
    <definedName name="Z_DD995061_F552_4E13_8D40_A47EBB03245B_.wvu.Rows" localSheetId="19" hidden="1">'20'!$15:$68,'20'!$75:$102,'20'!$109:$125,'20'!#REF!,'20'!$132:$151,'20'!#REF!,'20'!#REF!</definedName>
    <definedName name="Z_DE2F0B4F_79DE_40A0_A13B_9C7F63D3F970_.wvu.Rows" localSheetId="19" hidden="1">'20'!$15:$68,'20'!$75:$102,'20'!$109:$125,'20'!#REF!,'20'!$132:$151,'20'!#REF!,'20'!#REF!</definedName>
    <definedName name="Z_E765F84B_EAF3_44AE_A058_C602C1E67401_.wvu.Rows" localSheetId="19" hidden="1">'20'!$15:$68,'20'!$75:$102,'20'!$109:$125,'20'!#REF!,'20'!$132:$151,'20'!#REF!,'20'!#REF!</definedName>
    <definedName name="Z_F34DD4D3_7189_47AF_B853_F133E36CF124_.wvu.Rows" localSheetId="19" hidden="1">'20'!$15:$68,'20'!$75:$102,'20'!$109:$125,'20'!#REF!,'20'!$132:$151,'20'!#REF!,'20'!#REF!</definedName>
    <definedName name="Z_F82F81AB_9C82_4E79_8CA3_CEB2B994FC06_.wvu.Rows" localSheetId="19" hidden="1">'20'!$15:$68,'20'!$75:$102,'20'!$109:$125,'20'!#REF!,'20'!$132:$151,'20'!#REF!,'20'!#REF!</definedName>
    <definedName name="Z_F89CD5B0_594D_4248_B45D_59008422D599_.wvu.Rows" localSheetId="19" hidden="1">'20'!$15:$68,'20'!$75:$102,'20'!$109:$125,'20'!#REF!,'20'!$132:$151,'20'!#REF!,'20'!#REF!</definedName>
    <definedName name="Z_03FBB0AD_5353_49C6_B595_178BC13C96AE_.wvu.Rows" localSheetId="20" hidden="1">'21'!$15:$68,'21'!$75:$102,'21'!$109:$125,'21'!#REF!,'21'!$132:$151,'21'!#REF!,'21'!#REF!</definedName>
    <definedName name="Z_070961C3_1DC2_4518_83D7_B3F54BC58AE2_.wvu.Rows" localSheetId="20" hidden="1">'21'!$15:$68,'21'!$75:$102,'21'!$109:$125,'21'!#REF!,'21'!$132:$151,'21'!#REF!,'21'!#REF!</definedName>
    <definedName name="Z_0B87D63B_15AD_4587_A73B_CA4B62BDFA01_.wvu.Rows" localSheetId="20" hidden="1">'21'!$15:$68,'21'!$75:$102,'21'!$109:$125,'21'!#REF!,'21'!$132:$151,'21'!#REF!,'21'!#REF!</definedName>
    <definedName name="Z_1B9AB2B5_0A50_46C3_981D_8BE75BF62E46_.wvu.Rows" localSheetId="20" hidden="1">'21'!$15:$68,'21'!$75:$102,'21'!$109:$125,'21'!#REF!,'21'!$132:$151,'21'!#REF!,'21'!#REF!</definedName>
    <definedName name="Z_20A0B2F7_9F51_4E3D_A024_0877F1F98F8D_.wvu.Rows" localSheetId="20" hidden="1">'21'!$15:$68,'21'!$75:$102,'21'!$109:$125,'21'!#REF!,'21'!$132:$151,'21'!#REF!,'21'!#REF!</definedName>
    <definedName name="Z_2C3A3C66_1522_4337_93AC_DFC422DC8462_.wvu.Rows" localSheetId="20" hidden="1">'21'!$15:$68,'21'!$75:$102,'21'!$109:$125,'21'!#REF!,'21'!$132:$151,'21'!#REF!,'21'!#REF!</definedName>
    <definedName name="Z_2E074C0E_3584_4321_A729_0961B34312BF_.wvu.Rows" localSheetId="20" hidden="1">'21'!$15:$68,'21'!$75:$102,'21'!$109:$125,'21'!#REF!,'21'!$132:$151,'21'!#REF!,'21'!#REF!</definedName>
    <definedName name="Z_2FFCC83E_A488_4450_9F9E_FF506EAEF5FC_.wvu.Rows" localSheetId="20" hidden="1">'21'!$15:$68,'21'!$75:$102,'21'!$109:$125,'21'!#REF!,'21'!$132:$151,'21'!#REF!,'21'!#REF!</definedName>
    <definedName name="Z_3351A924_D23D_45D7_8354_55677D787CA4_.wvu.Rows" localSheetId="20" hidden="1">'21'!$15:$68,'21'!$75:$102,'21'!$109:$125,'21'!#REF!,'21'!$132:$151,'21'!#REF!,'21'!#REF!</definedName>
    <definedName name="Z_51E3BC0E_B24A_447A_BC0A_03881122E44E_.wvu.Rows" localSheetId="20" hidden="1">'21'!$15:$68,'21'!$75:$102,'21'!$109:$125,'21'!#REF!,'21'!$132:$151,'21'!#REF!,'21'!#REF!</definedName>
    <definedName name="Z_5C60C8F2_A96A_4286_AB69_6A192D48B52D_.wvu.Rows" localSheetId="20" hidden="1">'21'!$15:$68,'21'!$75:$102,'21'!$109:$125,'21'!#REF!,'21'!$132:$151,'21'!#REF!,'21'!#REF!</definedName>
    <definedName name="Z_667B099C_8E79_4490_AC67_CFE2B9F8FC8D_.wvu.Rows" localSheetId="20" hidden="1">'21'!$15:$68,'21'!$75:$102,'21'!$109:$125,'21'!#REF!,'21'!$132:$151,'21'!#REF!,'21'!#REF!</definedName>
    <definedName name="Z_696C5A08_6B5C_4B07_9B14_11E12159ACF3_.wvu.Rows" localSheetId="20" hidden="1">'21'!$15:$68,'21'!$75:$102,'21'!$109:$125,'21'!#REF!,'21'!#REF!,'21'!#REF!</definedName>
    <definedName name="Z_743813BC_E137_480B_B63F_29E16C4A5D78_.wvu.Rows" localSheetId="20" hidden="1">'21'!$15:$68,'21'!$75:$102,'21'!$109:$125,'21'!#REF!,'21'!$132:$151,'21'!#REF!,'21'!#REF!</definedName>
    <definedName name="Z_7CD6C56D_7191_499D_884D_23F062610490_.wvu.Rows" localSheetId="20" hidden="1">'21'!$15:$68,'21'!$75:$102,'21'!$109:$125,'21'!#REF!,'21'!$132:$151,'21'!#REF!,'21'!#REF!</definedName>
    <definedName name="Z_8AB826A3_3F9F_46E8_8B3C_5D723650CD25_.wvu.Rows" localSheetId="20" hidden="1">'21'!$15:$68,'21'!$75:$102,'21'!$109:$125,'21'!#REF!,'21'!$132:$151,'21'!#REF!,'21'!#REF!</definedName>
    <definedName name="Z_9231B71C_ABB0_4122_BB61_A0E14ED7FAC4_.wvu.Rows" localSheetId="20" hidden="1">'21'!$15:$68,'21'!$75:$102,'21'!$109:$125,'21'!#REF!,'21'!$132:$151,'21'!#REF!,'21'!#REF!</definedName>
    <definedName name="Z_9CE42830_1BFE_4EEE_AD75_1C30A69A86B1_.wvu.Rows" localSheetId="20" hidden="1">'21'!$15:$68,'21'!$75:$102,'21'!$109:$125,'21'!#REF!,'21'!$132:$151,'21'!#REF!,'21'!#REF!</definedName>
    <definedName name="Z_9EA36D12_6C5C_4BE0_9897_E6710354124D_.wvu.Rows" localSheetId="20" hidden="1">'21'!$15:$68,'21'!$75:$102,'21'!$109:$125,'21'!#REF!,'21'!$132:$151,'21'!#REF!,'21'!#REF!</definedName>
    <definedName name="Z_A0F29F5B_FB6E_4C5E_B7A7_CDA651D38207_.wvu.Rows" localSheetId="20" hidden="1">'21'!$15:$68,'21'!$75:$102,'21'!$109:$125,'21'!#REF!,'21'!$132:$151,'21'!#REF!,'21'!#REF!</definedName>
    <definedName name="Z_A567DF6A_4F50_45D4_A9C8_0879E17AFD34_.wvu.Rows" localSheetId="20" hidden="1">'21'!$15:$68,'21'!$75:$102,'21'!$109:$125,'21'!#REF!,'21'!$132:$151,'21'!#REF!,'21'!#REF!</definedName>
    <definedName name="Z_B2CFD8C8_F8F8_47F1_9207_6BE81612C01C_.wvu.Rows" localSheetId="20" hidden="1">'21'!$15:$68,'21'!$75:$102,'21'!$109:$125,'21'!#REF!,'21'!$132:$151,'21'!#REF!,'21'!#REF!</definedName>
    <definedName name="Z_BBF15C7D_3EAF_4D98_9096_5B67F6C46C47_.wvu.Rows" localSheetId="20" hidden="1">'21'!$15:$68,'21'!$75:$102,'21'!$109:$125,'21'!#REF!,'21'!#REF!,'21'!#REF!</definedName>
    <definedName name="Z_C122BF8D_C115_42E1_B73A_F9B38D5EC060_.wvu.Rows" localSheetId="20" hidden="1">'21'!$15:$68,'21'!$75:$102,'21'!$109:$125,'21'!#REF!,'21'!$132:$151,'21'!#REF!,'21'!#REF!</definedName>
    <definedName name="Z_C4D254D6_9D1C_4B3C_972D_15957FD05DD2_.wvu.Rows" localSheetId="20" hidden="1">'21'!$15:$68,'21'!$75:$102,'21'!$109:$125,'21'!#REF!,'21'!$132:$151,'21'!#REF!,'21'!#REF!</definedName>
    <definedName name="Z_D4664C56_FB8A_499D_8E24_CCA12F97FAE9_.wvu.Rows" localSheetId="20" hidden="1">'21'!$15:$68,'21'!$75:$102,'21'!$109:$125,'21'!#REF!,'21'!$132:$151,'21'!#REF!,'21'!#REF!</definedName>
    <definedName name="Z_DD995061_F552_4E13_8D40_A47EBB03245B_.wvu.Rows" localSheetId="20" hidden="1">'21'!$15:$68,'21'!$75:$102,'21'!$109:$125,'21'!#REF!,'21'!$132:$151,'21'!#REF!,'21'!#REF!</definedName>
    <definedName name="Z_DE2F0B4F_79DE_40A0_A13B_9C7F63D3F970_.wvu.Rows" localSheetId="20" hidden="1">'21'!$15:$68,'21'!$75:$102,'21'!$109:$125,'21'!#REF!,'21'!$132:$151,'21'!#REF!,'21'!#REF!</definedName>
    <definedName name="Z_E765F84B_EAF3_44AE_A058_C602C1E67401_.wvu.Rows" localSheetId="20" hidden="1">'21'!$15:$68,'21'!$75:$102,'21'!$109:$125,'21'!#REF!,'21'!$132:$151,'21'!#REF!,'21'!#REF!</definedName>
    <definedName name="Z_F34DD4D3_7189_47AF_B853_F133E36CF124_.wvu.Rows" localSheetId="20" hidden="1">'21'!$15:$68,'21'!$75:$102,'21'!$109:$125,'21'!#REF!,'21'!$132:$151,'21'!#REF!,'21'!#REF!</definedName>
    <definedName name="Z_F82F81AB_9C82_4E79_8CA3_CEB2B994FC06_.wvu.Rows" localSheetId="20" hidden="1">'21'!$15:$68,'21'!$75:$102,'21'!$109:$125,'21'!#REF!,'21'!$132:$151,'21'!#REF!,'21'!#REF!</definedName>
    <definedName name="Z_F89CD5B0_594D_4248_B45D_59008422D599_.wvu.Rows" localSheetId="20" hidden="1">'21'!$15:$68,'21'!$75:$102,'21'!$109:$125,'21'!#REF!,'21'!$132:$151,'21'!#REF!,'21'!#REF!</definedName>
    <definedName name="Z_03FBB0AD_5353_49C6_B595_178BC13C96AE_.wvu.Rows" localSheetId="21" hidden="1">'22'!$15:$68,'22'!$75:$102,'22'!$109:$125,'22'!#REF!,'22'!$132:$151,'22'!#REF!,'22'!#REF!</definedName>
    <definedName name="Z_070961C3_1DC2_4518_83D7_B3F54BC58AE2_.wvu.Rows" localSheetId="21" hidden="1">'22'!$15:$68,'22'!$75:$102,'22'!$109:$125,'22'!#REF!,'22'!$132:$151,'22'!#REF!,'22'!#REF!</definedName>
    <definedName name="Z_0B87D63B_15AD_4587_A73B_CA4B62BDFA01_.wvu.Rows" localSheetId="21" hidden="1">'22'!$15:$68,'22'!$75:$102,'22'!$109:$125,'22'!#REF!,'22'!$132:$151,'22'!#REF!,'22'!#REF!</definedName>
    <definedName name="Z_1B9AB2B5_0A50_46C3_981D_8BE75BF62E46_.wvu.Rows" localSheetId="21" hidden="1">'22'!$15:$68,'22'!$75:$102,'22'!$109:$125,'22'!#REF!,'22'!$132:$151,'22'!#REF!,'22'!#REF!</definedName>
    <definedName name="Z_20A0B2F7_9F51_4E3D_A024_0877F1F98F8D_.wvu.Rows" localSheetId="21" hidden="1">'22'!$15:$68,'22'!$75:$102,'22'!$109:$125,'22'!#REF!,'22'!$132:$151,'22'!#REF!,'22'!#REF!</definedName>
    <definedName name="Z_2C3A3C66_1522_4337_93AC_DFC422DC8462_.wvu.Rows" localSheetId="21" hidden="1">'22'!$15:$68,'22'!$75:$102,'22'!$109:$125,'22'!#REF!,'22'!$132:$151,'22'!#REF!,'22'!#REF!</definedName>
    <definedName name="Z_2E074C0E_3584_4321_A729_0961B34312BF_.wvu.Rows" localSheetId="21" hidden="1">'22'!$15:$68,'22'!$75:$102,'22'!$109:$125,'22'!#REF!,'22'!$132:$151,'22'!#REF!,'22'!#REF!</definedName>
    <definedName name="Z_2FFCC83E_A488_4450_9F9E_FF506EAEF5FC_.wvu.Rows" localSheetId="21" hidden="1">'22'!$15:$68,'22'!$75:$102,'22'!$109:$125,'22'!#REF!,'22'!$132:$151,'22'!#REF!,'22'!#REF!</definedName>
    <definedName name="Z_3351A924_D23D_45D7_8354_55677D787CA4_.wvu.Rows" localSheetId="21" hidden="1">'22'!$15:$68,'22'!$75:$102,'22'!$109:$125,'22'!#REF!,'22'!$132:$151,'22'!#REF!,'22'!#REF!</definedName>
    <definedName name="Z_51E3BC0E_B24A_447A_BC0A_03881122E44E_.wvu.Rows" localSheetId="21" hidden="1">'22'!$15:$68,'22'!$75:$102,'22'!$109:$125,'22'!#REF!,'22'!$132:$151,'22'!#REF!,'22'!#REF!</definedName>
    <definedName name="Z_5C60C8F2_A96A_4286_AB69_6A192D48B52D_.wvu.Rows" localSheetId="21" hidden="1">'22'!$15:$68,'22'!$75:$102,'22'!$109:$125,'22'!#REF!,'22'!$132:$151,'22'!#REF!,'22'!#REF!</definedName>
    <definedName name="Z_667B099C_8E79_4490_AC67_CFE2B9F8FC8D_.wvu.Rows" localSheetId="21" hidden="1">'22'!$15:$68,'22'!$75:$102,'22'!$109:$125,'22'!#REF!,'22'!$132:$151,'22'!#REF!,'22'!#REF!</definedName>
    <definedName name="Z_696C5A08_6B5C_4B07_9B14_11E12159ACF3_.wvu.Rows" localSheetId="21" hidden="1">'22'!$15:$68,'22'!$75:$102,'22'!$109:$125,'22'!#REF!,'22'!#REF!,'22'!#REF!</definedName>
    <definedName name="Z_743813BC_E137_480B_B63F_29E16C4A5D78_.wvu.Rows" localSheetId="21" hidden="1">'22'!$15:$68,'22'!$75:$102,'22'!$109:$125,'22'!#REF!,'22'!$132:$151,'22'!#REF!,'22'!#REF!</definedName>
    <definedName name="Z_7CD6C56D_7191_499D_884D_23F062610490_.wvu.Rows" localSheetId="21" hidden="1">'22'!$15:$68,'22'!$75:$102,'22'!$109:$125,'22'!#REF!,'22'!$132:$151,'22'!#REF!,'22'!#REF!</definedName>
    <definedName name="Z_8AB826A3_3F9F_46E8_8B3C_5D723650CD25_.wvu.Rows" localSheetId="21" hidden="1">'22'!$15:$68,'22'!$75:$102,'22'!$109:$125,'22'!#REF!,'22'!$132:$151,'22'!#REF!,'22'!#REF!</definedName>
    <definedName name="Z_9231B71C_ABB0_4122_BB61_A0E14ED7FAC4_.wvu.Rows" localSheetId="21" hidden="1">'22'!$15:$68,'22'!$75:$102,'22'!$109:$125,'22'!#REF!,'22'!$132:$151,'22'!#REF!,'22'!#REF!</definedName>
    <definedName name="Z_9CE42830_1BFE_4EEE_AD75_1C30A69A86B1_.wvu.Rows" localSheetId="21" hidden="1">'22'!$15:$68,'22'!$75:$102,'22'!$109:$125,'22'!#REF!,'22'!$132:$151,'22'!#REF!,'22'!#REF!</definedName>
    <definedName name="Z_9EA36D12_6C5C_4BE0_9897_E6710354124D_.wvu.Rows" localSheetId="21" hidden="1">'22'!$15:$68,'22'!$75:$102,'22'!$109:$125,'22'!#REF!,'22'!$132:$151,'22'!#REF!,'22'!#REF!</definedName>
    <definedName name="Z_A0F29F5B_FB6E_4C5E_B7A7_CDA651D38207_.wvu.Rows" localSheetId="21" hidden="1">'22'!$15:$68,'22'!$75:$102,'22'!$109:$125,'22'!#REF!,'22'!$132:$151,'22'!#REF!,'22'!#REF!</definedName>
    <definedName name="Z_A567DF6A_4F50_45D4_A9C8_0879E17AFD34_.wvu.Rows" localSheetId="21" hidden="1">'22'!$15:$68,'22'!$75:$102,'22'!$109:$125,'22'!#REF!,'22'!$132:$151,'22'!#REF!,'22'!#REF!</definedName>
    <definedName name="Z_B2CFD8C8_F8F8_47F1_9207_6BE81612C01C_.wvu.Rows" localSheetId="21" hidden="1">'22'!$15:$68,'22'!$75:$102,'22'!$109:$125,'22'!#REF!,'22'!$132:$151,'22'!#REF!,'22'!#REF!</definedName>
    <definedName name="Z_BBF15C7D_3EAF_4D98_9096_5B67F6C46C47_.wvu.Rows" localSheetId="21" hidden="1">'22'!$15:$68,'22'!$75:$102,'22'!$109:$125,'22'!#REF!,'22'!#REF!,'22'!#REF!</definedName>
    <definedName name="Z_C122BF8D_C115_42E1_B73A_F9B38D5EC060_.wvu.Rows" localSheetId="21" hidden="1">'22'!$15:$68,'22'!$75:$102,'22'!$109:$125,'22'!#REF!,'22'!$132:$151,'22'!#REF!,'22'!#REF!</definedName>
    <definedName name="Z_C4D254D6_9D1C_4B3C_972D_15957FD05DD2_.wvu.Rows" localSheetId="21" hidden="1">'22'!$15:$68,'22'!$75:$102,'22'!$109:$125,'22'!#REF!,'22'!$132:$151,'22'!#REF!,'22'!#REF!</definedName>
    <definedName name="Z_D4664C56_FB8A_499D_8E24_CCA12F97FAE9_.wvu.Rows" localSheetId="21" hidden="1">'22'!$15:$68,'22'!$75:$102,'22'!$109:$125,'22'!#REF!,'22'!$132:$151,'22'!#REF!,'22'!#REF!</definedName>
    <definedName name="Z_DD995061_F552_4E13_8D40_A47EBB03245B_.wvu.Rows" localSheetId="21" hidden="1">'22'!$15:$68,'22'!$75:$102,'22'!$109:$125,'22'!#REF!,'22'!$132:$151,'22'!#REF!,'22'!#REF!</definedName>
    <definedName name="Z_DE2F0B4F_79DE_40A0_A13B_9C7F63D3F970_.wvu.Rows" localSheetId="21" hidden="1">'22'!$15:$68,'22'!$75:$102,'22'!$109:$125,'22'!#REF!,'22'!$132:$151,'22'!#REF!,'22'!#REF!</definedName>
    <definedName name="Z_E765F84B_EAF3_44AE_A058_C602C1E67401_.wvu.Rows" localSheetId="21" hidden="1">'22'!$15:$68,'22'!$75:$102,'22'!$109:$125,'22'!#REF!,'22'!$132:$151,'22'!#REF!,'22'!#REF!</definedName>
    <definedName name="Z_F34DD4D3_7189_47AF_B853_F133E36CF124_.wvu.Rows" localSheetId="21" hidden="1">'22'!$15:$68,'22'!$75:$102,'22'!$109:$125,'22'!#REF!,'22'!$132:$151,'22'!#REF!,'22'!#REF!</definedName>
    <definedName name="Z_F82F81AB_9C82_4E79_8CA3_CEB2B994FC06_.wvu.Rows" localSheetId="21" hidden="1">'22'!$15:$68,'22'!$75:$102,'22'!$109:$125,'22'!#REF!,'22'!$132:$151,'22'!#REF!,'22'!#REF!</definedName>
    <definedName name="Z_F89CD5B0_594D_4248_B45D_59008422D599_.wvu.Rows" localSheetId="21" hidden="1">'22'!$15:$68,'22'!$75:$102,'22'!$109:$125,'22'!#REF!,'22'!$132:$151,'22'!#REF!,'22'!#REF!</definedName>
    <definedName name="Z_03FBB0AD_5353_49C6_B595_178BC13C96AE_.wvu.Rows" localSheetId="22" hidden="1">'23'!$15:$68,'23'!$75:$102,'23'!$109:$125,'23'!#REF!,'23'!$132:$151,'23'!#REF!,'23'!#REF!</definedName>
    <definedName name="Z_070961C3_1DC2_4518_83D7_B3F54BC58AE2_.wvu.Rows" localSheetId="22" hidden="1">'23'!$15:$68,'23'!$75:$102,'23'!$109:$125,'23'!#REF!,'23'!$132:$151,'23'!#REF!,'23'!#REF!</definedName>
    <definedName name="Z_0B87D63B_15AD_4587_A73B_CA4B62BDFA01_.wvu.Rows" localSheetId="22" hidden="1">'23'!$15:$68,'23'!$75:$102,'23'!$109:$125,'23'!#REF!,'23'!$132:$151,'23'!#REF!,'23'!#REF!</definedName>
    <definedName name="Z_1B9AB2B5_0A50_46C3_981D_8BE75BF62E46_.wvu.Rows" localSheetId="22" hidden="1">'23'!$15:$68,'23'!$75:$102,'23'!$109:$125,'23'!#REF!,'23'!$132:$151,'23'!#REF!,'23'!#REF!</definedName>
    <definedName name="Z_20A0B2F7_9F51_4E3D_A024_0877F1F98F8D_.wvu.Rows" localSheetId="22" hidden="1">'23'!$15:$68,'23'!$75:$102,'23'!$109:$125,'23'!#REF!,'23'!$132:$151,'23'!#REF!,'23'!#REF!</definedName>
    <definedName name="Z_2C3A3C66_1522_4337_93AC_DFC422DC8462_.wvu.Rows" localSheetId="22" hidden="1">'23'!$15:$68,'23'!$75:$102,'23'!$109:$125,'23'!#REF!,'23'!$132:$151,'23'!#REF!,'23'!#REF!</definedName>
    <definedName name="Z_2E074C0E_3584_4321_A729_0961B34312BF_.wvu.Rows" localSheetId="22" hidden="1">'23'!$15:$68,'23'!$75:$102,'23'!$109:$125,'23'!#REF!,'23'!$132:$151,'23'!#REF!,'23'!#REF!</definedName>
    <definedName name="Z_2FFCC83E_A488_4450_9F9E_FF506EAEF5FC_.wvu.Rows" localSheetId="22" hidden="1">'23'!$15:$68,'23'!$75:$102,'23'!$109:$125,'23'!#REF!,'23'!$132:$151,'23'!#REF!,'23'!#REF!</definedName>
    <definedName name="Z_3351A924_D23D_45D7_8354_55677D787CA4_.wvu.Rows" localSheetId="22" hidden="1">'23'!$15:$68,'23'!$75:$102,'23'!$109:$125,'23'!#REF!,'23'!$132:$151,'23'!#REF!,'23'!#REF!</definedName>
    <definedName name="Z_51E3BC0E_B24A_447A_BC0A_03881122E44E_.wvu.Rows" localSheetId="22" hidden="1">'23'!$15:$68,'23'!$75:$102,'23'!$109:$125,'23'!#REF!,'23'!$132:$151,'23'!#REF!,'23'!#REF!</definedName>
    <definedName name="Z_5C60C8F2_A96A_4286_AB69_6A192D48B52D_.wvu.Rows" localSheetId="22" hidden="1">'23'!$15:$68,'23'!$75:$102,'23'!$109:$125,'23'!#REF!,'23'!$132:$151,'23'!#REF!,'23'!#REF!</definedName>
    <definedName name="Z_667B099C_8E79_4490_AC67_CFE2B9F8FC8D_.wvu.Rows" localSheetId="22" hidden="1">'23'!$15:$68,'23'!$75:$102,'23'!$109:$125,'23'!#REF!,'23'!$132:$151,'23'!#REF!,'23'!#REF!</definedName>
    <definedName name="Z_696C5A08_6B5C_4B07_9B14_11E12159ACF3_.wvu.Rows" localSheetId="22" hidden="1">'23'!$15:$68,'23'!$75:$102,'23'!$109:$125,'23'!#REF!,'23'!#REF!,'23'!#REF!</definedName>
    <definedName name="Z_743813BC_E137_480B_B63F_29E16C4A5D78_.wvu.Rows" localSheetId="22" hidden="1">'23'!$15:$68,'23'!$75:$102,'23'!$109:$125,'23'!#REF!,'23'!$132:$151,'23'!#REF!,'23'!#REF!</definedName>
    <definedName name="Z_7CD6C56D_7191_499D_884D_23F062610490_.wvu.Rows" localSheetId="22" hidden="1">'23'!$15:$68,'23'!$75:$102,'23'!$109:$125,'23'!#REF!,'23'!$132:$151,'23'!#REF!,'23'!#REF!</definedName>
    <definedName name="Z_8AB826A3_3F9F_46E8_8B3C_5D723650CD25_.wvu.Rows" localSheetId="22" hidden="1">'23'!$15:$68,'23'!$75:$102,'23'!$109:$125,'23'!#REF!,'23'!$132:$151,'23'!#REF!,'23'!#REF!</definedName>
    <definedName name="Z_9231B71C_ABB0_4122_BB61_A0E14ED7FAC4_.wvu.Rows" localSheetId="22" hidden="1">'23'!$15:$68,'23'!$75:$102,'23'!$109:$125,'23'!#REF!,'23'!$132:$151,'23'!#REF!,'23'!#REF!</definedName>
    <definedName name="Z_9CE42830_1BFE_4EEE_AD75_1C30A69A86B1_.wvu.Rows" localSheetId="22" hidden="1">'23'!$15:$68,'23'!$75:$102,'23'!$109:$125,'23'!#REF!,'23'!$132:$151,'23'!#REF!,'23'!#REF!</definedName>
    <definedName name="Z_9EA36D12_6C5C_4BE0_9897_E6710354124D_.wvu.Rows" localSheetId="22" hidden="1">'23'!$15:$68,'23'!$75:$102,'23'!$109:$125,'23'!#REF!,'23'!$132:$151,'23'!#REF!,'23'!#REF!</definedName>
    <definedName name="Z_A0F29F5B_FB6E_4C5E_B7A7_CDA651D38207_.wvu.Rows" localSheetId="22" hidden="1">'23'!$15:$68,'23'!$75:$102,'23'!$109:$125,'23'!#REF!,'23'!$132:$151,'23'!#REF!,'23'!#REF!</definedName>
    <definedName name="Z_A567DF6A_4F50_45D4_A9C8_0879E17AFD34_.wvu.Rows" localSheetId="22" hidden="1">'23'!$15:$68,'23'!$75:$102,'23'!$109:$125,'23'!#REF!,'23'!$132:$151,'23'!#REF!,'23'!#REF!</definedName>
    <definedName name="Z_B2CFD8C8_F8F8_47F1_9207_6BE81612C01C_.wvu.Rows" localSheetId="22" hidden="1">'23'!$15:$68,'23'!$75:$102,'23'!$109:$125,'23'!#REF!,'23'!$132:$151,'23'!#REF!,'23'!#REF!</definedName>
    <definedName name="Z_BBF15C7D_3EAF_4D98_9096_5B67F6C46C47_.wvu.Rows" localSheetId="22" hidden="1">'23'!$15:$68,'23'!$75:$102,'23'!$109:$125,'23'!#REF!,'23'!#REF!,'23'!#REF!</definedName>
    <definedName name="Z_C122BF8D_C115_42E1_B73A_F9B38D5EC060_.wvu.Rows" localSheetId="22" hidden="1">'23'!$15:$68,'23'!$75:$102,'23'!$109:$125,'23'!#REF!,'23'!$132:$151,'23'!#REF!,'23'!#REF!</definedName>
    <definedName name="Z_C4D254D6_9D1C_4B3C_972D_15957FD05DD2_.wvu.Rows" localSheetId="22" hidden="1">'23'!$15:$68,'23'!$75:$102,'23'!$109:$125,'23'!#REF!,'23'!$132:$151,'23'!#REF!,'23'!#REF!</definedName>
    <definedName name="Z_D4664C56_FB8A_499D_8E24_CCA12F97FAE9_.wvu.Rows" localSheetId="22" hidden="1">'23'!$15:$68,'23'!$75:$102,'23'!$109:$125,'23'!#REF!,'23'!$132:$151,'23'!#REF!,'23'!#REF!</definedName>
    <definedName name="Z_DD995061_F552_4E13_8D40_A47EBB03245B_.wvu.Rows" localSheetId="22" hidden="1">'23'!$15:$68,'23'!$75:$102,'23'!$109:$125,'23'!#REF!,'23'!$132:$151,'23'!#REF!,'23'!#REF!</definedName>
    <definedName name="Z_DE2F0B4F_79DE_40A0_A13B_9C7F63D3F970_.wvu.Rows" localSheetId="22" hidden="1">'23'!$15:$68,'23'!$75:$102,'23'!$109:$125,'23'!#REF!,'23'!$132:$151,'23'!#REF!,'23'!#REF!</definedName>
    <definedName name="Z_E765F84B_EAF3_44AE_A058_C602C1E67401_.wvu.Rows" localSheetId="22" hidden="1">'23'!$15:$68,'23'!$75:$102,'23'!$109:$125,'23'!#REF!,'23'!$132:$151,'23'!#REF!,'23'!#REF!</definedName>
    <definedName name="Z_F34DD4D3_7189_47AF_B853_F133E36CF124_.wvu.Rows" localSheetId="22" hidden="1">'23'!$15:$68,'23'!$75:$102,'23'!$109:$125,'23'!#REF!,'23'!$132:$151,'23'!#REF!,'23'!#REF!</definedName>
    <definedName name="Z_F82F81AB_9C82_4E79_8CA3_CEB2B994FC06_.wvu.Rows" localSheetId="22" hidden="1">'23'!$15:$68,'23'!$75:$102,'23'!$109:$125,'23'!#REF!,'23'!$132:$151,'23'!#REF!,'23'!#REF!</definedName>
    <definedName name="Z_F89CD5B0_594D_4248_B45D_59008422D599_.wvu.Rows" localSheetId="22" hidden="1">'23'!$15:$68,'23'!$75:$102,'23'!$109:$125,'23'!#REF!,'23'!$132:$151,'23'!#REF!,'23'!#REF!</definedName>
    <definedName name="_xlnm._FilterDatabase" localSheetId="22" hidden="1">'23'!$A$15:$K$92</definedName>
    <definedName name="Z_03FBB0AD_5353_49C6_B595_178BC13C96AE_.wvu.Rows" localSheetId="23" hidden="1">'24'!$15:$68,'24'!$75:$102,'24'!$109:$125,'24'!#REF!,'24'!$132:$151,'24'!#REF!,'24'!#REF!</definedName>
    <definedName name="Z_070961C3_1DC2_4518_83D7_B3F54BC58AE2_.wvu.Rows" localSheetId="23" hidden="1">'24'!$15:$68,'24'!$75:$102,'24'!$109:$125,'24'!#REF!,'24'!$132:$151,'24'!#REF!,'24'!#REF!</definedName>
    <definedName name="Z_0B87D63B_15AD_4587_A73B_CA4B62BDFA01_.wvu.Rows" localSheetId="23" hidden="1">'24'!$15:$68,'24'!$75:$102,'24'!$109:$125,'24'!#REF!,'24'!$132:$151,'24'!#REF!,'24'!#REF!</definedName>
    <definedName name="Z_1B9AB2B5_0A50_46C3_981D_8BE75BF62E46_.wvu.Rows" localSheetId="23" hidden="1">'24'!$15:$68,'24'!$75:$102,'24'!$109:$125,'24'!#REF!,'24'!$132:$151,'24'!#REF!,'24'!#REF!</definedName>
    <definedName name="Z_20A0B2F7_9F51_4E3D_A024_0877F1F98F8D_.wvu.Rows" localSheetId="23" hidden="1">'24'!$15:$68,'24'!$75:$102,'24'!$109:$125,'24'!#REF!,'24'!$132:$151,'24'!#REF!,'24'!#REF!</definedName>
    <definedName name="Z_2C3A3C66_1522_4337_93AC_DFC422DC8462_.wvu.Rows" localSheetId="23" hidden="1">'24'!$15:$68,'24'!$75:$102,'24'!$109:$125,'24'!#REF!,'24'!$132:$151,'24'!#REF!,'24'!#REF!</definedName>
    <definedName name="Z_2E074C0E_3584_4321_A729_0961B34312BF_.wvu.Rows" localSheetId="23" hidden="1">'24'!$15:$68,'24'!$75:$102,'24'!$109:$125,'24'!#REF!,'24'!$132:$151,'24'!#REF!,'24'!#REF!</definedName>
    <definedName name="Z_2FFCC83E_A488_4450_9F9E_FF506EAEF5FC_.wvu.Rows" localSheetId="23" hidden="1">'24'!$15:$68,'24'!$75:$102,'24'!$109:$125,'24'!#REF!,'24'!$132:$151,'24'!#REF!,'24'!#REF!</definedName>
    <definedName name="Z_3351A924_D23D_45D7_8354_55677D787CA4_.wvu.Rows" localSheetId="23" hidden="1">'24'!$15:$68,'24'!$75:$102,'24'!$109:$125,'24'!#REF!,'24'!$132:$151,'24'!#REF!,'24'!#REF!</definedName>
    <definedName name="Z_51E3BC0E_B24A_447A_BC0A_03881122E44E_.wvu.Rows" localSheetId="23" hidden="1">'24'!$15:$68,'24'!$75:$102,'24'!$109:$125,'24'!#REF!,'24'!$132:$151,'24'!#REF!,'24'!#REF!</definedName>
    <definedName name="Z_5C60C8F2_A96A_4286_AB69_6A192D48B52D_.wvu.Rows" localSheetId="23" hidden="1">'24'!$15:$68,'24'!$75:$102,'24'!$109:$125,'24'!#REF!,'24'!$132:$151,'24'!#REF!,'24'!#REF!</definedName>
    <definedName name="Z_667B099C_8E79_4490_AC67_CFE2B9F8FC8D_.wvu.Rows" localSheetId="23" hidden="1">'24'!$15:$68,'24'!$75:$102,'24'!$109:$125,'24'!#REF!,'24'!$132:$151,'24'!#REF!,'24'!#REF!</definedName>
    <definedName name="Z_696C5A08_6B5C_4B07_9B14_11E12159ACF3_.wvu.Rows" localSheetId="23" hidden="1">'24'!$15:$68,'24'!$75:$102,'24'!$109:$125,'24'!#REF!,'24'!#REF!,'24'!#REF!</definedName>
    <definedName name="Z_743813BC_E137_480B_B63F_29E16C4A5D78_.wvu.Rows" localSheetId="23" hidden="1">'24'!$15:$68,'24'!$75:$102,'24'!$109:$125,'24'!#REF!,'24'!$132:$151,'24'!#REF!,'24'!#REF!</definedName>
    <definedName name="Z_7CD6C56D_7191_499D_884D_23F062610490_.wvu.Rows" localSheetId="23" hidden="1">'24'!$15:$68,'24'!$75:$102,'24'!$109:$125,'24'!#REF!,'24'!$132:$151,'24'!#REF!,'24'!#REF!</definedName>
    <definedName name="Z_8AB826A3_3F9F_46E8_8B3C_5D723650CD25_.wvu.Rows" localSheetId="23" hidden="1">'24'!$15:$68,'24'!$75:$102,'24'!$109:$125,'24'!#REF!,'24'!$132:$151,'24'!#REF!,'24'!#REF!</definedName>
    <definedName name="Z_9231B71C_ABB0_4122_BB61_A0E14ED7FAC4_.wvu.Rows" localSheetId="23" hidden="1">'24'!$15:$68,'24'!$75:$102,'24'!$109:$125,'24'!#REF!,'24'!$132:$151,'24'!#REF!,'24'!#REF!</definedName>
    <definedName name="Z_9CE42830_1BFE_4EEE_AD75_1C30A69A86B1_.wvu.Rows" localSheetId="23" hidden="1">'24'!$15:$68,'24'!$75:$102,'24'!$109:$125,'24'!#REF!,'24'!$132:$151,'24'!#REF!,'24'!#REF!</definedName>
    <definedName name="Z_9EA36D12_6C5C_4BE0_9897_E6710354124D_.wvu.Rows" localSheetId="23" hidden="1">'24'!$15:$68,'24'!$75:$102,'24'!$109:$125,'24'!#REF!,'24'!$132:$151,'24'!#REF!,'24'!#REF!</definedName>
    <definedName name="Z_A0F29F5B_FB6E_4C5E_B7A7_CDA651D38207_.wvu.Rows" localSheetId="23" hidden="1">'24'!$15:$68,'24'!$75:$102,'24'!$109:$125,'24'!#REF!,'24'!$132:$151,'24'!#REF!,'24'!#REF!</definedName>
    <definedName name="Z_A567DF6A_4F50_45D4_A9C8_0879E17AFD34_.wvu.Rows" localSheetId="23" hidden="1">'24'!$15:$68,'24'!$75:$102,'24'!$109:$125,'24'!#REF!,'24'!$132:$151,'24'!#REF!,'24'!#REF!</definedName>
    <definedName name="Z_B2CFD8C8_F8F8_47F1_9207_6BE81612C01C_.wvu.Rows" localSheetId="23" hidden="1">'24'!$15:$68,'24'!$75:$102,'24'!$109:$125,'24'!#REF!,'24'!$132:$151,'24'!#REF!,'24'!#REF!</definedName>
    <definedName name="Z_BBF15C7D_3EAF_4D98_9096_5B67F6C46C47_.wvu.Rows" localSheetId="23" hidden="1">'24'!$15:$68,'24'!$75:$102,'24'!$109:$125,'24'!#REF!,'24'!#REF!,'24'!#REF!</definedName>
    <definedName name="Z_C122BF8D_C115_42E1_B73A_F9B38D5EC060_.wvu.Rows" localSheetId="23" hidden="1">'24'!$15:$68,'24'!$75:$102,'24'!$109:$125,'24'!#REF!,'24'!$132:$151,'24'!#REF!,'24'!#REF!</definedName>
    <definedName name="Z_C4D254D6_9D1C_4B3C_972D_15957FD05DD2_.wvu.Rows" localSheetId="23" hidden="1">'24'!$15:$68,'24'!$75:$102,'24'!$109:$125,'24'!#REF!,'24'!$132:$151,'24'!#REF!,'24'!#REF!</definedName>
    <definedName name="Z_D4664C56_FB8A_499D_8E24_CCA12F97FAE9_.wvu.Rows" localSheetId="23" hidden="1">'24'!$15:$68,'24'!$75:$102,'24'!$109:$125,'24'!#REF!,'24'!$132:$151,'24'!#REF!,'24'!#REF!</definedName>
    <definedName name="Z_DD995061_F552_4E13_8D40_A47EBB03245B_.wvu.Rows" localSheetId="23" hidden="1">'24'!$15:$68,'24'!$75:$102,'24'!$109:$125,'24'!#REF!,'24'!$132:$151,'24'!#REF!,'24'!#REF!</definedName>
    <definedName name="Z_DE2F0B4F_79DE_40A0_A13B_9C7F63D3F970_.wvu.Rows" localSheetId="23" hidden="1">'24'!$15:$68,'24'!$75:$102,'24'!$109:$125,'24'!#REF!,'24'!$132:$151,'24'!#REF!,'24'!#REF!</definedName>
    <definedName name="Z_E765F84B_EAF3_44AE_A058_C602C1E67401_.wvu.Rows" localSheetId="23" hidden="1">'24'!$15:$68,'24'!$75:$102,'24'!$109:$125,'24'!#REF!,'24'!$132:$151,'24'!#REF!,'24'!#REF!</definedName>
    <definedName name="Z_F34DD4D3_7189_47AF_B853_F133E36CF124_.wvu.Rows" localSheetId="23" hidden="1">'24'!$15:$68,'24'!$75:$102,'24'!$109:$125,'24'!#REF!,'24'!$132:$151,'24'!#REF!,'24'!#REF!</definedName>
    <definedName name="Z_F82F81AB_9C82_4E79_8CA3_CEB2B994FC06_.wvu.Rows" localSheetId="23" hidden="1">'24'!$15:$68,'24'!$75:$102,'24'!$109:$125,'24'!#REF!,'24'!$132:$151,'24'!#REF!,'24'!#REF!</definedName>
    <definedName name="Z_F89CD5B0_594D_4248_B45D_59008422D599_.wvu.Rows" localSheetId="23" hidden="1">'24'!$15:$68,'24'!$75:$102,'24'!$109:$125,'24'!#REF!,'24'!$132:$151,'24'!#REF!,'24'!#REF!</definedName>
    <definedName name="Z_03FBB0AD_5353_49C6_B595_178BC13C96AE_.wvu.Rows" localSheetId="24" hidden="1">'25'!$15:$68,'25'!$75:$102,'25'!$109:$125,'25'!#REF!,'25'!$132:$151,'25'!#REF!,'25'!#REF!</definedName>
    <definedName name="Z_070961C3_1DC2_4518_83D7_B3F54BC58AE2_.wvu.Rows" localSheetId="24" hidden="1">'25'!$15:$68,'25'!$75:$102,'25'!$109:$125,'25'!#REF!,'25'!$132:$151,'25'!#REF!,'25'!#REF!</definedName>
    <definedName name="Z_0B87D63B_15AD_4587_A73B_CA4B62BDFA01_.wvu.Rows" localSheetId="24" hidden="1">'25'!$15:$68,'25'!$75:$102,'25'!$109:$125,'25'!#REF!,'25'!$132:$151,'25'!#REF!,'25'!#REF!</definedName>
    <definedName name="Z_1B9AB2B5_0A50_46C3_981D_8BE75BF62E46_.wvu.Rows" localSheetId="24" hidden="1">'25'!$15:$68,'25'!$75:$102,'25'!$109:$125,'25'!#REF!,'25'!$132:$151,'25'!#REF!,'25'!#REF!</definedName>
    <definedName name="Z_20A0B2F7_9F51_4E3D_A024_0877F1F98F8D_.wvu.Rows" localSheetId="24" hidden="1">'25'!$15:$68,'25'!$75:$102,'25'!$109:$125,'25'!#REF!,'25'!$132:$151,'25'!#REF!,'25'!#REF!</definedName>
    <definedName name="Z_2C3A3C66_1522_4337_93AC_DFC422DC8462_.wvu.Rows" localSheetId="24" hidden="1">'25'!$15:$68,'25'!$75:$102,'25'!$109:$125,'25'!#REF!,'25'!$132:$151,'25'!#REF!,'25'!#REF!</definedName>
    <definedName name="Z_2E074C0E_3584_4321_A729_0961B34312BF_.wvu.Rows" localSheetId="24" hidden="1">'25'!$15:$68,'25'!$75:$102,'25'!$109:$125,'25'!#REF!,'25'!$132:$151,'25'!#REF!,'25'!#REF!</definedName>
    <definedName name="Z_2FFCC83E_A488_4450_9F9E_FF506EAEF5FC_.wvu.Rows" localSheetId="24" hidden="1">'25'!$15:$68,'25'!$75:$102,'25'!$109:$125,'25'!#REF!,'25'!$132:$151,'25'!#REF!,'25'!#REF!</definedName>
    <definedName name="Z_3351A924_D23D_45D7_8354_55677D787CA4_.wvu.Rows" localSheetId="24" hidden="1">'25'!$15:$68,'25'!$75:$102,'25'!$109:$125,'25'!#REF!,'25'!$132:$151,'25'!#REF!,'25'!#REF!</definedName>
    <definedName name="Z_51E3BC0E_B24A_447A_BC0A_03881122E44E_.wvu.Rows" localSheetId="24" hidden="1">'25'!$15:$68,'25'!$75:$102,'25'!$109:$125,'25'!#REF!,'25'!$132:$151,'25'!#REF!,'25'!#REF!</definedName>
    <definedName name="Z_5C60C8F2_A96A_4286_AB69_6A192D48B52D_.wvu.Rows" localSheetId="24" hidden="1">'25'!$15:$68,'25'!$75:$102,'25'!$109:$125,'25'!#REF!,'25'!$132:$151,'25'!#REF!,'25'!#REF!</definedName>
    <definedName name="Z_667B099C_8E79_4490_AC67_CFE2B9F8FC8D_.wvu.Rows" localSheetId="24" hidden="1">'25'!$15:$68,'25'!$75:$102,'25'!$109:$125,'25'!#REF!,'25'!$132:$151,'25'!#REF!,'25'!#REF!</definedName>
    <definedName name="Z_696C5A08_6B5C_4B07_9B14_11E12159ACF3_.wvu.Rows" localSheetId="24" hidden="1">'25'!$15:$68,'25'!$75:$102,'25'!$109:$125,'25'!#REF!,'25'!#REF!,'25'!#REF!</definedName>
    <definedName name="Z_743813BC_E137_480B_B63F_29E16C4A5D78_.wvu.Rows" localSheetId="24" hidden="1">'25'!$15:$68,'25'!$75:$102,'25'!$109:$125,'25'!#REF!,'25'!$132:$151,'25'!#REF!,'25'!#REF!</definedName>
    <definedName name="Z_7CD6C56D_7191_499D_884D_23F062610490_.wvu.Rows" localSheetId="24" hidden="1">'25'!$15:$68,'25'!$75:$102,'25'!$109:$125,'25'!#REF!,'25'!$132:$151,'25'!#REF!,'25'!#REF!</definedName>
    <definedName name="Z_8AB826A3_3F9F_46E8_8B3C_5D723650CD25_.wvu.Rows" localSheetId="24" hidden="1">'25'!$15:$68,'25'!$75:$102,'25'!$109:$125,'25'!#REF!,'25'!$132:$151,'25'!#REF!,'25'!#REF!</definedName>
    <definedName name="Z_9231B71C_ABB0_4122_BB61_A0E14ED7FAC4_.wvu.Rows" localSheetId="24" hidden="1">'25'!$15:$68,'25'!$75:$102,'25'!$109:$125,'25'!#REF!,'25'!$132:$151,'25'!#REF!,'25'!#REF!</definedName>
    <definedName name="Z_9CE42830_1BFE_4EEE_AD75_1C30A69A86B1_.wvu.Rows" localSheetId="24" hidden="1">'25'!$15:$68,'25'!$75:$102,'25'!$109:$125,'25'!#REF!,'25'!$132:$151,'25'!#REF!,'25'!#REF!</definedName>
    <definedName name="Z_9EA36D12_6C5C_4BE0_9897_E6710354124D_.wvu.Rows" localSheetId="24" hidden="1">'25'!$15:$68,'25'!$75:$102,'25'!$109:$125,'25'!#REF!,'25'!$132:$151,'25'!#REF!,'25'!#REF!</definedName>
    <definedName name="Z_A0F29F5B_FB6E_4C5E_B7A7_CDA651D38207_.wvu.Rows" localSheetId="24" hidden="1">'25'!$15:$68,'25'!$75:$102,'25'!$109:$125,'25'!#REF!,'25'!$132:$151,'25'!#REF!,'25'!#REF!</definedName>
    <definedName name="Z_A567DF6A_4F50_45D4_A9C8_0879E17AFD34_.wvu.Rows" localSheetId="24" hidden="1">'25'!$15:$68,'25'!$75:$102,'25'!$109:$125,'25'!#REF!,'25'!$132:$151,'25'!#REF!,'25'!#REF!</definedName>
    <definedName name="Z_B2CFD8C8_F8F8_47F1_9207_6BE81612C01C_.wvu.Rows" localSheetId="24" hidden="1">'25'!$15:$68,'25'!$75:$102,'25'!$109:$125,'25'!#REF!,'25'!$132:$151,'25'!#REF!,'25'!#REF!</definedName>
    <definedName name="Z_BBF15C7D_3EAF_4D98_9096_5B67F6C46C47_.wvu.Rows" localSheetId="24" hidden="1">'25'!$15:$68,'25'!$75:$102,'25'!$109:$125,'25'!#REF!,'25'!#REF!,'25'!#REF!</definedName>
    <definedName name="Z_C122BF8D_C115_42E1_B73A_F9B38D5EC060_.wvu.Rows" localSheetId="24" hidden="1">'25'!$15:$68,'25'!$75:$102,'25'!$109:$125,'25'!#REF!,'25'!$132:$151,'25'!#REF!,'25'!#REF!</definedName>
    <definedName name="Z_C4D254D6_9D1C_4B3C_972D_15957FD05DD2_.wvu.Rows" localSheetId="24" hidden="1">'25'!$15:$68,'25'!$75:$102,'25'!$109:$125,'25'!#REF!,'25'!$132:$151,'25'!#REF!,'25'!#REF!</definedName>
    <definedName name="Z_D4664C56_FB8A_499D_8E24_CCA12F97FAE9_.wvu.Rows" localSheetId="24" hidden="1">'25'!$15:$68,'25'!$75:$102,'25'!$109:$125,'25'!#REF!,'25'!$132:$151,'25'!#REF!,'25'!#REF!</definedName>
    <definedName name="Z_DD995061_F552_4E13_8D40_A47EBB03245B_.wvu.Rows" localSheetId="24" hidden="1">'25'!$15:$68,'25'!$75:$102,'25'!$109:$125,'25'!#REF!,'25'!$132:$151,'25'!#REF!,'25'!#REF!</definedName>
    <definedName name="Z_DE2F0B4F_79DE_40A0_A13B_9C7F63D3F970_.wvu.Rows" localSheetId="24" hidden="1">'25'!$15:$68,'25'!$75:$102,'25'!$109:$125,'25'!#REF!,'25'!$132:$151,'25'!#REF!,'25'!#REF!</definedName>
    <definedName name="Z_E765F84B_EAF3_44AE_A058_C602C1E67401_.wvu.Rows" localSheetId="24" hidden="1">'25'!$15:$68,'25'!$75:$102,'25'!$109:$125,'25'!#REF!,'25'!$132:$151,'25'!#REF!,'25'!#REF!</definedName>
    <definedName name="Z_F34DD4D3_7189_47AF_B853_F133E36CF124_.wvu.Rows" localSheetId="24" hidden="1">'25'!$15:$68,'25'!$75:$102,'25'!$109:$125,'25'!#REF!,'25'!$132:$151,'25'!#REF!,'25'!#REF!</definedName>
    <definedName name="Z_F82F81AB_9C82_4E79_8CA3_CEB2B994FC06_.wvu.Rows" localSheetId="24" hidden="1">'25'!$15:$68,'25'!$75:$102,'25'!$109:$125,'25'!#REF!,'25'!$132:$151,'25'!#REF!,'25'!#REF!</definedName>
    <definedName name="Z_F89CD5B0_594D_4248_B45D_59008422D599_.wvu.Rows" localSheetId="24" hidden="1">'25'!$15:$68,'25'!$75:$102,'25'!$109:$125,'25'!#REF!,'25'!$132:$151,'25'!#REF!,'25'!#REF!</definedName>
    <definedName name="Z_03FBB0AD_5353_49C6_B595_178BC13C96AE_.wvu.Rows" localSheetId="25" hidden="1">'26'!$15:$68,'26'!$75:$102,'26'!$109:$125,'26'!#REF!,'26'!$132:$151,'26'!#REF!,'26'!#REF!</definedName>
    <definedName name="Z_070961C3_1DC2_4518_83D7_B3F54BC58AE2_.wvu.Rows" localSheetId="25" hidden="1">'26'!$15:$68,'26'!$75:$102,'26'!$109:$125,'26'!#REF!,'26'!$132:$151,'26'!#REF!,'26'!#REF!</definedName>
    <definedName name="Z_0B87D63B_15AD_4587_A73B_CA4B62BDFA01_.wvu.Rows" localSheetId="25" hidden="1">'26'!$15:$68,'26'!$75:$102,'26'!$109:$125,'26'!#REF!,'26'!$132:$151,'26'!#REF!,'26'!#REF!</definedName>
    <definedName name="Z_1B9AB2B5_0A50_46C3_981D_8BE75BF62E46_.wvu.Rows" localSheetId="25" hidden="1">'26'!$15:$68,'26'!$75:$102,'26'!$109:$125,'26'!#REF!,'26'!$132:$151,'26'!#REF!,'26'!#REF!</definedName>
    <definedName name="Z_20A0B2F7_9F51_4E3D_A024_0877F1F98F8D_.wvu.Rows" localSheetId="25" hidden="1">'26'!$15:$68,'26'!$75:$102,'26'!$109:$125,'26'!#REF!,'26'!$132:$151,'26'!#REF!,'26'!#REF!</definedName>
    <definedName name="Z_2C3A3C66_1522_4337_93AC_DFC422DC8462_.wvu.Rows" localSheetId="25" hidden="1">'26'!$15:$68,'26'!$75:$102,'26'!$109:$125,'26'!#REF!,'26'!$132:$151,'26'!#REF!,'26'!#REF!</definedName>
    <definedName name="Z_2E074C0E_3584_4321_A729_0961B34312BF_.wvu.Rows" localSheetId="25" hidden="1">'26'!$15:$68,'26'!$75:$102,'26'!$109:$125,'26'!#REF!,'26'!$132:$151,'26'!#REF!,'26'!#REF!</definedName>
    <definedName name="Z_2FFCC83E_A488_4450_9F9E_FF506EAEF5FC_.wvu.Rows" localSheetId="25" hidden="1">'26'!$15:$68,'26'!$75:$102,'26'!$109:$125,'26'!#REF!,'26'!$132:$151,'26'!#REF!,'26'!#REF!</definedName>
    <definedName name="Z_3351A924_D23D_45D7_8354_55677D787CA4_.wvu.Rows" localSheetId="25" hidden="1">'26'!$15:$68,'26'!$75:$102,'26'!$109:$125,'26'!#REF!,'26'!$132:$151,'26'!#REF!,'26'!#REF!</definedName>
    <definedName name="Z_51E3BC0E_B24A_447A_BC0A_03881122E44E_.wvu.Rows" localSheetId="25" hidden="1">'26'!$15:$68,'26'!$75:$102,'26'!$109:$125,'26'!#REF!,'26'!$132:$151,'26'!#REF!,'26'!#REF!</definedName>
    <definedName name="Z_5C60C8F2_A96A_4286_AB69_6A192D48B52D_.wvu.Rows" localSheetId="25" hidden="1">'26'!$15:$68,'26'!$75:$102,'26'!$109:$125,'26'!#REF!,'26'!$132:$151,'26'!#REF!,'26'!#REF!</definedName>
    <definedName name="Z_667B099C_8E79_4490_AC67_CFE2B9F8FC8D_.wvu.Rows" localSheetId="25" hidden="1">'26'!$15:$68,'26'!$75:$102,'26'!$109:$125,'26'!#REF!,'26'!$132:$151,'26'!#REF!,'26'!#REF!</definedName>
    <definedName name="Z_696C5A08_6B5C_4B07_9B14_11E12159ACF3_.wvu.Rows" localSheetId="25" hidden="1">'26'!$15:$68,'26'!$75:$102,'26'!$109:$125,'26'!#REF!,'26'!#REF!,'26'!#REF!</definedName>
    <definedName name="Z_743813BC_E137_480B_B63F_29E16C4A5D78_.wvu.Rows" localSheetId="25" hidden="1">'26'!$15:$68,'26'!$75:$102,'26'!$109:$125,'26'!#REF!,'26'!$132:$151,'26'!#REF!,'26'!#REF!</definedName>
    <definedName name="Z_7CD6C56D_7191_499D_884D_23F062610490_.wvu.Rows" localSheetId="25" hidden="1">'26'!$15:$68,'26'!$75:$102,'26'!$109:$125,'26'!#REF!,'26'!$132:$151,'26'!#REF!,'26'!#REF!</definedName>
    <definedName name="Z_8AB826A3_3F9F_46E8_8B3C_5D723650CD25_.wvu.Rows" localSheetId="25" hidden="1">'26'!$15:$68,'26'!$75:$102,'26'!$109:$125,'26'!#REF!,'26'!$132:$151,'26'!#REF!,'26'!#REF!</definedName>
    <definedName name="Z_9231B71C_ABB0_4122_BB61_A0E14ED7FAC4_.wvu.Rows" localSheetId="25" hidden="1">'26'!$15:$68,'26'!$75:$102,'26'!$109:$125,'26'!#REF!,'26'!$132:$151,'26'!#REF!,'26'!#REF!</definedName>
    <definedName name="Z_9CE42830_1BFE_4EEE_AD75_1C30A69A86B1_.wvu.Rows" localSheetId="25" hidden="1">'26'!$15:$68,'26'!$75:$102,'26'!$109:$125,'26'!#REF!,'26'!$132:$151,'26'!#REF!,'26'!#REF!</definedName>
    <definedName name="Z_9EA36D12_6C5C_4BE0_9897_E6710354124D_.wvu.Rows" localSheetId="25" hidden="1">'26'!$15:$68,'26'!$75:$102,'26'!$109:$125,'26'!#REF!,'26'!$132:$151,'26'!#REF!,'26'!#REF!</definedName>
    <definedName name="Z_A0F29F5B_FB6E_4C5E_B7A7_CDA651D38207_.wvu.Rows" localSheetId="25" hidden="1">'26'!$15:$68,'26'!$75:$102,'26'!$109:$125,'26'!#REF!,'26'!$132:$151,'26'!#REF!,'26'!#REF!</definedName>
    <definedName name="Z_A567DF6A_4F50_45D4_A9C8_0879E17AFD34_.wvu.Rows" localSheetId="25" hidden="1">'26'!$15:$68,'26'!$75:$102,'26'!$109:$125,'26'!#REF!,'26'!$132:$151,'26'!#REF!,'26'!#REF!</definedName>
    <definedName name="Z_B2CFD8C8_F8F8_47F1_9207_6BE81612C01C_.wvu.Rows" localSheetId="25" hidden="1">'26'!$15:$68,'26'!$75:$102,'26'!$109:$125,'26'!#REF!,'26'!$132:$151,'26'!#REF!,'26'!#REF!</definedName>
    <definedName name="Z_BBF15C7D_3EAF_4D98_9096_5B67F6C46C47_.wvu.Rows" localSheetId="25" hidden="1">'26'!$15:$68,'26'!$75:$102,'26'!$109:$125,'26'!#REF!,'26'!#REF!,'26'!#REF!</definedName>
    <definedName name="Z_C122BF8D_C115_42E1_B73A_F9B38D5EC060_.wvu.Rows" localSheetId="25" hidden="1">'26'!$15:$68,'26'!$75:$102,'26'!$109:$125,'26'!#REF!,'26'!$132:$151,'26'!#REF!,'26'!#REF!</definedName>
    <definedName name="Z_C4D254D6_9D1C_4B3C_972D_15957FD05DD2_.wvu.Rows" localSheetId="25" hidden="1">'26'!$15:$68,'26'!$75:$102,'26'!$109:$125,'26'!#REF!,'26'!$132:$151,'26'!#REF!,'26'!#REF!</definedName>
    <definedName name="Z_D4664C56_FB8A_499D_8E24_CCA12F97FAE9_.wvu.Rows" localSheetId="25" hidden="1">'26'!$15:$68,'26'!$75:$102,'26'!$109:$125,'26'!#REF!,'26'!$132:$151,'26'!#REF!,'26'!#REF!</definedName>
    <definedName name="Z_DD995061_F552_4E13_8D40_A47EBB03245B_.wvu.Rows" localSheetId="25" hidden="1">'26'!$15:$68,'26'!$75:$102,'26'!$109:$125,'26'!#REF!,'26'!$132:$151,'26'!#REF!,'26'!#REF!</definedName>
    <definedName name="Z_DE2F0B4F_79DE_40A0_A13B_9C7F63D3F970_.wvu.Rows" localSheetId="25" hidden="1">'26'!$15:$68,'26'!$75:$102,'26'!$109:$125,'26'!#REF!,'26'!$132:$151,'26'!#REF!,'26'!#REF!</definedName>
    <definedName name="Z_E765F84B_EAF3_44AE_A058_C602C1E67401_.wvu.Rows" localSheetId="25" hidden="1">'26'!$15:$68,'26'!$75:$102,'26'!$109:$125,'26'!#REF!,'26'!$132:$151,'26'!#REF!,'26'!#REF!</definedName>
    <definedName name="Z_F34DD4D3_7189_47AF_B853_F133E36CF124_.wvu.Rows" localSheetId="25" hidden="1">'26'!$15:$68,'26'!$75:$102,'26'!$109:$125,'26'!#REF!,'26'!$132:$151,'26'!#REF!,'26'!#REF!</definedName>
    <definedName name="Z_F82F81AB_9C82_4E79_8CA3_CEB2B994FC06_.wvu.Rows" localSheetId="25" hidden="1">'26'!$15:$68,'26'!$75:$102,'26'!$109:$125,'26'!#REF!,'26'!$132:$151,'26'!#REF!,'26'!#REF!</definedName>
    <definedName name="Z_F89CD5B0_594D_4248_B45D_59008422D599_.wvu.Rows" localSheetId="25" hidden="1">'26'!$15:$68,'26'!$75:$102,'26'!$109:$125,'26'!#REF!,'26'!$132:$151,'26'!#REF!,'26'!#REF!</definedName>
    <definedName name="Z_03FBB0AD_5353_49C6_B595_178BC13C96AE_.wvu.Rows" localSheetId="26" hidden="1">'27'!$15:$68,'27'!$75:$102,'27'!$109:$125,'27'!#REF!,'27'!$132:$151,'27'!#REF!,'27'!#REF!</definedName>
    <definedName name="Z_070961C3_1DC2_4518_83D7_B3F54BC58AE2_.wvu.Rows" localSheetId="26" hidden="1">'27'!$15:$68,'27'!$75:$102,'27'!$109:$125,'27'!#REF!,'27'!$132:$151,'27'!#REF!,'27'!#REF!</definedName>
    <definedName name="Z_0B87D63B_15AD_4587_A73B_CA4B62BDFA01_.wvu.Rows" localSheetId="26" hidden="1">'27'!$15:$68,'27'!$75:$102,'27'!$109:$125,'27'!#REF!,'27'!$132:$151,'27'!#REF!,'27'!#REF!</definedName>
    <definedName name="Z_1B9AB2B5_0A50_46C3_981D_8BE75BF62E46_.wvu.Rows" localSheetId="26" hidden="1">'27'!$15:$68,'27'!$75:$102,'27'!$109:$125,'27'!#REF!,'27'!$132:$151,'27'!#REF!,'27'!#REF!</definedName>
    <definedName name="Z_20A0B2F7_9F51_4E3D_A024_0877F1F98F8D_.wvu.Rows" localSheetId="26" hidden="1">'27'!$15:$68,'27'!$75:$102,'27'!$109:$125,'27'!#REF!,'27'!$132:$151,'27'!#REF!,'27'!#REF!</definedName>
    <definedName name="Z_2C3A3C66_1522_4337_93AC_DFC422DC8462_.wvu.Rows" localSheetId="26" hidden="1">'27'!$15:$68,'27'!$75:$102,'27'!$109:$125,'27'!#REF!,'27'!$132:$151,'27'!#REF!,'27'!#REF!</definedName>
    <definedName name="Z_2E074C0E_3584_4321_A729_0961B34312BF_.wvu.Rows" localSheetId="26" hidden="1">'27'!$15:$68,'27'!$75:$102,'27'!$109:$125,'27'!#REF!,'27'!$132:$151,'27'!#REF!,'27'!#REF!</definedName>
    <definedName name="Z_2FFCC83E_A488_4450_9F9E_FF506EAEF5FC_.wvu.Rows" localSheetId="26" hidden="1">'27'!$15:$68,'27'!$75:$102,'27'!$109:$125,'27'!#REF!,'27'!$132:$151,'27'!#REF!,'27'!#REF!</definedName>
    <definedName name="Z_3351A924_D23D_45D7_8354_55677D787CA4_.wvu.Rows" localSheetId="26" hidden="1">'27'!$15:$68,'27'!$75:$102,'27'!$109:$125,'27'!#REF!,'27'!$132:$151,'27'!#REF!,'27'!#REF!</definedName>
    <definedName name="Z_51E3BC0E_B24A_447A_BC0A_03881122E44E_.wvu.Rows" localSheetId="26" hidden="1">'27'!$15:$68,'27'!$75:$102,'27'!$109:$125,'27'!#REF!,'27'!$132:$151,'27'!#REF!,'27'!#REF!</definedName>
    <definedName name="Z_5C60C8F2_A96A_4286_AB69_6A192D48B52D_.wvu.Rows" localSheetId="26" hidden="1">'27'!$15:$68,'27'!$75:$102,'27'!$109:$125,'27'!#REF!,'27'!$132:$151,'27'!#REF!,'27'!#REF!</definedName>
    <definedName name="Z_667B099C_8E79_4490_AC67_CFE2B9F8FC8D_.wvu.Rows" localSheetId="26" hidden="1">'27'!$15:$68,'27'!$75:$102,'27'!$109:$125,'27'!#REF!,'27'!$132:$151,'27'!#REF!,'27'!#REF!</definedName>
    <definedName name="Z_696C5A08_6B5C_4B07_9B14_11E12159ACF3_.wvu.Rows" localSheetId="26" hidden="1">'27'!$15:$68,'27'!$75:$102,'27'!$109:$125,'27'!#REF!,'27'!#REF!,'27'!#REF!</definedName>
    <definedName name="Z_743813BC_E137_480B_B63F_29E16C4A5D78_.wvu.Rows" localSheetId="26" hidden="1">'27'!$15:$68,'27'!$75:$102,'27'!$109:$125,'27'!#REF!,'27'!$132:$151,'27'!#REF!,'27'!#REF!</definedName>
    <definedName name="Z_7CD6C56D_7191_499D_884D_23F062610490_.wvu.Rows" localSheetId="26" hidden="1">'27'!$15:$68,'27'!$75:$102,'27'!$109:$125,'27'!#REF!,'27'!$132:$151,'27'!#REF!,'27'!#REF!</definedName>
    <definedName name="Z_8AB826A3_3F9F_46E8_8B3C_5D723650CD25_.wvu.Rows" localSheetId="26" hidden="1">'27'!$15:$68,'27'!$75:$102,'27'!$109:$125,'27'!#REF!,'27'!$132:$151,'27'!#REF!,'27'!#REF!</definedName>
    <definedName name="Z_9231B71C_ABB0_4122_BB61_A0E14ED7FAC4_.wvu.Rows" localSheetId="26" hidden="1">'27'!$15:$68,'27'!$75:$102,'27'!$109:$125,'27'!#REF!,'27'!$132:$151,'27'!#REF!,'27'!#REF!</definedName>
    <definedName name="Z_9CE42830_1BFE_4EEE_AD75_1C30A69A86B1_.wvu.Rows" localSheetId="26" hidden="1">'27'!$15:$68,'27'!$75:$102,'27'!$109:$125,'27'!#REF!,'27'!$132:$151,'27'!#REF!,'27'!#REF!</definedName>
    <definedName name="Z_9EA36D12_6C5C_4BE0_9897_E6710354124D_.wvu.Rows" localSheetId="26" hidden="1">'27'!$15:$68,'27'!$75:$102,'27'!$109:$125,'27'!#REF!,'27'!$132:$151,'27'!#REF!,'27'!#REF!</definedName>
    <definedName name="Z_A0F29F5B_FB6E_4C5E_B7A7_CDA651D38207_.wvu.Rows" localSheetId="26" hidden="1">'27'!$15:$68,'27'!$75:$102,'27'!$109:$125,'27'!#REF!,'27'!$132:$151,'27'!#REF!,'27'!#REF!</definedName>
    <definedName name="Z_A567DF6A_4F50_45D4_A9C8_0879E17AFD34_.wvu.Rows" localSheetId="26" hidden="1">'27'!$15:$68,'27'!$75:$102,'27'!$109:$125,'27'!#REF!,'27'!$132:$151,'27'!#REF!,'27'!#REF!</definedName>
    <definedName name="Z_B2CFD8C8_F8F8_47F1_9207_6BE81612C01C_.wvu.Rows" localSheetId="26" hidden="1">'27'!$15:$68,'27'!$75:$102,'27'!$109:$125,'27'!#REF!,'27'!$132:$151,'27'!#REF!,'27'!#REF!</definedName>
    <definedName name="Z_BBF15C7D_3EAF_4D98_9096_5B67F6C46C47_.wvu.Rows" localSheetId="26" hidden="1">'27'!$15:$68,'27'!$75:$102,'27'!$109:$125,'27'!#REF!,'27'!#REF!,'27'!#REF!</definedName>
    <definedName name="Z_C122BF8D_C115_42E1_B73A_F9B38D5EC060_.wvu.Rows" localSheetId="26" hidden="1">'27'!$15:$68,'27'!$75:$102,'27'!$109:$125,'27'!#REF!,'27'!$132:$151,'27'!#REF!,'27'!#REF!</definedName>
    <definedName name="Z_C4D254D6_9D1C_4B3C_972D_15957FD05DD2_.wvu.Rows" localSheetId="26" hidden="1">'27'!$15:$68,'27'!$75:$102,'27'!$109:$125,'27'!#REF!,'27'!$132:$151,'27'!#REF!,'27'!#REF!</definedName>
    <definedName name="Z_D4664C56_FB8A_499D_8E24_CCA12F97FAE9_.wvu.Rows" localSheetId="26" hidden="1">'27'!$15:$68,'27'!$75:$102,'27'!$109:$125,'27'!#REF!,'27'!$132:$151,'27'!#REF!,'27'!#REF!</definedName>
    <definedName name="Z_DD995061_F552_4E13_8D40_A47EBB03245B_.wvu.Rows" localSheetId="26" hidden="1">'27'!$15:$68,'27'!$75:$102,'27'!$109:$125,'27'!#REF!,'27'!$132:$151,'27'!#REF!,'27'!#REF!</definedName>
    <definedName name="Z_DE2F0B4F_79DE_40A0_A13B_9C7F63D3F970_.wvu.Rows" localSheetId="26" hidden="1">'27'!$15:$68,'27'!$75:$102,'27'!$109:$125,'27'!#REF!,'27'!$132:$151,'27'!#REF!,'27'!#REF!</definedName>
    <definedName name="Z_E765F84B_EAF3_44AE_A058_C602C1E67401_.wvu.Rows" localSheetId="26" hidden="1">'27'!$15:$68,'27'!$75:$102,'27'!$109:$125,'27'!#REF!,'27'!$132:$151,'27'!#REF!,'27'!#REF!</definedName>
    <definedName name="Z_F34DD4D3_7189_47AF_B853_F133E36CF124_.wvu.Rows" localSheetId="26" hidden="1">'27'!$15:$68,'27'!$75:$102,'27'!$109:$125,'27'!#REF!,'27'!$132:$151,'27'!#REF!,'27'!#REF!</definedName>
    <definedName name="Z_F82F81AB_9C82_4E79_8CA3_CEB2B994FC06_.wvu.Rows" localSheetId="26" hidden="1">'27'!$15:$68,'27'!$75:$102,'27'!$109:$125,'27'!#REF!,'27'!$132:$151,'27'!#REF!,'27'!#REF!</definedName>
    <definedName name="Z_F89CD5B0_594D_4248_B45D_59008422D599_.wvu.Rows" localSheetId="26" hidden="1">'27'!$15:$68,'27'!$75:$102,'27'!$109:$125,'27'!#REF!,'27'!$132:$151,'27'!#REF!,'27'!#REF!</definedName>
    <definedName name="Z_03FBB0AD_5353_49C6_B595_178BC13C96AE_.wvu.Rows" localSheetId="27" hidden="1">'28'!$15:$68,'28'!$75:$102,'28'!$109:$125,'28'!#REF!,'28'!$132:$151,'28'!#REF!,'28'!#REF!</definedName>
    <definedName name="Z_070961C3_1DC2_4518_83D7_B3F54BC58AE2_.wvu.Rows" localSheetId="27" hidden="1">'28'!$15:$68,'28'!$75:$102,'28'!$109:$125,'28'!#REF!,'28'!$132:$151,'28'!#REF!,'28'!#REF!</definedName>
    <definedName name="Z_0B87D63B_15AD_4587_A73B_CA4B62BDFA01_.wvu.Rows" localSheetId="27" hidden="1">'28'!$15:$68,'28'!$75:$102,'28'!$109:$125,'28'!#REF!,'28'!$132:$151,'28'!#REF!,'28'!#REF!</definedName>
    <definedName name="Z_1B9AB2B5_0A50_46C3_981D_8BE75BF62E46_.wvu.Rows" localSheetId="27" hidden="1">'28'!$15:$68,'28'!$75:$102,'28'!$109:$125,'28'!#REF!,'28'!$132:$151,'28'!#REF!,'28'!#REF!</definedName>
    <definedName name="Z_20A0B2F7_9F51_4E3D_A024_0877F1F98F8D_.wvu.Rows" localSheetId="27" hidden="1">'28'!$15:$68,'28'!$75:$102,'28'!$109:$125,'28'!#REF!,'28'!$132:$151,'28'!#REF!,'28'!#REF!</definedName>
    <definedName name="Z_2C3A3C66_1522_4337_93AC_DFC422DC8462_.wvu.Rows" localSheetId="27" hidden="1">'28'!$15:$68,'28'!$75:$102,'28'!$109:$125,'28'!#REF!,'28'!$132:$151,'28'!#REF!,'28'!#REF!</definedName>
    <definedName name="Z_2E074C0E_3584_4321_A729_0961B34312BF_.wvu.Rows" localSheetId="27" hidden="1">'28'!$15:$68,'28'!$75:$102,'28'!$109:$125,'28'!#REF!,'28'!$132:$151,'28'!#REF!,'28'!#REF!</definedName>
    <definedName name="Z_2FFCC83E_A488_4450_9F9E_FF506EAEF5FC_.wvu.Rows" localSheetId="27" hidden="1">'28'!$15:$68,'28'!$75:$102,'28'!$109:$125,'28'!#REF!,'28'!$132:$151,'28'!#REF!,'28'!#REF!</definedName>
    <definedName name="Z_3351A924_D23D_45D7_8354_55677D787CA4_.wvu.Rows" localSheetId="27" hidden="1">'28'!$15:$68,'28'!$75:$102,'28'!$109:$125,'28'!#REF!,'28'!$132:$151,'28'!#REF!,'28'!#REF!</definedName>
    <definedName name="Z_51E3BC0E_B24A_447A_BC0A_03881122E44E_.wvu.Rows" localSheetId="27" hidden="1">'28'!$15:$68,'28'!$75:$102,'28'!$109:$125,'28'!#REF!,'28'!$132:$151,'28'!#REF!,'28'!#REF!</definedName>
    <definedName name="Z_5C60C8F2_A96A_4286_AB69_6A192D48B52D_.wvu.Rows" localSheetId="27" hidden="1">'28'!$15:$68,'28'!$75:$102,'28'!$109:$125,'28'!#REF!,'28'!$132:$151,'28'!#REF!,'28'!#REF!</definedName>
    <definedName name="Z_667B099C_8E79_4490_AC67_CFE2B9F8FC8D_.wvu.Rows" localSheetId="27" hidden="1">'28'!$15:$68,'28'!$75:$102,'28'!$109:$125,'28'!#REF!,'28'!$132:$151,'28'!#REF!,'28'!#REF!</definedName>
    <definedName name="Z_696C5A08_6B5C_4B07_9B14_11E12159ACF3_.wvu.Rows" localSheetId="27" hidden="1">'28'!$15:$68,'28'!$75:$102,'28'!$109:$125,'28'!#REF!,'28'!#REF!,'28'!#REF!</definedName>
    <definedName name="Z_743813BC_E137_480B_B63F_29E16C4A5D78_.wvu.Rows" localSheetId="27" hidden="1">'28'!$15:$68,'28'!$75:$102,'28'!$109:$125,'28'!#REF!,'28'!$132:$151,'28'!#REF!,'28'!#REF!</definedName>
    <definedName name="Z_7CD6C56D_7191_499D_884D_23F062610490_.wvu.Rows" localSheetId="27" hidden="1">'28'!$15:$68,'28'!$75:$102,'28'!$109:$125,'28'!#REF!,'28'!$132:$151,'28'!#REF!,'28'!#REF!</definedName>
    <definedName name="Z_8AB826A3_3F9F_46E8_8B3C_5D723650CD25_.wvu.Rows" localSheetId="27" hidden="1">'28'!$15:$68,'28'!$75:$102,'28'!$109:$125,'28'!#REF!,'28'!$132:$151,'28'!#REF!,'28'!#REF!</definedName>
    <definedName name="Z_9231B71C_ABB0_4122_BB61_A0E14ED7FAC4_.wvu.Rows" localSheetId="27" hidden="1">'28'!$15:$68,'28'!$75:$102,'28'!$109:$125,'28'!#REF!,'28'!$132:$151,'28'!#REF!,'28'!#REF!</definedName>
    <definedName name="Z_9CE42830_1BFE_4EEE_AD75_1C30A69A86B1_.wvu.Rows" localSheetId="27" hidden="1">'28'!$15:$68,'28'!$75:$102,'28'!$109:$125,'28'!#REF!,'28'!$132:$151,'28'!#REF!,'28'!#REF!</definedName>
    <definedName name="Z_9EA36D12_6C5C_4BE0_9897_E6710354124D_.wvu.Rows" localSheetId="27" hidden="1">'28'!$15:$68,'28'!$75:$102,'28'!$109:$125,'28'!#REF!,'28'!$132:$151,'28'!#REF!,'28'!#REF!</definedName>
    <definedName name="Z_A0F29F5B_FB6E_4C5E_B7A7_CDA651D38207_.wvu.Rows" localSheetId="27" hidden="1">'28'!$15:$68,'28'!$75:$102,'28'!$109:$125,'28'!#REF!,'28'!$132:$151,'28'!#REF!,'28'!#REF!</definedName>
    <definedName name="Z_A567DF6A_4F50_45D4_A9C8_0879E17AFD34_.wvu.Rows" localSheetId="27" hidden="1">'28'!$15:$68,'28'!$75:$102,'28'!$109:$125,'28'!#REF!,'28'!$132:$151,'28'!#REF!,'28'!#REF!</definedName>
    <definedName name="Z_B2CFD8C8_F8F8_47F1_9207_6BE81612C01C_.wvu.Rows" localSheetId="27" hidden="1">'28'!$15:$68,'28'!$75:$102,'28'!$109:$125,'28'!#REF!,'28'!$132:$151,'28'!#REF!,'28'!#REF!</definedName>
    <definedName name="Z_BBF15C7D_3EAF_4D98_9096_5B67F6C46C47_.wvu.Rows" localSheetId="27" hidden="1">'28'!$15:$68,'28'!$75:$102,'28'!$109:$125,'28'!#REF!,'28'!#REF!,'28'!#REF!</definedName>
    <definedName name="Z_C122BF8D_C115_42E1_B73A_F9B38D5EC060_.wvu.Rows" localSheetId="27" hidden="1">'28'!$15:$68,'28'!$75:$102,'28'!$109:$125,'28'!#REF!,'28'!$132:$151,'28'!#REF!,'28'!#REF!</definedName>
    <definedName name="Z_C4D254D6_9D1C_4B3C_972D_15957FD05DD2_.wvu.Rows" localSheetId="27" hidden="1">'28'!$15:$68,'28'!$75:$102,'28'!$109:$125,'28'!#REF!,'28'!$132:$151,'28'!#REF!,'28'!#REF!</definedName>
    <definedName name="Z_D4664C56_FB8A_499D_8E24_CCA12F97FAE9_.wvu.Rows" localSheetId="27" hidden="1">'28'!$15:$68,'28'!$75:$102,'28'!$109:$125,'28'!#REF!,'28'!$132:$151,'28'!#REF!,'28'!#REF!</definedName>
    <definedName name="Z_DD995061_F552_4E13_8D40_A47EBB03245B_.wvu.Rows" localSheetId="27" hidden="1">'28'!$15:$68,'28'!$75:$102,'28'!$109:$125,'28'!#REF!,'28'!$132:$151,'28'!#REF!,'28'!#REF!</definedName>
    <definedName name="Z_DE2F0B4F_79DE_40A0_A13B_9C7F63D3F970_.wvu.Rows" localSheetId="27" hidden="1">'28'!$15:$68,'28'!$75:$102,'28'!$109:$125,'28'!#REF!,'28'!$132:$151,'28'!#REF!,'28'!#REF!</definedName>
    <definedName name="Z_E765F84B_EAF3_44AE_A058_C602C1E67401_.wvu.Rows" localSheetId="27" hidden="1">'28'!$15:$68,'28'!$75:$102,'28'!$109:$125,'28'!#REF!,'28'!$132:$151,'28'!#REF!,'28'!#REF!</definedName>
    <definedName name="Z_F34DD4D3_7189_47AF_B853_F133E36CF124_.wvu.Rows" localSheetId="27" hidden="1">'28'!$15:$68,'28'!$75:$102,'28'!$109:$125,'28'!#REF!,'28'!$132:$151,'28'!#REF!,'28'!#REF!</definedName>
    <definedName name="Z_F82F81AB_9C82_4E79_8CA3_CEB2B994FC06_.wvu.Rows" localSheetId="27" hidden="1">'28'!$15:$68,'28'!$75:$102,'28'!$109:$125,'28'!#REF!,'28'!$132:$151,'28'!#REF!,'28'!#REF!</definedName>
    <definedName name="Z_F89CD5B0_594D_4248_B45D_59008422D599_.wvu.Rows" localSheetId="27" hidden="1">'28'!$15:$68,'28'!$75:$102,'28'!$109:$125,'28'!#REF!,'28'!$132:$151,'28'!#REF!,'28'!#REF!</definedName>
    <definedName name="Z_03FBB0AD_5353_49C6_B595_178BC13C96AE_.wvu.Rows" localSheetId="28" hidden="1">'29'!$15:$68,'29'!$75:$102,'29'!$109:$125,'29'!#REF!,'29'!$132:$151,'29'!#REF!,'29'!#REF!</definedName>
    <definedName name="Z_070961C3_1DC2_4518_83D7_B3F54BC58AE2_.wvu.Rows" localSheetId="28" hidden="1">'29'!$15:$68,'29'!$75:$102,'29'!$109:$125,'29'!#REF!,'29'!$132:$151,'29'!#REF!,'29'!#REF!</definedName>
    <definedName name="Z_0B87D63B_15AD_4587_A73B_CA4B62BDFA01_.wvu.Rows" localSheetId="28" hidden="1">'29'!$15:$68,'29'!$75:$102,'29'!$109:$125,'29'!#REF!,'29'!$132:$151,'29'!#REF!,'29'!#REF!</definedName>
    <definedName name="Z_1B9AB2B5_0A50_46C3_981D_8BE75BF62E46_.wvu.Rows" localSheetId="28" hidden="1">'29'!$15:$68,'29'!$75:$102,'29'!$109:$125,'29'!#REF!,'29'!$132:$151,'29'!#REF!,'29'!#REF!</definedName>
    <definedName name="Z_20A0B2F7_9F51_4E3D_A024_0877F1F98F8D_.wvu.Rows" localSheetId="28" hidden="1">'29'!$15:$68,'29'!$75:$102,'29'!$109:$125,'29'!#REF!,'29'!$132:$151,'29'!#REF!,'29'!#REF!</definedName>
    <definedName name="Z_2C3A3C66_1522_4337_93AC_DFC422DC8462_.wvu.Rows" localSheetId="28" hidden="1">'29'!$15:$68,'29'!$75:$102,'29'!$109:$125,'29'!#REF!,'29'!$132:$151,'29'!#REF!,'29'!#REF!</definedName>
    <definedName name="Z_2E074C0E_3584_4321_A729_0961B34312BF_.wvu.Rows" localSheetId="28" hidden="1">'29'!$15:$68,'29'!$75:$102,'29'!$109:$125,'29'!#REF!,'29'!$132:$151,'29'!#REF!,'29'!#REF!</definedName>
    <definedName name="Z_2FFCC83E_A488_4450_9F9E_FF506EAEF5FC_.wvu.Rows" localSheetId="28" hidden="1">'29'!$15:$68,'29'!$75:$102,'29'!$109:$125,'29'!#REF!,'29'!$132:$151,'29'!#REF!,'29'!#REF!</definedName>
    <definedName name="Z_3351A924_D23D_45D7_8354_55677D787CA4_.wvu.Rows" localSheetId="28" hidden="1">'29'!$15:$68,'29'!$75:$102,'29'!$109:$125,'29'!#REF!,'29'!$132:$151,'29'!#REF!,'29'!#REF!</definedName>
    <definedName name="Z_51E3BC0E_B24A_447A_BC0A_03881122E44E_.wvu.Rows" localSheetId="28" hidden="1">'29'!$15:$68,'29'!$75:$102,'29'!$109:$125,'29'!#REF!,'29'!$132:$151,'29'!#REF!,'29'!#REF!</definedName>
    <definedName name="Z_5C60C8F2_A96A_4286_AB69_6A192D48B52D_.wvu.Rows" localSheetId="28" hidden="1">'29'!$15:$68,'29'!$75:$102,'29'!$109:$125,'29'!#REF!,'29'!$132:$151,'29'!#REF!,'29'!#REF!</definedName>
    <definedName name="Z_667B099C_8E79_4490_AC67_CFE2B9F8FC8D_.wvu.Rows" localSheetId="28" hidden="1">'29'!$15:$68,'29'!$75:$102,'29'!$109:$125,'29'!#REF!,'29'!$132:$151,'29'!#REF!,'29'!#REF!</definedName>
    <definedName name="Z_696C5A08_6B5C_4B07_9B14_11E12159ACF3_.wvu.Rows" localSheetId="28" hidden="1">'29'!$15:$68,'29'!$75:$102,'29'!$109:$125,'29'!#REF!,'29'!#REF!,'29'!#REF!</definedName>
    <definedName name="Z_743813BC_E137_480B_B63F_29E16C4A5D78_.wvu.Rows" localSheetId="28" hidden="1">'29'!$15:$68,'29'!$75:$102,'29'!$109:$125,'29'!#REF!,'29'!$132:$151,'29'!#REF!,'29'!#REF!</definedName>
    <definedName name="Z_7CD6C56D_7191_499D_884D_23F062610490_.wvu.Rows" localSheetId="28" hidden="1">'29'!$15:$68,'29'!$75:$102,'29'!$109:$125,'29'!#REF!,'29'!$132:$151,'29'!#REF!,'29'!#REF!</definedName>
    <definedName name="Z_8AB826A3_3F9F_46E8_8B3C_5D723650CD25_.wvu.Rows" localSheetId="28" hidden="1">'29'!$15:$68,'29'!$75:$102,'29'!$109:$125,'29'!#REF!,'29'!$132:$151,'29'!#REF!,'29'!#REF!</definedName>
    <definedName name="Z_9231B71C_ABB0_4122_BB61_A0E14ED7FAC4_.wvu.Rows" localSheetId="28" hidden="1">'29'!$15:$68,'29'!$75:$102,'29'!$109:$125,'29'!#REF!,'29'!$132:$151,'29'!#REF!,'29'!#REF!</definedName>
    <definedName name="Z_9CE42830_1BFE_4EEE_AD75_1C30A69A86B1_.wvu.Rows" localSheetId="28" hidden="1">'29'!$15:$68,'29'!$75:$102,'29'!$109:$125,'29'!#REF!,'29'!$132:$151,'29'!#REF!,'29'!#REF!</definedName>
    <definedName name="Z_9EA36D12_6C5C_4BE0_9897_E6710354124D_.wvu.Rows" localSheetId="28" hidden="1">'29'!$15:$68,'29'!$75:$102,'29'!$109:$125,'29'!#REF!,'29'!$132:$151,'29'!#REF!,'29'!#REF!</definedName>
    <definedName name="Z_A0F29F5B_FB6E_4C5E_B7A7_CDA651D38207_.wvu.Rows" localSheetId="28" hidden="1">'29'!$15:$68,'29'!$75:$102,'29'!$109:$125,'29'!#REF!,'29'!$132:$151,'29'!#REF!,'29'!#REF!</definedName>
    <definedName name="Z_A567DF6A_4F50_45D4_A9C8_0879E17AFD34_.wvu.Rows" localSheetId="28" hidden="1">'29'!$15:$68,'29'!$75:$102,'29'!$109:$125,'29'!#REF!,'29'!$132:$151,'29'!#REF!,'29'!#REF!</definedName>
    <definedName name="Z_B2CFD8C8_F8F8_47F1_9207_6BE81612C01C_.wvu.Rows" localSheetId="28" hidden="1">'29'!$15:$68,'29'!$75:$102,'29'!$109:$125,'29'!#REF!,'29'!$132:$151,'29'!#REF!,'29'!#REF!</definedName>
    <definedName name="Z_BBF15C7D_3EAF_4D98_9096_5B67F6C46C47_.wvu.Rows" localSheetId="28" hidden="1">'29'!$15:$68,'29'!$75:$102,'29'!$109:$125,'29'!#REF!,'29'!#REF!,'29'!#REF!</definedName>
    <definedName name="Z_C122BF8D_C115_42E1_B73A_F9B38D5EC060_.wvu.Rows" localSheetId="28" hidden="1">'29'!$15:$68,'29'!$75:$102,'29'!$109:$125,'29'!#REF!,'29'!$132:$151,'29'!#REF!,'29'!#REF!</definedName>
    <definedName name="Z_C4D254D6_9D1C_4B3C_972D_15957FD05DD2_.wvu.Rows" localSheetId="28" hidden="1">'29'!$15:$68,'29'!$75:$102,'29'!$109:$125,'29'!#REF!,'29'!$132:$151,'29'!#REF!,'29'!#REF!</definedName>
    <definedName name="Z_D4664C56_FB8A_499D_8E24_CCA12F97FAE9_.wvu.Rows" localSheetId="28" hidden="1">'29'!$15:$68,'29'!$75:$102,'29'!$109:$125,'29'!#REF!,'29'!$132:$151,'29'!#REF!,'29'!#REF!</definedName>
    <definedName name="Z_DD995061_F552_4E13_8D40_A47EBB03245B_.wvu.Rows" localSheetId="28" hidden="1">'29'!$15:$68,'29'!$75:$102,'29'!$109:$125,'29'!#REF!,'29'!$132:$151,'29'!#REF!,'29'!#REF!</definedName>
    <definedName name="Z_DE2F0B4F_79DE_40A0_A13B_9C7F63D3F970_.wvu.Rows" localSheetId="28" hidden="1">'29'!$15:$68,'29'!$75:$102,'29'!$109:$125,'29'!#REF!,'29'!$132:$151,'29'!#REF!,'29'!#REF!</definedName>
    <definedName name="Z_E765F84B_EAF3_44AE_A058_C602C1E67401_.wvu.Rows" localSheetId="28" hidden="1">'29'!$15:$68,'29'!$75:$102,'29'!$109:$125,'29'!#REF!,'29'!$132:$151,'29'!#REF!,'29'!#REF!</definedName>
    <definedName name="Z_F34DD4D3_7189_47AF_B853_F133E36CF124_.wvu.Rows" localSheetId="28" hidden="1">'29'!$15:$68,'29'!$75:$102,'29'!$109:$125,'29'!#REF!,'29'!$132:$151,'29'!#REF!,'29'!#REF!</definedName>
    <definedName name="Z_F82F81AB_9C82_4E79_8CA3_CEB2B994FC06_.wvu.Rows" localSheetId="28" hidden="1">'29'!$15:$68,'29'!$75:$102,'29'!$109:$125,'29'!#REF!,'29'!$132:$151,'29'!#REF!,'29'!#REF!</definedName>
    <definedName name="Z_F89CD5B0_594D_4248_B45D_59008422D599_.wvu.Rows" localSheetId="28" hidden="1">'29'!$15:$68,'29'!$75:$102,'29'!$109:$125,'29'!#REF!,'29'!$132:$151,'29'!#REF!,'29'!#REF!</definedName>
    <definedName name="ДаНет">Тех.Лист!$A$1:$A$2</definedName>
    <definedName name="_xlnm._FilterDatabase" localSheetId="22" hidden="1">'23'!$A$15:$K$92</definedName>
  </definedNames>
  <calcPr/>
</workbook>
</file>

<file path=xl/sharedStrings.xml><?xml version="1.0" encoding="utf-8"?>
<sst xmlns="http://schemas.openxmlformats.org/spreadsheetml/2006/main" count="727" uniqueCount="727">
  <si>
    <t xml:space="preserve">ООО АЙРОН</t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</si>
  <si>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СБ 815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</si>
  <si>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СБ 9096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</si>
  <si>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ЦМР Банк 723</t>
    </r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</si>
  <si>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РОСБАНК 1113</t>
    </r>
  </si>
  <si>
    <r>
      <t xml:space="preserve">счёт </t>
    </r>
    <r>
      <rPr>
        <b/>
        <i/>
        <sz val="11"/>
        <color theme="1"/>
        <rFont val="Times New Roman"/>
      </rPr>
      <t xml:space="preserve">Райффайзенбанк 36128</t>
    </r>
  </si>
  <si>
    <r>
      <t xml:space="preserve">счёт </t>
    </r>
    <r>
      <rPr>
        <b/>
        <i/>
        <sz val="11"/>
        <color theme="1"/>
        <rFont val="Times New Roman"/>
      </rPr>
      <t xml:space="preserve">ПРОМСВЯЗЬБАНК (ВСЕ СПЕЦСЧЕТА СУММА) </t>
    </r>
  </si>
  <si>
    <r>
      <rPr>
        <i/>
        <sz val="12"/>
        <rFont val="Times New Roman"/>
      </rPr>
      <t>счёт</t>
    </r>
    <r>
      <rPr>
        <b/>
        <i/>
        <sz val="12"/>
        <rFont val="Times New Roman"/>
      </rPr>
      <t xml:space="preserve"> ВТБ 845</t>
    </r>
  </si>
  <si>
    <r>
      <t>счёт</t>
    </r>
    <r>
      <rPr>
        <b/>
        <i/>
        <sz val="11"/>
        <color theme="1"/>
        <rFont val="Times New Roman"/>
      </rPr>
      <t xml:space="preserve"> Казначейский 13200</t>
    </r>
  </si>
  <si>
    <r>
      <t>счёт</t>
    </r>
    <r>
      <rPr>
        <b/>
        <i/>
        <sz val="11"/>
        <color theme="1"/>
        <rFont val="Times New Roman"/>
      </rPr>
      <t xml:space="preserve"> Альфа-Банк 10328</t>
    </r>
  </si>
  <si>
    <t xml:space="preserve">№ п/п</t>
  </si>
  <si>
    <t xml:space="preserve">Инициатор платежа</t>
  </si>
  <si>
    <t xml:space="preserve">Контрагент - Получатель</t>
  </si>
  <si>
    <t>Договор/Счет</t>
  </si>
  <si>
    <t xml:space="preserve">Сумма  к оплате</t>
  </si>
  <si>
    <t xml:space="preserve">Назначение платежа</t>
  </si>
  <si>
    <t>Бюджет/Статья</t>
  </si>
  <si>
    <t xml:space="preserve">Наличие Договора</t>
  </si>
  <si>
    <t>Примечание</t>
  </si>
  <si>
    <t xml:space="preserve">Отметка об оплате</t>
  </si>
  <si>
    <t xml:space="preserve">Спец. Распоряжение</t>
  </si>
  <si>
    <r>
      <t xml:space="preserve">Коммерческий отдел </t>
    </r>
    <r>
      <rPr>
        <b/>
        <sz val="14"/>
        <color rgb="FFC00000"/>
        <rFont val="Times New Roman"/>
      </rPr>
      <t xml:space="preserve">(ПОСТАВЩИКИ / ПОКУПАТЕЛИ)</t>
    </r>
  </si>
  <si>
    <t xml:space="preserve"> </t>
  </si>
  <si>
    <r>
      <t xml:space="preserve">Коммерческий отдел </t>
    </r>
    <r>
      <rPr>
        <b/>
        <sz val="14"/>
        <color rgb="FFC00000"/>
        <rFont val="Times New Roman"/>
      </rPr>
      <t xml:space="preserve">(ЛОГИСТИКА / Хранение / ПРР)</t>
    </r>
  </si>
  <si>
    <r>
      <t xml:space="preserve">РАСХОДЫ ПРОЧИЕ </t>
    </r>
    <r>
      <rPr>
        <b/>
        <sz val="14"/>
        <color rgb="FFC00000"/>
        <rFont val="Times New Roman"/>
      </rPr>
      <t xml:space="preserve">(Тех служба / Складской коммплекс / IT служба / Юр служба / Секретариат / Кадры / Маркетинг)</t>
    </r>
  </si>
  <si>
    <t xml:space="preserve">Бухгалтерия  (Налоги / ЗП / ЕСН / прочие платежи бух. службы)</t>
  </si>
  <si>
    <t xml:space="preserve">ФЭО  (Кредиты/ Лизинг / Проценты / прочие платежи)</t>
  </si>
  <si>
    <t xml:space="preserve">ИТОГО АЙРОН РАСХОДЫ ПО РЕЕСТРУ</t>
  </si>
  <si>
    <t xml:space="preserve">ДЕФИЦИТ  /  ПРОФИЦИТ с Остатка на начало дня</t>
  </si>
  <si>
    <t xml:space="preserve">ООО МЕТКОМ ИНВЕСТ</t>
  </si>
  <si>
    <t xml:space="preserve">остаток на конец дня не ниже 100 000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</si>
  <si>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СБ 6110</t>
    </r>
  </si>
  <si>
    <t xml:space="preserve">Спец. Распоряжение / Приоритет</t>
  </si>
  <si>
    <t xml:space="preserve">АХР (IT служба / Юр служба / ФЭО /Секретариат/Кадры/ФЭО)</t>
  </si>
  <si>
    <t xml:space="preserve">ИТОГО ТД МЕТКОМ РАСХОДЫ ПО РЕЕСТРУ</t>
  </si>
  <si>
    <t xml:space="preserve">ИП Богданова С.В.</t>
  </si>
  <si>
    <r>
      <rPr>
        <i/>
        <sz val="11"/>
        <color theme="1"/>
        <rFont val="Times New Roman"/>
      </rPr>
      <t xml:space="preserve">счёт </t>
    </r>
    <r>
      <rPr>
        <b/>
        <i/>
        <sz val="11"/>
        <color theme="1"/>
        <rFont val="Times New Roman"/>
      </rPr>
      <t xml:space="preserve">СБ 3255</t>
    </r>
  </si>
  <si>
    <t xml:space="preserve">ВСЕ расходы по деятельности ИП</t>
  </si>
  <si>
    <t xml:space="preserve">ИТОГО ИП Богданова С.В. РАСХОДЫ ПО РЕЕСТРУ</t>
  </si>
  <si>
    <t xml:space="preserve">РЕЕСТР ЗАКРЫТ !!!</t>
  </si>
  <si>
    <r>
      <t>счёт</t>
    </r>
    <r>
      <rPr>
        <b/>
        <i/>
        <sz val="11"/>
        <color theme="1"/>
        <rFont val="Times New Roman"/>
      </rPr>
      <t xml:space="preserve"> ЦМР Банк 723</t>
    </r>
  </si>
  <si>
    <t xml:space="preserve">Ченский М.В.</t>
  </si>
  <si>
    <t xml:space="preserve">Донмет ООО</t>
  </si>
  <si>
    <t xml:space="preserve">Договор поставки № 22-2025 от 26.11.2025</t>
  </si>
  <si>
    <t>металлопрокат</t>
  </si>
  <si>
    <t>Да</t>
  </si>
  <si>
    <t>оплачен</t>
  </si>
  <si>
    <t xml:space="preserve">Федоров А.А.</t>
  </si>
  <si>
    <t xml:space="preserve">СТАВСТАЛЬ ООО </t>
  </si>
  <si>
    <t xml:space="preserve">Договор №1503 от 02.02.2026</t>
  </si>
  <si>
    <t xml:space="preserve">металлопрокат, спецификация 15 от 27.02.2026</t>
  </si>
  <si>
    <t>Нет</t>
  </si>
  <si>
    <t>скан</t>
  </si>
  <si>
    <t xml:space="preserve">металлопрокат,  спецификация 17 от 27.02.2026</t>
  </si>
  <si>
    <t xml:space="preserve">металлопрокат,  спецификация 18 от 27.02.2026</t>
  </si>
  <si>
    <t xml:space="preserve">металлопрокат,  спецификация 19 от 27.02.2026</t>
  </si>
  <si>
    <t xml:space="preserve">металлопрокат,  спецификация 20 от 27.02.2026</t>
  </si>
  <si>
    <t xml:space="preserve">Северсталь ПАО</t>
  </si>
  <si>
    <t xml:space="preserve">Договор №643/00186217-72537 от 11.07.2017</t>
  </si>
  <si>
    <t xml:space="preserve">Федоров А.А. </t>
  </si>
  <si>
    <t xml:space="preserve">ООО "ДОН-МЕТАЛЛ"</t>
  </si>
  <si>
    <t xml:space="preserve">Договор поставки № 5/1 от 01.04.2025</t>
  </si>
  <si>
    <t xml:space="preserve">Ченский М В</t>
  </si>
  <si>
    <t xml:space="preserve">ООО "МЕТАЛЛ-ИНВЕСТ"</t>
  </si>
  <si>
    <t xml:space="preserve">Договор №5 от 10.03.2023</t>
  </si>
  <si>
    <t xml:space="preserve">металлопрокат, Счет на оплату № 72 от 27 февраля 2026 г.</t>
  </si>
  <si>
    <t xml:space="preserve">с КРЕДИТА</t>
  </si>
  <si>
    <t>Резанова</t>
  </si>
  <si>
    <t xml:space="preserve">Супермет ООО</t>
  </si>
  <si>
    <t xml:space="preserve">договор 110 от 18.03.2022</t>
  </si>
  <si>
    <t>возврат</t>
  </si>
  <si>
    <t xml:space="preserve">Метрополия ООО</t>
  </si>
  <si>
    <t xml:space="preserve">Договор №991 от 17.10.2023</t>
  </si>
  <si>
    <t xml:space="preserve">Аква-Строй Гарант ООО</t>
  </si>
  <si>
    <t xml:space="preserve">Договор №751 от 01.08.2023</t>
  </si>
  <si>
    <t xml:space="preserve">Лемакс ООО</t>
  </si>
  <si>
    <t xml:space="preserve">По Дилерскому договору №16/11-ДК от 16.11.2020 Счет №1430 от 25.02.2026</t>
  </si>
  <si>
    <t>Котлы</t>
  </si>
  <si>
    <t>ЮТЗ</t>
  </si>
  <si>
    <t>Торгэсперт</t>
  </si>
  <si>
    <t>Пышный</t>
  </si>
  <si>
    <t>ММК</t>
  </si>
  <si>
    <t xml:space="preserve">РИК ООО Ростов</t>
  </si>
  <si>
    <t xml:space="preserve">Договор №1 от 29.03.2019</t>
  </si>
  <si>
    <t xml:space="preserve">транзит Айрон-РИК-Синергия ТД</t>
  </si>
  <si>
    <t xml:space="preserve">Краснодемская Е.С.</t>
  </si>
  <si>
    <t xml:space="preserve">ИП Арзамаскин В.И.</t>
  </si>
  <si>
    <t xml:space="preserve">сч.3663 от 02.02.26</t>
  </si>
  <si>
    <t>перевозка</t>
  </si>
  <si>
    <t xml:space="preserve">Бюджет ПЛАН</t>
  </si>
  <si>
    <t xml:space="preserve">Фёдоров Р.Р.</t>
  </si>
  <si>
    <t xml:space="preserve">ТТС </t>
  </si>
  <si>
    <t xml:space="preserve">сч.11 от 02.02.2026</t>
  </si>
  <si>
    <t xml:space="preserve">с НДС</t>
  </si>
  <si>
    <t xml:space="preserve">Бондарев С.А. </t>
  </si>
  <si>
    <t xml:space="preserve">сч.22, 23, 24, 25 от 02.02.2026</t>
  </si>
  <si>
    <t xml:space="preserve">без НДС</t>
  </si>
  <si>
    <t>Голка</t>
  </si>
  <si>
    <t xml:space="preserve">Елисеев И.Н.</t>
  </si>
  <si>
    <t xml:space="preserve">Счет №1,2,3 от 25.01</t>
  </si>
  <si>
    <t>Транспорт</t>
  </si>
  <si>
    <t>Стадников</t>
  </si>
  <si>
    <t xml:space="preserve">ООО Дезинфекция</t>
  </si>
  <si>
    <t xml:space="preserve">счет №321 от 25.02.2026</t>
  </si>
  <si>
    <t xml:space="preserve">дератизация, дезинсекция (пр коммун)</t>
  </si>
  <si>
    <t xml:space="preserve">ООО Экоград-Н</t>
  </si>
  <si>
    <t xml:space="preserve">счет №БО-1133 от 28.02.2026</t>
  </si>
  <si>
    <t xml:space="preserve">обращение с ТКО (пр коммун)</t>
  </si>
  <si>
    <t xml:space="preserve">ИП Панкова Е.М.</t>
  </si>
  <si>
    <t xml:space="preserve">счет №13 от 20.02.2026</t>
  </si>
  <si>
    <t xml:space="preserve">АКБ для черри 118</t>
  </si>
  <si>
    <t xml:space="preserve">Бюджет ПЛАН МЕТКОМ</t>
  </si>
  <si>
    <t>Гаркушенко</t>
  </si>
  <si>
    <t xml:space="preserve">ИП Максимова ВД</t>
  </si>
  <si>
    <t xml:space="preserve">ЦХБ-0425373 от 28.02</t>
  </si>
  <si>
    <t xml:space="preserve">экспресс почта февраль</t>
  </si>
  <si>
    <t xml:space="preserve">Татаринова Н.А.</t>
  </si>
  <si>
    <t xml:space="preserve">ИФНС по ЕНП</t>
  </si>
  <si>
    <t xml:space="preserve">КБК 18201061201010000510</t>
  </si>
  <si>
    <t xml:space="preserve">ЕНП (Прибыль аванс февраль)</t>
  </si>
  <si>
    <t xml:space="preserve">ООО АФ "СТАНДАРТ"</t>
  </si>
  <si>
    <t xml:space="preserve">Счет 47 от 18.11.25, Договор от 18.11.25</t>
  </si>
  <si>
    <t xml:space="preserve">Аудит фин.отчетности за 2025г., без НДС</t>
  </si>
  <si>
    <t xml:space="preserve">Панфилова Е.О.</t>
  </si>
  <si>
    <t>СБЕР</t>
  </si>
  <si>
    <t xml:space="preserve">520F00LNTMF-005 от 11.03.2025</t>
  </si>
  <si>
    <t xml:space="preserve">гасим тело долга</t>
  </si>
  <si>
    <t xml:space="preserve">520F00LNTMF-006 от 09.04.2025</t>
  </si>
  <si>
    <t xml:space="preserve">ООО ТД МЕТКОМ</t>
  </si>
  <si>
    <t xml:space="preserve">ИП Шаповалов Г.В.</t>
  </si>
  <si>
    <t xml:space="preserve">счет №27 от 24.02.2026</t>
  </si>
  <si>
    <t xml:space="preserve">ремонт Н-1 (содерж тс)</t>
  </si>
  <si>
    <t>Антоненко</t>
  </si>
  <si>
    <t xml:space="preserve">ИП ПОГУДИН ГРИГОРИЙ АНДРЕЕВИЧ</t>
  </si>
  <si>
    <t xml:space="preserve">Счет на оплату № 506 от 28 января 2026 г.</t>
  </si>
  <si>
    <t xml:space="preserve">Презентационные материалы «Метком Инвест»: pdf, формат А4 (рекл)</t>
  </si>
  <si>
    <t xml:space="preserve">ООО Офисмаг</t>
  </si>
  <si>
    <t xml:space="preserve">Сч-КОР-292781 от 13.02.2026</t>
  </si>
  <si>
    <t xml:space="preserve">канц товары (орг)</t>
  </si>
  <si>
    <t xml:space="preserve">Сч-КОР-280587 от 12.02.2026</t>
  </si>
  <si>
    <t xml:space="preserve">ЦХБ-0425655 от 28</t>
  </si>
  <si>
    <t xml:space="preserve">Амитон Д.Д.</t>
  </si>
  <si>
    <t xml:space="preserve">АО ТД Электротехмонтаж</t>
  </si>
  <si>
    <t xml:space="preserve">счёт-договор 302/305386 от 02.03.26</t>
  </si>
  <si>
    <t xml:space="preserve">покупка материалов для монтажа локальной сети в офисе</t>
  </si>
  <si>
    <t>ЕНП</t>
  </si>
  <si>
    <t xml:space="preserve">патент. Срок оплаты до 31.03.26</t>
  </si>
  <si>
    <r>
      <t>счёт</t>
    </r>
    <r>
      <rPr>
        <b/>
        <i/>
        <sz val="11"/>
        <color theme="1"/>
        <rFont val="Times New Roman"/>
      </rPr>
      <t xml:space="preserve"> ПРОМСВЯЗЬБАНК (ВСЕ СПЕЦСЧЕТА СУММА) </t>
    </r>
  </si>
  <si>
    <r>
      <rPr>
        <b/>
        <sz val="14"/>
        <color theme="1"/>
        <rFont val="Times New Roman"/>
      </rPr>
      <t xml:space="preserve">Коммерческий отдел (</t>
    </r>
    <r>
      <rPr>
        <b/>
        <sz val="14"/>
        <color rgb="FFC00000"/>
        <rFont val="Times New Roman"/>
      </rPr>
      <t xml:space="preserve">ПОСТАВЩИКИ / ПОКУПАТЕЛИ)</t>
    </r>
  </si>
  <si>
    <t xml:space="preserve">АО "СПК-РЕГИОН ЮГ"</t>
  </si>
  <si>
    <t xml:space="preserve">Договор поставки №313 от 22.09.2025</t>
  </si>
  <si>
    <t xml:space="preserve">с кредита</t>
  </si>
  <si>
    <t>пышный</t>
  </si>
  <si>
    <t>нлмк</t>
  </si>
  <si>
    <t>ммк</t>
  </si>
  <si>
    <t>Радинская</t>
  </si>
  <si>
    <t xml:space="preserve">командировочные Ставр край</t>
  </si>
  <si>
    <t xml:space="preserve">Дмитриева О. В.</t>
  </si>
  <si>
    <t xml:space="preserve">НДФЛ (период с23.02.2026-28.02.2026)</t>
  </si>
  <si>
    <t xml:space="preserve">срок оплаты до 05.03.26</t>
  </si>
  <si>
    <t>Васенин</t>
  </si>
  <si>
    <t xml:space="preserve">командировочные Ставр край(Айрон)</t>
  </si>
  <si>
    <t xml:space="preserve">Бюджет ПЛАН Айрон</t>
  </si>
  <si>
    <t xml:space="preserve">ООО МСН Телеком</t>
  </si>
  <si>
    <t xml:space="preserve">счёт 202603-013329 от 02.03.26</t>
  </si>
  <si>
    <t xml:space="preserve">оплата услуг связи</t>
  </si>
  <si>
    <t xml:space="preserve">Бюджет ПЛАН </t>
  </si>
  <si>
    <t>Кармет</t>
  </si>
  <si>
    <t xml:space="preserve">с райфа</t>
  </si>
  <si>
    <t xml:space="preserve">металлопрокат, спецификация 16 от 27.02.2026</t>
  </si>
  <si>
    <t>СКАН</t>
  </si>
  <si>
    <t xml:space="preserve">металлопрокат,  спецификация 14 от 27.02.2026</t>
  </si>
  <si>
    <t xml:space="preserve">металлопрокат,  спецификация 22 от 02.03.2026</t>
  </si>
  <si>
    <t xml:space="preserve">металлопрокат,  спецификация 21 от 02.03.2026</t>
  </si>
  <si>
    <t>НЛМК</t>
  </si>
  <si>
    <t xml:space="preserve">сч. 3660 от 03.02.26</t>
  </si>
  <si>
    <t xml:space="preserve">ООО "ТПР"</t>
  </si>
  <si>
    <t xml:space="preserve">сч.19 от 22.01.26</t>
  </si>
  <si>
    <t xml:space="preserve">ООО "Бета Групп"</t>
  </si>
  <si>
    <t xml:space="preserve">сч.33, 41 от 04.02.26</t>
  </si>
  <si>
    <t xml:space="preserve">Горшков А.В.</t>
  </si>
  <si>
    <t xml:space="preserve">сч.52, 57, 58 от 30.01.2026</t>
  </si>
  <si>
    <t xml:space="preserve">ООО ТК Петролиум</t>
  </si>
  <si>
    <t xml:space="preserve">счет №187 от 02.03.2026</t>
  </si>
  <si>
    <t>ГСМ</t>
  </si>
  <si>
    <t xml:space="preserve">ООО Аква Маркет</t>
  </si>
  <si>
    <t xml:space="preserve">счет №КМАН0012483 от 25.02.2026</t>
  </si>
  <si>
    <t xml:space="preserve">питьевая вода (орг)</t>
  </si>
  <si>
    <t xml:space="preserve">ООО Компания Гэндальф</t>
  </si>
  <si>
    <t xml:space="preserve">счёт РГА03030025 от 03.03.2026</t>
  </si>
  <si>
    <t xml:space="preserve">покупка термотрансферной ленты RESIN (расх IT)</t>
  </si>
  <si>
    <t xml:space="preserve">ООО Сеть</t>
  </si>
  <si>
    <t xml:space="preserve">счёт ГС-1028 от 01.03.2026</t>
  </si>
  <si>
    <t xml:space="preserve">ООО ЦД-Р</t>
  </si>
  <si>
    <t xml:space="preserve">счёт ЦР-2081 от 28.02.26</t>
  </si>
  <si>
    <t>Батайск</t>
  </si>
  <si>
    <t xml:space="preserve">счёт ЦР-2203 от 28.02.26</t>
  </si>
  <si>
    <t xml:space="preserve">Чуприна Ю.Ю.</t>
  </si>
  <si>
    <t xml:space="preserve">ТНС Энерго</t>
  </si>
  <si>
    <t xml:space="preserve">сч.№61250200200/22663 от 01.03.2026</t>
  </si>
  <si>
    <t xml:space="preserve">Оплата электроэнергии 30%за март 2026 г. Срок оплаты до 10.03.2026</t>
  </si>
  <si>
    <t xml:space="preserve">скан дог</t>
  </si>
  <si>
    <t>Скороходов</t>
  </si>
  <si>
    <t xml:space="preserve">ИП Мурзин</t>
  </si>
  <si>
    <t xml:space="preserve">Счет №88 от 20.02.2026</t>
  </si>
  <si>
    <t xml:space="preserve">заправка картриджей (расх IT)</t>
  </si>
  <si>
    <t xml:space="preserve">Счет №90 от 24.02.2026</t>
  </si>
  <si>
    <t xml:space="preserve">ремонт принтера (расх IT)</t>
  </si>
  <si>
    <t xml:space="preserve">ООО Белка-М</t>
  </si>
  <si>
    <t xml:space="preserve">счет №150/0203 от 02.03.2026</t>
  </si>
  <si>
    <t xml:space="preserve">запчасти для Н-1 (содерж тс)</t>
  </si>
  <si>
    <t xml:space="preserve">счет №105 от 02.03.2026</t>
  </si>
  <si>
    <t xml:space="preserve">счет №33 от 27.02.2026</t>
  </si>
  <si>
    <t xml:space="preserve">ИП Ильинский М.В.</t>
  </si>
  <si>
    <t xml:space="preserve">счёт ИЛ-760 от 28.02.26</t>
  </si>
  <si>
    <t xml:space="preserve">ПАО МТС</t>
  </si>
  <si>
    <t xml:space="preserve">счёт 50ЦРБ14451 от 01.03.26</t>
  </si>
  <si>
    <t xml:space="preserve">счёт 261380462703 10371347470 от 28.02.26</t>
  </si>
  <si>
    <t xml:space="preserve">счёт 261370466550 10371348601 от 28.02.26</t>
  </si>
  <si>
    <t xml:space="preserve">АО ЭР-Телеком Холдинг</t>
  </si>
  <si>
    <t xml:space="preserve">счёт 161180991232678/1-6 от 28.02.2026</t>
  </si>
  <si>
    <t>Семенов</t>
  </si>
  <si>
    <t xml:space="preserve">такая п/п 26.02</t>
  </si>
  <si>
    <t xml:space="preserve">Лазарева Л.Ю</t>
  </si>
  <si>
    <t xml:space="preserve">НДФЛ (период с 23.02-28.02.2026) (налоги с фот)</t>
  </si>
  <si>
    <t> </t>
  </si>
  <si>
    <t xml:space="preserve">в т.ч ЮТЗ  13 465,00               Крайний срок 05.03.26</t>
  </si>
  <si>
    <t xml:space="preserve"> ﻿</t>
  </si>
  <si>
    <t xml:space="preserve">Татевосян </t>
  </si>
  <si>
    <t xml:space="preserve">Саргсян Артак Арамаисович ИП</t>
  </si>
  <si>
    <t xml:space="preserve">Письмо от 10.02.2026</t>
  </si>
  <si>
    <t xml:space="preserve">возврат по письму </t>
  </si>
  <si>
    <t>райф</t>
  </si>
  <si>
    <t xml:space="preserve">Ереванский завод стальных труб  Металл Стиль ЗАО</t>
  </si>
  <si>
    <t xml:space="preserve">Письмо от 27.02.2026</t>
  </si>
  <si>
    <t xml:space="preserve">металлопрокат, спецификация 23 от 04.03.2026</t>
  </si>
  <si>
    <t xml:space="preserve">металлопрокат,  спецификация 26 от 05.03.2026</t>
  </si>
  <si>
    <t xml:space="preserve">металлопрокат,  спецификация </t>
  </si>
  <si>
    <t xml:space="preserve">Сбер Батайск/ОП Батайск</t>
  </si>
  <si>
    <t>реестр</t>
  </si>
  <si>
    <t xml:space="preserve">отпускные за март 2026 г.</t>
  </si>
  <si>
    <t xml:space="preserve">Сбер Ростов</t>
  </si>
  <si>
    <t xml:space="preserve">Отпускные за март 2026г </t>
  </si>
  <si>
    <t xml:space="preserve">Оплата по больничному листу за февраль 2026г</t>
  </si>
  <si>
    <t xml:space="preserve">металлопрокат, спецификация 29 от 06.03.2026</t>
  </si>
  <si>
    <t xml:space="preserve">металлопрокат, спецификация  25 от 04.03.2026</t>
  </si>
  <si>
    <t xml:space="preserve">металлопрокат, спецификация 27 от 05.03.2026</t>
  </si>
  <si>
    <t xml:space="preserve">металлопрокат, спецификация 24 от 04.03.2026</t>
  </si>
  <si>
    <t xml:space="preserve">металлопрокат, спецификация 28 от 05.03.2026</t>
  </si>
  <si>
    <t xml:space="preserve">ООО "ТОРГОВЫЙ ДОМ ММК</t>
  </si>
  <si>
    <t xml:space="preserve"> Договор №РД-25000089 от 12.03.2025 БТ</t>
  </si>
  <si>
    <t xml:space="preserve">Расчет при увольнении за март 2026г </t>
  </si>
  <si>
    <r>
      <t xml:space="preserve">счёт </t>
    </r>
    <r>
      <rPr>
        <b/>
        <i/>
        <sz val="11"/>
        <color theme="1"/>
        <rFont val="Times New Roman"/>
      </rPr>
      <t xml:space="preserve">ПРОМСВЯЗЬБАНК (ВСЕ СПЕЦСЧЕТА СУММА)</t>
    </r>
    <r>
      <rPr>
        <i/>
        <sz val="11"/>
        <color theme="1"/>
        <rFont val="Times New Roman"/>
      </rPr>
      <t xml:space="preserve"> </t>
    </r>
  </si>
  <si>
    <t xml:space="preserve">ООО ОП Кристалл Групп</t>
  </si>
  <si>
    <t xml:space="preserve">счет №15 от 02.02.2026</t>
  </si>
  <si>
    <t xml:space="preserve">охрана батайской базы</t>
  </si>
  <si>
    <t xml:space="preserve">металлопрокат, спецификация №26 от 05.03.2026</t>
  </si>
  <si>
    <t xml:space="preserve">металлопрокат, спецификация №30 от 07.03.2026</t>
  </si>
  <si>
    <t>п</t>
  </si>
  <si>
    <t xml:space="preserve">командировочные Липецк, Москва</t>
  </si>
  <si>
    <t>Бюджет</t>
  </si>
  <si>
    <t xml:space="preserve">ТБанк/ОП Невинномысск 2</t>
  </si>
  <si>
    <t xml:space="preserve">отдельным платежом</t>
  </si>
  <si>
    <t xml:space="preserve">зарплата за февраль 2026 г.</t>
  </si>
  <si>
    <t xml:space="preserve">Альфа Банк /ОП Невинномысск 2</t>
  </si>
  <si>
    <t xml:space="preserve">ПСБ Банк/ОП Невинномысск 2</t>
  </si>
  <si>
    <t xml:space="preserve">Сбер Невин-ск/ОП Невинномысск 2</t>
  </si>
  <si>
    <t>Сбер/АУП</t>
  </si>
  <si>
    <t xml:space="preserve">Первомайское РОСП г.Ростова-на-Дону ГУФССП России по Ростовской области</t>
  </si>
  <si>
    <t>Исп.лист</t>
  </si>
  <si>
    <t xml:space="preserve">Удержание из зар.платы Дубинца Михаила Юрьевича</t>
  </si>
  <si>
    <t xml:space="preserve">ОСФР ПО РОСТОВСКОЙ ОБЛАСТИ , Л/С 04584Ф58010)</t>
  </si>
  <si>
    <t xml:space="preserve">КБК 79710212000061000160</t>
  </si>
  <si>
    <t xml:space="preserve">Страховые взносы по НС и ПЗ за февраль 2026 г (налоги с фот)</t>
  </si>
  <si>
    <t>Совкомбанк/АУП</t>
  </si>
  <si>
    <t xml:space="preserve">%%% вкл</t>
  </si>
  <si>
    <t xml:space="preserve">5 100 000 с РТПЗ</t>
  </si>
  <si>
    <t>Федоров</t>
  </si>
  <si>
    <t xml:space="preserve">Бюджет </t>
  </si>
  <si>
    <t xml:space="preserve">Николаев А.В.</t>
  </si>
  <si>
    <t xml:space="preserve">Амитон Н.М.</t>
  </si>
  <si>
    <t xml:space="preserve">счёт № .... от 10.03.26</t>
  </si>
  <si>
    <t xml:space="preserve">оплата услуг по договору №2 от 24.04.2023</t>
  </si>
  <si>
    <t xml:space="preserve">счёта пока нет, оплата по номеру договора по возможности</t>
  </si>
  <si>
    <t xml:space="preserve">Аренда ТС за февраль 2026г/Мельник</t>
  </si>
  <si>
    <t xml:space="preserve">79.02 РИК</t>
  </si>
  <si>
    <t>РИК</t>
  </si>
  <si>
    <t xml:space="preserve">Аренда ТС за февраль 2026г/Потаралов</t>
  </si>
  <si>
    <t>ТБанк</t>
  </si>
  <si>
    <t xml:space="preserve">Зар.плата за февраль 2026г</t>
  </si>
  <si>
    <t xml:space="preserve"> Код в назначении 1 //ВЗС//41173-93//</t>
  </si>
  <si>
    <t xml:space="preserve">в т.ч ЮТЗ 185 843,40 </t>
  </si>
  <si>
    <t xml:space="preserve">Шмальц Наталья Валерьевна</t>
  </si>
  <si>
    <t xml:space="preserve">Соглашение об уплате алиментов</t>
  </si>
  <si>
    <t xml:space="preserve">Удержание из заработной платы Жуковой Надежды Сергеевны</t>
  </si>
  <si>
    <t xml:space="preserve">Удержание из заработной платы Дубинца Михаила Юрьевича</t>
  </si>
  <si>
    <t xml:space="preserve">обязательный платеж с первого прихода</t>
  </si>
  <si>
    <t xml:space="preserve">металлопрокат, спецификация №31 от 10.03.2026</t>
  </si>
  <si>
    <t>оплачаен</t>
  </si>
  <si>
    <t xml:space="preserve">Чернякова ИП</t>
  </si>
  <si>
    <t xml:space="preserve">Договор №244 от 22.03.2024г.</t>
  </si>
  <si>
    <t xml:space="preserve">Елисеев И.Н. ИП</t>
  </si>
  <si>
    <t xml:space="preserve">Счет №7,6,5,4 от 07.02</t>
  </si>
  <si>
    <t xml:space="preserve">ООО "АВТОЛЕГИОН"</t>
  </si>
  <si>
    <t xml:space="preserve">сч.47, 48 от 06.02.26</t>
  </si>
  <si>
    <t>Высокова </t>
  </si>
  <si>
    <t xml:space="preserve">ИП Тищенко </t>
  </si>
  <si>
    <t xml:space="preserve">Счет № 1 от 25.02.2026</t>
  </si>
  <si>
    <t xml:space="preserve">ИП Хачатрян </t>
  </si>
  <si>
    <t xml:space="preserve">Счет № 11, 12, 13, 14 от 19.02.26</t>
  </si>
  <si>
    <t xml:space="preserve">ООО Бета Групп </t>
  </si>
  <si>
    <t xml:space="preserve">Счет № 39, 42 от 05.02.2026</t>
  </si>
  <si>
    <t>Перевозка </t>
  </si>
  <si>
    <t xml:space="preserve">ИП Черников </t>
  </si>
  <si>
    <t xml:space="preserve">Счет № 01002-26 от 10.02.2026 </t>
  </si>
  <si>
    <t xml:space="preserve">ООО ОП кристалл Групп</t>
  </si>
  <si>
    <t xml:space="preserve">счет №21 от 02.02.2026</t>
  </si>
  <si>
    <t xml:space="preserve">охрана Невинка (орг)</t>
  </si>
  <si>
    <t xml:space="preserve">ООО ИНПК Секъюрити Юг</t>
  </si>
  <si>
    <t xml:space="preserve">счет №2779 от 01.03.2026</t>
  </si>
  <si>
    <t xml:space="preserve">тревожная кнопка (орг)</t>
  </si>
  <si>
    <t xml:space="preserve">ООО Магистраль Проект</t>
  </si>
  <si>
    <t xml:space="preserve">счет №21 от 28.02.2026</t>
  </si>
  <si>
    <t xml:space="preserve">обслуживание жд пути (Обслуживание складского хозяйства)</t>
  </si>
  <si>
    <t xml:space="preserve">ООО ДРСУ-Дон</t>
  </si>
  <si>
    <t xml:space="preserve">по акту сверки</t>
  </si>
  <si>
    <t xml:space="preserve">использование жд пути (Обслуживание складского хозяйства)</t>
  </si>
  <si>
    <t xml:space="preserve">счет №41 от 04.03.2026</t>
  </si>
  <si>
    <t xml:space="preserve">ремонт монжаро 903 (содерж тс)</t>
  </si>
  <si>
    <t xml:space="preserve">Бюджет МЕТКОМ</t>
  </si>
  <si>
    <t xml:space="preserve">АО Донаэродорстрой</t>
  </si>
  <si>
    <t xml:space="preserve">счет №49 от 28.02.2026</t>
  </si>
  <si>
    <t xml:space="preserve">ООО Автодор-Платные Дороги</t>
  </si>
  <si>
    <t xml:space="preserve">по реквизитам</t>
  </si>
  <si>
    <t xml:space="preserve">платная дорога (Вертикаль)</t>
  </si>
  <si>
    <t xml:space="preserve">79.02 ВЕРТИКАЛЬ</t>
  </si>
  <si>
    <t xml:space="preserve">ООО Донской арсенал</t>
  </si>
  <si>
    <t xml:space="preserve">счет №249 от05.03.2026</t>
  </si>
  <si>
    <t xml:space="preserve">автошины монжаро 903 (содерж тс)</t>
  </si>
  <si>
    <t>Чуприна</t>
  </si>
  <si>
    <t xml:space="preserve">командировочные ДНР,ЛНР</t>
  </si>
  <si>
    <t xml:space="preserve">Сч-КОР-409129 от 03.03.2026</t>
  </si>
  <si>
    <t xml:space="preserve">ПАО Мегафон</t>
  </si>
  <si>
    <t xml:space="preserve">счёт 420078083271 от 28.02.26</t>
  </si>
  <si>
    <t xml:space="preserve">счёт 203131615788 от 28.02.26</t>
  </si>
  <si>
    <t xml:space="preserve">Васенин Е.В.</t>
  </si>
  <si>
    <t xml:space="preserve">аванс.отчет№АИББ-11 от 10.03.2026</t>
  </si>
  <si>
    <t xml:space="preserve">Тех.осмтор Лада Веста (рем тс)</t>
  </si>
  <si>
    <t>Метком</t>
  </si>
  <si>
    <t xml:space="preserve">350 000 Айрон</t>
  </si>
  <si>
    <t xml:space="preserve">ООО БЛДЦ+</t>
  </si>
  <si>
    <t xml:space="preserve">счет №289 от 28.02.2026</t>
  </si>
  <si>
    <t>.14490</t>
  </si>
  <si>
    <t xml:space="preserve">предрейсовый медосмотр (содерж тс)</t>
  </si>
  <si>
    <t xml:space="preserve">счет №42 от 06.03.2026</t>
  </si>
  <si>
    <t xml:space="preserve">ремонт хендай соната (содерж тс)</t>
  </si>
  <si>
    <t>Сидоров</t>
  </si>
  <si>
    <t xml:space="preserve">командировочные ДНР,ЛНР(Айрон)</t>
  </si>
  <si>
    <t xml:space="preserve">Бюджет АЙРОН</t>
  </si>
  <si>
    <t xml:space="preserve">счет №615 от 18.11.2025</t>
  </si>
  <si>
    <t xml:space="preserve">запчасти хендай соната (сод.адм.тр)</t>
  </si>
  <si>
    <t xml:space="preserve">ООО 1С-Битрикс</t>
  </si>
  <si>
    <t xml:space="preserve">счёт 8566870 от 04.03.26</t>
  </si>
  <si>
    <t xml:space="preserve">оплата права использования 1С-Битрикс24 сроком на 1 мес (расх IT)</t>
  </si>
  <si>
    <t xml:space="preserve">счёт 440078273834 от 28.02.26</t>
  </si>
  <si>
    <t xml:space="preserve">ООО Облачные технологии</t>
  </si>
  <si>
    <t xml:space="preserve">счёт УТ-Б3148 от 28.02.26</t>
  </si>
  <si>
    <t xml:space="preserve">оплата использования сервиса облачных серверов 1С (расх IT)</t>
  </si>
  <si>
    <t xml:space="preserve">ООО Яндекс 360 для бизнеса</t>
  </si>
  <si>
    <t xml:space="preserve">счёт ЛС-5001485715-1 от 11 марта 2026 г.</t>
  </si>
  <si>
    <t xml:space="preserve">оплата доступа к сервису электронной почты (расх IT)</t>
  </si>
  <si>
    <t xml:space="preserve">Шалыгина Н.В.</t>
  </si>
  <si>
    <t xml:space="preserve">Мошненко А.С.</t>
  </si>
  <si>
    <t xml:space="preserve">авансовый отчет</t>
  </si>
  <si>
    <t xml:space="preserve">командировочный расходы (перерасход г.Краснодар)</t>
  </si>
  <si>
    <t xml:space="preserve">79/02 Азов</t>
  </si>
  <si>
    <t xml:space="preserve">Страховые взносы по НС и ПЗ за февраль 2026г (налоги с фот)</t>
  </si>
  <si>
    <t xml:space="preserve">в т.ч ЮТЗ 617,22        Крайний срок 16.03.2026</t>
  </si>
  <si>
    <t xml:space="preserve">Кабенок А.Ю.</t>
  </si>
  <si>
    <t xml:space="preserve">ООО "Айрон"</t>
  </si>
  <si>
    <t xml:space="preserve">Счет №АИББ-7 от 28.02.2026г.</t>
  </si>
  <si>
    <t xml:space="preserve">Оплата по договору аренды недвижемого имущества №151223.01 от 15.12.2023г. за Февраль 2026г.</t>
  </si>
  <si>
    <t xml:space="preserve">Счет №АИББ-9 от 28.02.2026г.</t>
  </si>
  <si>
    <t xml:space="preserve">Оплата по договору оказания складских услуг №151223.02 от 15.12.2023г. за Февраль 2026г.</t>
  </si>
  <si>
    <t xml:space="preserve">по Договору №02/06/Р от 02.06.2022 Счет № 926 от 09.02.2026</t>
  </si>
  <si>
    <t>радиаторы</t>
  </si>
  <si>
    <t xml:space="preserve">по Договору №02/06/Р от 02.06.2022 счет №1627 от 04.03.2026</t>
  </si>
  <si>
    <t>.304000000</t>
  </si>
  <si>
    <t xml:space="preserve">металлопрокат, спецификация №32 от 11.03.2026</t>
  </si>
  <si>
    <t xml:space="preserve">Новосталь-Маркет АО</t>
  </si>
  <si>
    <t xml:space="preserve">Договор поставки №155-07 от 03.07.2018</t>
  </si>
  <si>
    <t>.818103</t>
  </si>
  <si>
    <t xml:space="preserve">Брок-Инвест-Сервис и К ЗАО ТФД </t>
  </si>
  <si>
    <t xml:space="preserve">Договор №ДП_2019_000009 от 09.01.2019</t>
  </si>
  <si>
    <t xml:space="preserve">на обработке</t>
  </si>
  <si>
    <t>Голдшин</t>
  </si>
  <si>
    <t xml:space="preserve">Письмо от 06.02.2026</t>
  </si>
  <si>
    <t xml:space="preserve">нет бик в письме</t>
  </si>
  <si>
    <t>метком</t>
  </si>
  <si>
    <t xml:space="preserve">такая п/п 04.03</t>
  </si>
  <si>
    <t>520F00LNTMF-006</t>
  </si>
  <si>
    <t xml:space="preserve">Плата за пользование лимитом</t>
  </si>
  <si>
    <t xml:space="preserve">счет 45206810755710003608 ИНН 
7707083893
БИК 
044030653
КПП 
784243001
Получатель 
СЕВЕРО-ЗАПАДНЫЙ БАНК ПАО СБЕРБАНК Корреспондентский счёт 
30101810500000000653</t>
  </si>
  <si>
    <t xml:space="preserve">Проценты за кредит</t>
  </si>
  <si>
    <t xml:space="preserve">45206810755710003608 ИНН 
7707083893
БИК 
044030653
КПП 
784243001
Получатель 
СЕВЕРО-ЗАПАДНЫЙ БАНК ПАО СБЕРБАНК Корреспондентский счёт 
30101810500000000653</t>
  </si>
  <si>
    <t xml:space="preserve">металлопрокат, Спецификация № 37 от 13.03.2026</t>
  </si>
  <si>
    <t xml:space="preserve">металлопрокат, Спецификация № 36 от 13.03.2026</t>
  </si>
  <si>
    <t xml:space="preserve">металлопрокат, Спецификация № 35 от 13.03.2026</t>
  </si>
  <si>
    <t xml:space="preserve">Юг-Профиль ООО</t>
  </si>
  <si>
    <t xml:space="preserve">Договор №25 от 30.03.2016 </t>
  </si>
  <si>
    <t xml:space="preserve">ИП Бондарев </t>
  </si>
  <si>
    <t xml:space="preserve">Счет № 020, 26, 27, 28, 29, 30, 31, 32, 33, 34, 35, 36 от 05.02.26</t>
  </si>
  <si>
    <t>Транспорт </t>
  </si>
  <si>
    <t xml:space="preserve">Счет № 60 от 24.02.2026</t>
  </si>
  <si>
    <t xml:space="preserve">ООО Арбат </t>
  </si>
  <si>
    <t xml:space="preserve">Счет № 748, 749 от 05.02.2026</t>
  </si>
  <si>
    <t>транспорт </t>
  </si>
  <si>
    <t xml:space="preserve">Счет № 15,16 от 26.02.2026</t>
  </si>
  <si>
    <t xml:space="preserve">ИП Арзамаскин </t>
  </si>
  <si>
    <t xml:space="preserve">Счет № 1884, 5196 от 06.02.2026 </t>
  </si>
  <si>
    <t xml:space="preserve">счёт ЛС-5001342936-1 от 11 марта 2026 г.</t>
  </si>
  <si>
    <t xml:space="preserve">нет служебки</t>
  </si>
  <si>
    <t>да</t>
  </si>
  <si>
    <t xml:space="preserve">ООО Северсталь подъемные технологии</t>
  </si>
  <si>
    <t xml:space="preserve">счет №13523 от 12.03.2026</t>
  </si>
  <si>
    <t xml:space="preserve">стропы (обслуж крана)</t>
  </si>
  <si>
    <t xml:space="preserve">ИП Малыш-Федорцов С.В.</t>
  </si>
  <si>
    <t xml:space="preserve">счет №33 от 28.02.2026</t>
  </si>
  <si>
    <t xml:space="preserve">аренда база Невинка (хранение, ПРР)</t>
  </si>
  <si>
    <t xml:space="preserve">счет №261 от 12.03.2026</t>
  </si>
  <si>
    <t xml:space="preserve">автошины черри 127 (Метком) (содерж тс)</t>
  </si>
  <si>
    <t xml:space="preserve">ООО Самсон кавказ</t>
  </si>
  <si>
    <t xml:space="preserve">Сч-КОР-10018 от 04.03</t>
  </si>
  <si>
    <t xml:space="preserve">Перчатки ОП Невинномысск (хоз.расх.на склад)</t>
  </si>
  <si>
    <t xml:space="preserve">Сч-КОР-8522 от 24.02.</t>
  </si>
  <si>
    <t xml:space="preserve">канц товары ОП Невинномысск (орг)</t>
  </si>
  <si>
    <t xml:space="preserve">ФБУ Ростовский ЦСМ</t>
  </si>
  <si>
    <t xml:space="preserve">счет №24-00007357 от 13.03.2026</t>
  </si>
  <si>
    <t xml:space="preserve">ремонт и поверка крановых весов (обслуж крана)</t>
  </si>
  <si>
    <t xml:space="preserve">ООО НОВОФОН-ОПЕРАТОР СВЯЗИ</t>
  </si>
  <si>
    <t xml:space="preserve">счёт 0013225АВNF от 12 марта 2026 г.</t>
  </si>
  <si>
    <t xml:space="preserve">Сапко Г.А.</t>
  </si>
  <si>
    <t xml:space="preserve">ав.отчет №АИББ-12 от 12.03.2026</t>
  </si>
  <si>
    <t xml:space="preserve">тех.осмотр манипулятор 18045Е  (О 552 ТО), склад Батайск (рем тс)</t>
  </si>
  <si>
    <t xml:space="preserve">200 000 с Айрон</t>
  </si>
  <si>
    <t xml:space="preserve">Ползикова Н.Г.</t>
  </si>
  <si>
    <t xml:space="preserve">ООО "ПоинтПро Архитектс"</t>
  </si>
  <si>
    <t xml:space="preserve">Счет № 62 от 04.03.2026</t>
  </si>
  <si>
    <t xml:space="preserve">Создание 3Д моделей и рендеров для корзин, балконных ограждений и заборов по Договору №5/ЭП/2025 от  08.09.2025 (реклама и маркетинг)</t>
  </si>
  <si>
    <t xml:space="preserve">79.02 АЗОВ</t>
  </si>
  <si>
    <t xml:space="preserve">АЗОВ Без НДС</t>
  </si>
  <si>
    <t xml:space="preserve">счет №969330/ЛК-2000159 от 13.03.2026</t>
  </si>
  <si>
    <t xml:space="preserve">услуги транспондера (содерж тс)</t>
  </si>
  <si>
    <t xml:space="preserve">счет №35 от 16.03.2026</t>
  </si>
  <si>
    <t xml:space="preserve">Ермолина Е.В.</t>
  </si>
  <si>
    <t xml:space="preserve">Сагиров С. К.</t>
  </si>
  <si>
    <t xml:space="preserve">авансовый отчет </t>
  </si>
  <si>
    <t xml:space="preserve">ТО автомобиля (содерж тс)</t>
  </si>
  <si>
    <t xml:space="preserve">Новосталь-М ТК  ООО</t>
  </si>
  <si>
    <t xml:space="preserve">Орлатенко С.Г. ИП</t>
  </si>
  <si>
    <t xml:space="preserve">Договор № 910 от 25.09.2023 г.</t>
  </si>
  <si>
    <t xml:space="preserve">Конструктив ООО</t>
  </si>
  <si>
    <t xml:space="preserve">по Договору №02/06/Р от 02.06.2022 Счет №1773 от 11.03.2026</t>
  </si>
  <si>
    <t>Радиаторы</t>
  </si>
  <si>
    <t xml:space="preserve">Высокова З.Р.</t>
  </si>
  <si>
    <t xml:space="preserve">ИП Бондарев С.А.</t>
  </si>
  <si>
    <t xml:space="preserve">сч.47, 48 от 16.02.26</t>
  </si>
  <si>
    <t xml:space="preserve">по акту сверки от 01.01.26 г. за период 2025 г.</t>
  </si>
  <si>
    <t xml:space="preserve">БЕЗ НДС!!!!</t>
  </si>
  <si>
    <t xml:space="preserve">ИП Данилов ВД</t>
  </si>
  <si>
    <t xml:space="preserve">сч 145 от 02.03.26</t>
  </si>
  <si>
    <t xml:space="preserve">аренда офис март</t>
  </si>
  <si>
    <t xml:space="preserve">АО Совкомбанк страхование</t>
  </si>
  <si>
    <t xml:space="preserve">счет №0302-6024531-0326 от 12.03.2026</t>
  </si>
  <si>
    <t xml:space="preserve">ОСАГО черри 159 (Вертикаль)</t>
  </si>
  <si>
    <t xml:space="preserve">79.02 Вертикаль</t>
  </si>
  <si>
    <t xml:space="preserve">счет №0302-6024423-0326 от 12.03.2026</t>
  </si>
  <si>
    <t xml:space="preserve">ОСАГО черри 118 (Метком)</t>
  </si>
  <si>
    <t xml:space="preserve">ООО Формула Т</t>
  </si>
  <si>
    <t xml:space="preserve">счет-договор №20-738820 от 13.03.2026</t>
  </si>
  <si>
    <t xml:space="preserve">АКБ для крановых весов (обслуж крана)</t>
  </si>
  <si>
    <t xml:space="preserve">счет №302/301648 от 16.03.2026</t>
  </si>
  <si>
    <t xml:space="preserve">реле для козлового крана (обслуж крана)</t>
  </si>
  <si>
    <t>нет</t>
  </si>
  <si>
    <t xml:space="preserve">ООО Стропы юга</t>
  </si>
  <si>
    <t xml:space="preserve">счет №420 от 11.03.2026</t>
  </si>
  <si>
    <t>РЖД</t>
  </si>
  <si>
    <t xml:space="preserve">ЕЛС суб.счет №4</t>
  </si>
  <si>
    <t xml:space="preserve">Тех ПД (жд)</t>
  </si>
  <si>
    <t xml:space="preserve">Внебюджет ПЛАТИМ</t>
  </si>
  <si>
    <t xml:space="preserve">ООО БЛДЦ</t>
  </si>
  <si>
    <t xml:space="preserve">счет №288 от 28.02.2026</t>
  </si>
  <si>
    <t xml:space="preserve">предрейсовый медосмотр (пр тс)</t>
  </si>
  <si>
    <t>Жарков</t>
  </si>
  <si>
    <t xml:space="preserve">ИП Бровкин А.О.</t>
  </si>
  <si>
    <t xml:space="preserve">Счёт на оплату № 53025 от 12 марта 2026 г.</t>
  </si>
  <si>
    <t xml:space="preserve">Размещение прайс-листа на сайте 23met.ru (рекл маркет)</t>
  </si>
  <si>
    <t xml:space="preserve">счет №КМАН0016986 от 13.03.2026</t>
  </si>
  <si>
    <t xml:space="preserve">ООО СтальПром</t>
  </si>
  <si>
    <t xml:space="preserve">счет №8025 от 12.03.2026</t>
  </si>
  <si>
    <t xml:space="preserve">стропы (Невинка) (обслуж крана)</t>
  </si>
  <si>
    <t xml:space="preserve">Шевцова О.В.</t>
  </si>
  <si>
    <t xml:space="preserve">ИП Аксёнова О.В.</t>
  </si>
  <si>
    <t xml:space="preserve">счет №14 от 18 марта 2026</t>
  </si>
  <si>
    <t xml:space="preserve">предварительный анализ документов (инф.конс)</t>
  </si>
  <si>
    <t xml:space="preserve">Сч.№61250200200/34808 от 28.02.2026</t>
  </si>
  <si>
    <t xml:space="preserve">Электроэнергия Окончат.расчет за февраль 2026г. Срок опл. до 18.03.2026</t>
  </si>
  <si>
    <t xml:space="preserve">Черкасенко Н.Г.</t>
  </si>
  <si>
    <t xml:space="preserve">ав.отчет№АИББ-16 от 17.03.26</t>
  </si>
  <si>
    <t xml:space="preserve">шиномонтаж Geely Mondjaro К903МК 761</t>
  </si>
  <si>
    <t xml:space="preserve">ав.отчет№АИББ-17 от 17.03.26</t>
  </si>
  <si>
    <t xml:space="preserve">Тех.осмотр 18045Е (О 503 ТО 161) (пр тс)</t>
  </si>
  <si>
    <t xml:space="preserve">Сидоров И.В.</t>
  </si>
  <si>
    <t xml:space="preserve">ав.отчет№АИББ-18 от 17.03.26</t>
  </si>
  <si>
    <t xml:space="preserve">Шиномонтаж Geely Mondjaro Х703МК 761</t>
  </si>
  <si>
    <t xml:space="preserve">ООО  МЕТКОМ ИНВЕСТ</t>
  </si>
  <si>
    <t xml:space="preserve">1 300 000 с Айрон</t>
  </si>
  <si>
    <t xml:space="preserve">сч 144 от 02.03.26</t>
  </si>
  <si>
    <t xml:space="preserve">счет №969330/ЛК-2000160 от 16.03.2026</t>
  </si>
  <si>
    <t xml:space="preserve">Счет №235 от 16.03.2026</t>
  </si>
  <si>
    <t xml:space="preserve">Ремонт принтера (расх IT)</t>
  </si>
  <si>
    <t xml:space="preserve">счёт 261383185174 10371345492 от 28.02.26</t>
  </si>
  <si>
    <t xml:space="preserve">Богданова Н.Ю.</t>
  </si>
  <si>
    <t xml:space="preserve">ООО Гросс Систем</t>
  </si>
  <si>
    <t xml:space="preserve">счет-22770 от 02.03.2026г.</t>
  </si>
  <si>
    <t xml:space="preserve">3 платеж Актион 360 (обучение)</t>
  </si>
  <si>
    <t xml:space="preserve">Ермолина </t>
  </si>
  <si>
    <t xml:space="preserve">перерасход по командировке</t>
  </si>
  <si>
    <t xml:space="preserve">замена моторного масла в авто (содерж тс)</t>
  </si>
  <si>
    <t xml:space="preserve">металлопрокат, Спецификация № 42 от 18.03.2026</t>
  </si>
  <si>
    <t xml:space="preserve">металлопрокат, Спецификация № 44 от 19.03.2026</t>
  </si>
  <si>
    <t xml:space="preserve">КУИ Батайска</t>
  </si>
  <si>
    <t xml:space="preserve">аренда земельного участка под жд путем</t>
  </si>
  <si>
    <t xml:space="preserve">расчет при увольнении за март 2026 г.</t>
  </si>
  <si>
    <t xml:space="preserve">Оплата по Ген. соглашению № 7489-R от «10» августа 2023 г.     (%% п ВКЛ (неттинг))</t>
  </si>
  <si>
    <t xml:space="preserve">Получатель: ПАО Сбербанк
ОГРН 1027700132195
ИНН 7707083893
КПП 773601001
ОКПО 00032537
БИК 044525225
Корреспондентский счет № 30101810400000000225
в ГУ Банка России по ЦФО г. Москва,
   Счет получателя платежа № 30301810100006000024
</t>
  </si>
  <si>
    <t>сбер</t>
  </si>
  <si>
    <t>бг</t>
  </si>
  <si>
    <t xml:space="preserve">Вознаграждение за предоставление гарантии (фикс) 520H0119D2LZMF-012 от 06.05.2025 28.02.2026 - 17.03.2026 (%% по бг)</t>
  </si>
  <si>
    <t xml:space="preserve">счет 47502810955710209292 Банк получателя: СЕВЕРО-ЗАПАДНЫЙ БАНК ПАО СБЕРБАНК К/счет банка получателя: 30101810500000000653 БИК банка получателя: 044030653 ИНН получателя: 7707083893</t>
  </si>
  <si>
    <t xml:space="preserve">300 000 с Айрон</t>
  </si>
  <si>
    <t xml:space="preserve">Абраменко Е.П.</t>
  </si>
  <si>
    <t xml:space="preserve">Металлсервис-Москва ООО</t>
  </si>
  <si>
    <t xml:space="preserve">Договор №09/11-01/Ю от 09.11.2022</t>
  </si>
  <si>
    <t xml:space="preserve">счет №0755831 от 19.03.2026 оформление дубликатов документов</t>
  </si>
  <si>
    <t xml:space="preserve">металлопрокат, Спецификация № 40 от 18.03.2026</t>
  </si>
  <si>
    <t xml:space="preserve">металлопрокат, Спецификация № 39 от 17.03.2026</t>
  </si>
  <si>
    <t xml:space="preserve">ООО "МЕТАЛЛ СЕРВИС"</t>
  </si>
  <si>
    <t xml:space="preserve">Договор №24/11/2020-120 от 24.11.2020</t>
  </si>
  <si>
    <t xml:space="preserve">НКС ООО</t>
  </si>
  <si>
    <t xml:space="preserve">Договор №27 от 24.10.2023</t>
  </si>
  <si>
    <t xml:space="preserve">металлопрокат, Спецификация № 43 от 18.03.2026</t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</si>
  <si>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ПРОМСВЯЗЬБАНК (ВСЕ СПЕЦСЧЕТА СУММА) 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</si>
  <si>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Казначейский 13200</t>
    </r>
  </si>
  <si>
    <r>
      <rPr>
        <i/>
        <sz val="11"/>
        <color theme="1"/>
        <rFont val="Times New Roman"/>
      </rPr>
      <t>счёт</t>
    </r>
    <r>
      <rPr>
        <b/>
        <i/>
        <sz val="11"/>
        <color theme="1"/>
        <rFont val="Times New Roman"/>
      </rPr>
      <t xml:space="preserve"> Альфа-Банк 10328</t>
    </r>
  </si>
  <si>
    <t xml:space="preserve">Металлопрокат, Спецификация № 49 от 20.03.2026</t>
  </si>
  <si>
    <t xml:space="preserve">Металлопрокат, Спецификация № 47 от 20.03.2026</t>
  </si>
  <si>
    <t xml:space="preserve">Металлопрокат, Спецификация № 33 от 13.03.2026</t>
  </si>
  <si>
    <t xml:space="preserve">Металлопрокат, Спецификация № 48 от 20.03.2026</t>
  </si>
  <si>
    <t xml:space="preserve">Металлопрокат, Спецификация № 54 от 20.03.2026</t>
  </si>
  <si>
    <t xml:space="preserve">Металлопрокат, Спецификация № 52 от 20.03.2026</t>
  </si>
  <si>
    <t xml:space="preserve">Металлопрокат, Спецификация № 51 от 20.03.2026</t>
  </si>
  <si>
    <t xml:space="preserve">Металлопрокат, Спецификация № 50 от 20.03.2026</t>
  </si>
  <si>
    <t xml:space="preserve">Металлопрокат, Спецификация № 45 от 20.03.2026</t>
  </si>
  <si>
    <t xml:space="preserve">Металлопрокат, Спецификация № 53 от 20.03.2026</t>
  </si>
  <si>
    <t>Вертикаль</t>
  </si>
  <si>
    <t xml:space="preserve">ИП Геворгян </t>
  </si>
  <si>
    <t xml:space="preserve">Счет № 90, 89 от 03.03.2026</t>
  </si>
  <si>
    <t xml:space="preserve">Счет № 1827 от 20.01.2026</t>
  </si>
  <si>
    <t xml:space="preserve">ИП  Мангов </t>
  </si>
  <si>
    <t xml:space="preserve">Счет № 103, 81 от 17.02.2026</t>
  </si>
  <si>
    <t xml:space="preserve">ООО Транс- Гипс </t>
  </si>
  <si>
    <t xml:space="preserve">Счет № 38 от 19.02.2026</t>
  </si>
  <si>
    <t xml:space="preserve">ИП Шаманов </t>
  </si>
  <si>
    <t xml:space="preserve">Счет № 17 от 13.02.2026</t>
  </si>
  <si>
    <t xml:space="preserve">Счет № 2 от 10.03.2026</t>
  </si>
  <si>
    <t xml:space="preserve">ИП Калашников </t>
  </si>
  <si>
    <t xml:space="preserve">Счет № 92 от 10.03.2026</t>
  </si>
  <si>
    <t xml:space="preserve">ИП  Хачатрян </t>
  </si>
  <si>
    <t xml:space="preserve">Счет № 18 от 05.03.2026</t>
  </si>
  <si>
    <t>Межеровская</t>
  </si>
  <si>
    <t xml:space="preserve">командировочные Чечня, Дагестан</t>
  </si>
  <si>
    <t xml:space="preserve">счет №5 от 19.03.2026</t>
  </si>
  <si>
    <t xml:space="preserve">счет №47 от 18.03.2026</t>
  </si>
  <si>
    <t xml:space="preserve">ТО черри 159 (Вертикаль)</t>
  </si>
  <si>
    <t xml:space="preserve">счет №48 от 18.03.2026</t>
  </si>
  <si>
    <t xml:space="preserve">ремонт ларгус 478</t>
  </si>
  <si>
    <t xml:space="preserve">аренда земельного участка под жд путем (Обслуживание складского хозяйства)</t>
  </si>
  <si>
    <t>внебюджет</t>
  </si>
  <si>
    <t xml:space="preserve">проезд по платному участку (Вертикаль)</t>
  </si>
  <si>
    <t xml:space="preserve">ООО ВсеИнтрументы.ру</t>
  </si>
  <si>
    <t xml:space="preserve">счет №2603-180350-49746 от 16.03.2026</t>
  </si>
  <si>
    <t xml:space="preserve">болты (для козлового крана)</t>
  </si>
  <si>
    <t xml:space="preserve">ООО Торговая Компания ДОН-ЗИТАР</t>
  </si>
  <si>
    <t xml:space="preserve">счет №6227 от 17.03.2026</t>
  </si>
  <si>
    <t xml:space="preserve">крепеж (для козлового крана)</t>
  </si>
  <si>
    <t xml:space="preserve">охрана батайской базы (орг)</t>
  </si>
  <si>
    <t>Дубинец</t>
  </si>
  <si>
    <t xml:space="preserve">ООО Армет-А</t>
  </si>
  <si>
    <t xml:space="preserve">Счет на оплату № 251 от 06 марта 2026 г.</t>
  </si>
  <si>
    <t xml:space="preserve">перчатки для Базы Батайск, стропальщики (хоз)</t>
  </si>
  <si>
    <t xml:space="preserve">Сч. №61250200200/35437 от 01.03.2026</t>
  </si>
  <si>
    <t xml:space="preserve">Оплата за электроэнергию 40% за март 2026</t>
  </si>
  <si>
    <t xml:space="preserve">Бюджет 38,8т</t>
  </si>
  <si>
    <t xml:space="preserve">520F00LNTMF-007 от 23.12.2025</t>
  </si>
  <si>
    <t xml:space="preserve">520F00LNTMF-008 от 26.12.2025</t>
  </si>
  <si>
    <t xml:space="preserve">Бюджет Айрон</t>
  </si>
  <si>
    <t>Айрон</t>
  </si>
  <si>
    <t xml:space="preserve">Слащук О.А.</t>
  </si>
  <si>
    <t xml:space="preserve">суточные (командир)</t>
  </si>
  <si>
    <t xml:space="preserve">Иваненко С.А.</t>
  </si>
  <si>
    <t xml:space="preserve">ООО ТПК Танаис</t>
  </si>
  <si>
    <t xml:space="preserve">сч УТ-6111 от 17.03</t>
  </si>
  <si>
    <t xml:space="preserve">вода офис (орг)</t>
  </si>
  <si>
    <t xml:space="preserve">почтовые расходы подотчёт</t>
  </si>
  <si>
    <r>
      <rPr>
        <b/>
        <sz val="14"/>
        <color theme="1"/>
        <rFont val="Times New Roman"/>
      </rPr>
      <t xml:space="preserve">Коммерческий отдел </t>
    </r>
    <r>
      <rPr>
        <b/>
        <sz val="14"/>
        <color rgb="FFC00000"/>
        <rFont val="Times New Roman"/>
      </rPr>
      <t xml:space="preserve">(ПОСТАВЩИКИ / ПОКУПАТЕЛИ)</t>
    </r>
  </si>
  <si>
    <t xml:space="preserve">металлопрокат, спецификация 57 от 23.03.2026</t>
  </si>
  <si>
    <t xml:space="preserve">металлопрокат, спецификация 59 от 23.03.2026</t>
  </si>
  <si>
    <t xml:space="preserve">металлопрокат, спецификация 55 от 23.03.2026</t>
  </si>
  <si>
    <t xml:space="preserve">зарплата за первую половину марта 2026 г.</t>
  </si>
  <si>
    <t xml:space="preserve">Страховые взносы за февраль 2026г (налоги с фот)</t>
  </si>
  <si>
    <t xml:space="preserve">срок оплаты до 27.03.26</t>
  </si>
  <si>
    <t xml:space="preserve">150 000 с Айрон</t>
  </si>
  <si>
    <t xml:space="preserve">Расчет при увольнении за март 2026г</t>
  </si>
  <si>
    <t xml:space="preserve">Оплата по больничному за март 2026г</t>
  </si>
  <si>
    <t>.1000000</t>
  </si>
  <si>
    <t xml:space="preserve">металлопрокат, Спецификация № 60 от 23.03.2026</t>
  </si>
  <si>
    <t xml:space="preserve">металлопрокат, Спецификация № 58 от 23.03.2026</t>
  </si>
  <si>
    <t xml:space="preserve">металлопрокат,Спецификация № 56 от 23.03.2026</t>
  </si>
  <si>
    <t xml:space="preserve">металлопрокат, Спецификация № 62 от 24.03.2026</t>
  </si>
  <si>
    <t>ютз</t>
  </si>
  <si>
    <t xml:space="preserve">металлопрокат, Спецификация № 61 от 24.03.2026</t>
  </si>
  <si>
    <t>вертикаль</t>
  </si>
  <si>
    <t xml:space="preserve">АРБАТ ООО</t>
  </si>
  <si>
    <t xml:space="preserve">Счет №747,1205,745,746,831 от 5.02</t>
  </si>
  <si>
    <t xml:space="preserve">ИП Корягин С.О.</t>
  </si>
  <si>
    <t xml:space="preserve">счет №94 от 30.10.2026</t>
  </si>
  <si>
    <t xml:space="preserve">отчет по экологии (инф консульт)</t>
  </si>
  <si>
    <t xml:space="preserve">сумма к оплате по реестру</t>
  </si>
  <si>
    <t xml:space="preserve">НДС за 4-й квартал 2025г.</t>
  </si>
  <si>
    <t xml:space="preserve">Бюджет 400тыс</t>
  </si>
  <si>
    <t xml:space="preserve">3 100 000 с РТПЗ</t>
  </si>
  <si>
    <t>Черкасенко</t>
  </si>
  <si>
    <t xml:space="preserve">командировочные Воронеж(РТПЗ)</t>
  </si>
  <si>
    <t xml:space="preserve">Бюджет РТПЗ</t>
  </si>
  <si>
    <t xml:space="preserve">Зар.плата за 1 половину марта 2026г</t>
  </si>
  <si>
    <t xml:space="preserve">в т.ч ЮТЗ 67 943,24</t>
  </si>
  <si>
    <t xml:space="preserve">Металлопрокат, Спецификация № 68 от 25.03.2026</t>
  </si>
  <si>
    <t xml:space="preserve">Металлопрокат, Спецификация № 61 от 24.03.2026</t>
  </si>
  <si>
    <t xml:space="preserve">Металлопрокат, Спецификация № 67 от 25.03.2026</t>
  </si>
  <si>
    <t xml:space="preserve">Металлопрокат, Спецификация № 63 от 24.03.2026</t>
  </si>
  <si>
    <t xml:space="preserve">Металлопрокат, Спецификация № 64 от 25.03.2026</t>
  </si>
  <si>
    <t xml:space="preserve">Резанова </t>
  </si>
  <si>
    <t xml:space="preserve">Дилерский договор №16/11-ДК от 16.11.2020 Счет №1950 от 17.03.2026</t>
  </si>
  <si>
    <t xml:space="preserve">Пышный ВЮ</t>
  </si>
  <si>
    <t xml:space="preserve">командировочные Фролово</t>
  </si>
  <si>
    <t xml:space="preserve">УК Тер.комфорта-Домодедово</t>
  </si>
  <si>
    <t xml:space="preserve">сч.№21 от 28.02.2026</t>
  </si>
  <si>
    <t xml:space="preserve">опл.за ком.платежи с-но сч.№21 от 28.02.26</t>
  </si>
  <si>
    <t>БГ</t>
  </si>
  <si>
    <t xml:space="preserve">%% по БГ</t>
  </si>
  <si>
    <t xml:space="preserve">2 800 000 с Айрон</t>
  </si>
  <si>
    <t xml:space="preserve">Федоров АА</t>
  </si>
  <si>
    <t xml:space="preserve">Страховые взносы за февраль 2026г(налоги с фот)</t>
  </si>
  <si>
    <t xml:space="preserve">в т.ч ЮТЗ 46 291,26 Крайний срок 30.03.2026</t>
  </si>
  <si>
    <t xml:space="preserve">Котельникова Т.В.</t>
  </si>
  <si>
    <t xml:space="preserve">НДС 1/3 4 кв. 2025года</t>
  </si>
  <si>
    <t xml:space="preserve">не позднее 28.03.2026</t>
  </si>
  <si>
    <t xml:space="preserve">РостСервисКомплект ООО </t>
  </si>
  <si>
    <t xml:space="preserve">Договор поставки №963/01/2024 от 26.01.2024</t>
  </si>
  <si>
    <t xml:space="preserve">металлопрокат,  Спецификация № 69 от 25.03.2026</t>
  </si>
  <si>
    <t xml:space="preserve">металлопрокат, Спецификация № 72 от 26.03.2026</t>
  </si>
  <si>
    <t xml:space="preserve">Тех ПД</t>
  </si>
  <si>
    <t xml:space="preserve">Пышный В.Ю. </t>
  </si>
  <si>
    <t xml:space="preserve">ав. отчет№19 от 26.03.2026</t>
  </si>
  <si>
    <t xml:space="preserve">нотариальные услуги (госуслуги)</t>
  </si>
  <si>
    <t xml:space="preserve">НДФЛ (период с 01.03.2026-22.03.2026)</t>
  </si>
  <si>
    <t xml:space="preserve">срок оплаты 28.03.26</t>
  </si>
  <si>
    <t xml:space="preserve">Панфилова Е.О,</t>
  </si>
  <si>
    <t xml:space="preserve">% БГ</t>
  </si>
  <si>
    <t>сняли</t>
  </si>
  <si>
    <t xml:space="preserve">1 400 000 с Айрон</t>
  </si>
  <si>
    <t xml:space="preserve">счет №133 от 24.03.2026</t>
  </si>
  <si>
    <t xml:space="preserve">УСН 2025г. (налоги прочие)</t>
  </si>
  <si>
    <t xml:space="preserve">не позднее 30.03.2026</t>
  </si>
  <si>
    <t xml:space="preserve">НДФЛ (период с 01.03-22.03.2026г) (налоги с фот)</t>
  </si>
  <si>
    <r>
      <rPr>
        <b/>
        <i val="false"/>
        <strike val="false"/>
        <u val="none"/>
        <sz val="12"/>
        <color indexed="2"/>
        <rFont val="Times New Roman"/>
      </rPr>
      <t xml:space="preserve">в т.ч ЮТЗ  27143  </t>
    </r>
    <r>
      <rPr>
        <b val="false"/>
        <i val="false"/>
        <strike val="false"/>
        <u val="none"/>
        <sz val="12"/>
        <color indexed="2"/>
        <rFont val="Times New Roman"/>
      </rPr>
      <t xml:space="preserve"> Крайний срок 30.03.2026</t>
    </r>
  </si>
  <si>
    <t xml:space="preserve">НДФЛ по аренде ТС/Мельник (период с 01.03-22.03.2026г) (налоги с фот)</t>
  </si>
  <si>
    <r>
      <rPr>
        <b/>
        <sz val="11"/>
        <color indexed="2"/>
        <rFont val="Times New Roman"/>
      </rPr>
      <t xml:space="preserve">РИК  </t>
    </r>
    <r>
      <rPr>
        <b val="false"/>
        <sz val="11"/>
        <color indexed="2"/>
        <rFont val="Times New Roman"/>
      </rPr>
      <t xml:space="preserve">Крайний срок 30.03.2026</t>
    </r>
  </si>
  <si>
    <t xml:space="preserve">НДФЛ по аренде ТС/Потаралов (период с 01.03-22.03.2026г) (налоги с фот)</t>
  </si>
  <si>
    <r>
      <rPr>
        <b/>
        <sz val="14"/>
        <rFont val="Times New Roman"/>
      </rPr>
      <t xml:space="preserve">Коммерческий отдел </t>
    </r>
    <r>
      <rPr>
        <b/>
        <sz val="14"/>
        <color rgb="FFC00000"/>
        <rFont val="Times New Roman"/>
      </rPr>
      <t xml:space="preserve">(ПОСТАВЩИКИ / ПОКУПАТЕЛИ)</t>
    </r>
  </si>
  <si>
    <t>.263000000</t>
  </si>
  <si>
    <t xml:space="preserve">Металлопрокат, Спецификация 66 от 25.03.2026</t>
  </si>
  <si>
    <t xml:space="preserve">Металлопрокат, Спецификация 65 от 25.03.2026</t>
  </si>
  <si>
    <t xml:space="preserve">Металлопрокат, Спецификация 81 от 27.03.2026</t>
  </si>
  <si>
    <t xml:space="preserve">Металлопрокат, Спецификация 76 от 27.03.2026</t>
  </si>
  <si>
    <t xml:space="preserve">Металлопрокат, Спецификация 77 от 27.03.2026</t>
  </si>
  <si>
    <t xml:space="preserve">Металлопрокат, Спецификация 74 от 27.03.2026</t>
  </si>
  <si>
    <t xml:space="preserve">Металлопрокат, Спецификация 73 от 27.03.2026</t>
  </si>
  <si>
    <t xml:space="preserve">Металлопрокат, Спецификация 79 от 27.03.2026</t>
  </si>
  <si>
    <t xml:space="preserve">Металлопрокат, Спецификация 80 от 27.03.2026</t>
  </si>
  <si>
    <t xml:space="preserve">Металлопрокат, Спецификация 72 от 26.03.2026</t>
  </si>
  <si>
    <t xml:space="preserve">Металлопрокат, Спецификация 78 от 27.03.2026</t>
  </si>
  <si>
    <t>Торгэксперт</t>
  </si>
  <si>
    <t xml:space="preserve">транзит для Евраз Маркет</t>
  </si>
  <si>
    <r>
      <rPr>
        <b/>
        <sz val="14"/>
        <color theme="1"/>
        <rFont val="Times New Roman"/>
      </rPr>
      <t xml:space="preserve">РАСХОДЫ ПРОЧИЕ </t>
    </r>
    <r>
      <rPr>
        <b/>
        <sz val="14"/>
        <color rgb="FFC00000"/>
        <rFont val="Times New Roman"/>
      </rPr>
      <t xml:space="preserve">(Тех служба / Складской коммплекс / IT служба / Юр служба / Секретариат / Кадры / Маркетинг)</t>
    </r>
  </si>
  <si>
    <t xml:space="preserve">Дубинец М.Ю.</t>
  </si>
  <si>
    <t xml:space="preserve">ООО ГК Фирст</t>
  </si>
  <si>
    <t xml:space="preserve">счет ФТ-995 от 04.03.26</t>
  </si>
  <si>
    <t>.68150</t>
  </si>
  <si>
    <t xml:space="preserve">Закупка СИЗ (спецодежда) для склада Батайск (хоз)</t>
  </si>
  <si>
    <t xml:space="preserve">ООО РЦО</t>
  </si>
  <si>
    <t xml:space="preserve">Счёт №2064 от 30.03.2026</t>
  </si>
  <si>
    <t xml:space="preserve">Оценка движимого имущества (залога)</t>
  </si>
  <si>
    <t>Платим</t>
  </si>
  <si>
    <t xml:space="preserve">Сбер ОП Батайск</t>
  </si>
  <si>
    <t xml:space="preserve">Прибыль доплата год 2025 и аванс март 2026</t>
  </si>
  <si>
    <t xml:space="preserve">Бюджет 300тыс</t>
  </si>
  <si>
    <t xml:space="preserve">Счет №153 от 25.03.2026</t>
  </si>
  <si>
    <t>.17000000</t>
  </si>
  <si>
    <t xml:space="preserve">металлопрокат, Спецификация № 83 от 27.03.2026</t>
  </si>
  <si>
    <t xml:space="preserve">металлопрокат, Спецификация № 84 от 27.03.2026</t>
  </si>
  <si>
    <t xml:space="preserve">металлопрокат, Спецификация № 87 от 30.03.2026</t>
  </si>
  <si>
    <t xml:space="preserve">металлопрокат, Спецификация № 86 от 30.03.2026</t>
  </si>
  <si>
    <t xml:space="preserve">60 000 с Айрон</t>
  </si>
  <si>
    <t xml:space="preserve">Киргинцев В В</t>
  </si>
  <si>
    <t xml:space="preserve">Сидоров И В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</si>
</sst>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0" formatCode="[$-F800]dddd\,\ mmmm\ dd\,\ yyyy"/>
    <numFmt numFmtId="161" formatCode="_-* #,##0.00_р_._-;\-* #,##0.00_р_._-;_-* &quot;-&quot;??_р_._-;_-@_-"/>
    <numFmt numFmtId="162" formatCode="#,##0.00_ ;[Red]\-#,##0.00\ "/>
  </numFmts>
  <fonts count="27">
    <font>
      <sz val="11.000000"/>
      <color theme="1"/>
      <name val="Calibri"/>
      <scheme val="minor"/>
    </font>
    <font>
      <sz val="11.000000"/>
      <color theme="1"/>
      <name val="Times New Roman"/>
    </font>
    <font>
      <b/>
      <sz val="11.000000"/>
      <color theme="1"/>
      <name val="Times New Roman"/>
    </font>
    <font>
      <b/>
      <i/>
      <u/>
      <sz val="12.000000"/>
      <color theme="1"/>
      <name val="Times New Roman"/>
    </font>
    <font>
      <b/>
      <sz val="11.000000"/>
      <color indexed="2"/>
      <name val="Times New Roman"/>
    </font>
    <font>
      <b/>
      <sz val="13.000000"/>
      <color theme="1"/>
      <name val="Times New Roman"/>
    </font>
    <font>
      <b/>
      <i/>
      <sz val="11.000000"/>
      <color theme="1"/>
      <name val="Times New Roman"/>
    </font>
    <font>
      <i/>
      <sz val="11.000000"/>
      <color theme="1"/>
      <name val="Times New Roman"/>
    </font>
    <font>
      <b/>
      <i/>
      <sz val="12.000000"/>
      <name val="Times New Roman"/>
    </font>
    <font>
      <b/>
      <sz val="9.000000"/>
      <color theme="1"/>
      <name val="Times New Roman"/>
    </font>
    <font>
      <b/>
      <sz val="14.000000"/>
      <color theme="1"/>
      <name val="Times New Roman"/>
    </font>
    <font>
      <b/>
      <sz val="14.000000"/>
      <name val="Times New Roman"/>
    </font>
    <font>
      <b/>
      <sz val="11.000000"/>
      <color indexed="2"/>
      <name val="Calibri"/>
      <scheme val="minor"/>
    </font>
    <font>
      <sz val="12.000000"/>
      <name val="Times New Roman"/>
    </font>
    <font>
      <sz val="11.000000"/>
      <name val="Times New Roman"/>
    </font>
    <font>
      <sz val="11.000000"/>
      <color theme="1" tint="0"/>
      <name val="Times New Roman"/>
    </font>
    <font>
      <b val="0"/>
      <i val="0"/>
      <strike val="0"/>
      <u val="none"/>
      <sz val="12.000000"/>
      <name val="Times New Roman"/>
    </font>
    <font>
      <b/>
      <i val="0"/>
      <strike val="0"/>
      <u val="none"/>
      <sz val="12.000000"/>
      <color indexed="2"/>
      <name val="Times New Roman"/>
    </font>
    <font>
      <b val="0"/>
      <i val="0"/>
      <strike val="0"/>
      <u val="none"/>
      <sz val="9.000000"/>
      <name val="Arial"/>
    </font>
    <font>
      <b val="0"/>
      <i val="0"/>
      <strike val="0"/>
      <u val="none"/>
      <sz val="8.000000"/>
      <name val="Arial"/>
    </font>
    <font>
      <b val="0"/>
      <i val="0"/>
      <strike val="0"/>
      <u val="none"/>
      <sz val="11.000000"/>
      <name val="Times New Roman"/>
    </font>
    <font>
      <b val="0"/>
      <i val="0"/>
      <strike val="0"/>
      <u val="none"/>
      <sz val="10.000000"/>
      <name val="Times New Roman"/>
    </font>
    <font>
      <b val="0"/>
      <i val="0"/>
      <strike val="0"/>
      <u val="none"/>
      <sz val="11.000000"/>
      <name val="Calibri"/>
    </font>
    <font>
      <sz val="11.000000"/>
      <color indexed="2"/>
      <name val="Times New Roman"/>
    </font>
    <font>
      <b/>
      <i val="0"/>
      <strike val="0"/>
      <u val="none"/>
      <sz val="11.000000"/>
      <name val="Times New Roman"/>
    </font>
    <font>
      <b val="0"/>
      <i val="0"/>
      <strike val="0"/>
      <u val="none"/>
      <sz val="11.000000"/>
      <color indexed="2"/>
      <name val="Times New Roman"/>
    </font>
    <font>
      <sz val="12.000000"/>
      <color theme="1"/>
      <name val="Times New Roman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indexed="5"/>
        <bgColor indexed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66FF"/>
        <bgColor rgb="FFFF66FF"/>
      </patternFill>
    </fill>
    <fill>
      <patternFill patternType="solid">
        <fgColor theme="3" tint="0.79998168889431442"/>
        <bgColor theme="3" tint="0.79998168889431442"/>
      </patternFill>
    </fill>
    <fill>
      <patternFill patternType="solid">
        <fgColor theme="2"/>
        <bgColor theme="2"/>
      </patternFill>
    </fill>
    <fill>
      <patternFill patternType="solid">
        <fgColor indexed="2"/>
        <bgColor indexed="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0"/>
        <bgColor theme="0" tint="0"/>
      </patternFill>
    </fill>
    <fill>
      <patternFill patternType="solid">
        <fgColor rgb="FFFFCCFF"/>
        <bgColor rgb="FFFFCCFF"/>
      </patternFill>
    </fill>
    <fill>
      <patternFill patternType="solid">
        <fgColor rgb="FFF5C6F7"/>
        <bgColor rgb="FFF5C6F7"/>
      </patternFill>
    </fill>
    <fill>
      <patternFill patternType="solid">
        <fgColor indexed="65"/>
        <bgColor indexed="65"/>
      </patternFill>
    </fill>
    <fill>
      <patternFill patternType="solid">
        <fgColor rgb="FF0070C0"/>
        <bgColor rgb="FF0070C0"/>
      </patternFill>
    </fill>
    <fill>
      <patternFill patternType="solid">
        <fgColor rgb="FF2D9CC4"/>
        <bgColor rgb="FF2D9CC4"/>
      </patternFill>
    </fill>
    <fill>
      <patternFill patternType="solid">
        <fgColor rgb="FF00B0F0"/>
        <bgColor rgb="FF00B0F0"/>
      </patternFill>
    </fill>
  </fills>
  <borders count="93">
    <border>
      <left style="none"/>
      <right style="none"/>
      <top style="none"/>
      <bottom style="none"/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none"/>
      <diagonal style="none"/>
    </border>
    <border>
      <left style="medium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none"/>
      <diagonal style="none"/>
    </border>
    <border>
      <left style="medium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auto="1"/>
      </bottom>
      <diagonal style="none"/>
    </border>
    <border>
      <left style="thin">
        <color theme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medium">
        <color auto="1"/>
      </top>
      <bottom style="thin">
        <color auto="1"/>
      </bottom>
      <diagonal style="none"/>
    </border>
    <border>
      <left style="thin">
        <color theme="0"/>
      </left>
      <right style="none"/>
      <top style="medium">
        <color auto="1"/>
      </top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 style="none"/>
    </border>
    <border>
      <left style="none"/>
      <right style="none"/>
      <top style="thin">
        <color theme="0"/>
      </top>
      <bottom style="thin">
        <color theme="0"/>
      </bottom>
      <diagonal style="none"/>
    </border>
    <border>
      <left style="thin">
        <color theme="0"/>
      </left>
      <right style="none"/>
      <top style="thin">
        <color theme="0"/>
      </top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thin">
        <color theme="0"/>
      </top>
      <bottom style="none"/>
      <diagonal style="none"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 style="none"/>
    </border>
    <border>
      <left style="thin">
        <color theme="0"/>
      </left>
      <right style="none"/>
      <top style="medium">
        <color auto="1"/>
      </top>
      <bottom style="medium">
        <color auto="1"/>
      </bottom>
      <diagonal style="none"/>
    </border>
    <border>
      <left style="thin">
        <color theme="0"/>
      </left>
      <right style="none"/>
      <top style="none"/>
      <bottom style="none"/>
      <diagonal style="none"/>
    </border>
    <border>
      <left style="none"/>
      <right style="none"/>
      <top style="none"/>
      <bottom style="thin">
        <color theme="0"/>
      </bottom>
      <diagonal style="none"/>
    </border>
    <border>
      <left style="none"/>
      <right style="thin">
        <color theme="0"/>
      </right>
      <top style="none"/>
      <bottom style="thin">
        <color theme="0"/>
      </bottom>
      <diagonal style="none"/>
    </border>
    <border>
      <left style="medium">
        <color auto="1"/>
      </left>
      <right style="none"/>
      <top style="none"/>
      <bottom style="thin">
        <color theme="0"/>
      </bottom>
      <diagonal style="none"/>
    </border>
    <border>
      <left style="thin">
        <color theme="0"/>
      </left>
      <right style="thin">
        <color theme="0"/>
      </right>
      <top style="none"/>
      <bottom style="thin">
        <color theme="0"/>
      </bottom>
      <diagonal style="none"/>
    </border>
    <border>
      <left style="thin">
        <color theme="0"/>
      </left>
      <right style="none"/>
      <top style="thin">
        <color theme="0"/>
      </top>
      <bottom style="medium">
        <color auto="1"/>
      </bottom>
      <diagonal style="none"/>
    </border>
    <border>
      <left style="none"/>
      <right style="none"/>
      <top style="thin">
        <color theme="0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446">
    <xf fontId="0" fillId="0" borderId="0" numFmtId="0" xfId="0"/>
    <xf fontId="0" fillId="0" borderId="0" numFmtId="0" xfId="1"/>
    <xf fontId="1" fillId="0" borderId="0" numFmtId="0" xfId="1" applyFont="1"/>
    <xf fontId="1" fillId="0" borderId="0" numFmtId="0" xfId="1" applyFont="1" applyAlignment="1">
      <alignment horizontal="center" wrapText="1"/>
    </xf>
    <xf fontId="2" fillId="0" borderId="0" numFmtId="0" xfId="1" applyFont="1"/>
    <xf fontId="3" fillId="2" borderId="1" numFmtId="160" xfId="1" applyNumberFormat="1" applyFont="1" applyFill="1" applyBorder="1" applyAlignment="1" applyProtection="1">
      <alignment horizontal="center" vertical="center"/>
      <protection locked="0"/>
    </xf>
    <xf fontId="4" fillId="0" borderId="0" numFmtId="161" xfId="1" applyNumberFormat="1" applyFont="1"/>
    <xf fontId="2" fillId="0" borderId="0" numFmtId="161" xfId="1" applyNumberFormat="1" applyFont="1"/>
    <xf fontId="2" fillId="0" borderId="0" numFmtId="0" xfId="1" applyFont="1" applyAlignment="1">
      <alignment wrapText="1"/>
    </xf>
    <xf fontId="5" fillId="3" borderId="2" numFmtId="0" xfId="1" applyFont="1" applyFill="1" applyBorder="1" applyAlignment="1" applyProtection="1">
      <alignment horizontal="center" vertical="center" wrapText="1"/>
      <protection locked="0"/>
    </xf>
    <xf fontId="5" fillId="3" borderId="3" numFmtId="0" xfId="1" applyFont="1" applyFill="1" applyBorder="1" applyAlignment="1" applyProtection="1">
      <alignment horizontal="center" vertical="center" wrapText="1"/>
      <protection locked="0"/>
    </xf>
    <xf fontId="5" fillId="3" borderId="4" numFmtId="0" xfId="1" applyFont="1" applyFill="1" applyBorder="1" applyAlignment="1" applyProtection="1">
      <alignment horizontal="center" vertical="center" wrapText="1"/>
      <protection locked="0"/>
    </xf>
    <xf fontId="5" fillId="3" borderId="4" numFmtId="162" xfId="1" applyNumberFormat="1" applyFont="1" applyFill="1" applyBorder="1" applyAlignment="1" applyProtection="1">
      <alignment horizontal="center" vertical="center"/>
      <protection locked="0"/>
    </xf>
    <xf fontId="2" fillId="0" borderId="0" numFmtId="0" xfId="1" applyFont="1" applyAlignment="1">
      <alignment horizontal="center" vertical="center" wrapText="1"/>
    </xf>
    <xf fontId="6" fillId="0" borderId="5" numFmtId="0" xfId="1" applyFont="1" applyBorder="1" applyAlignment="1" applyProtection="1">
      <alignment horizontal="right" vertical="center" wrapText="1"/>
      <protection locked="0"/>
    </xf>
    <xf fontId="6" fillId="0" borderId="6" numFmtId="0" xfId="1" applyFont="1" applyBorder="1" applyAlignment="1" applyProtection="1">
      <alignment horizontal="right" vertical="center" wrapText="1"/>
      <protection locked="0"/>
    </xf>
    <xf fontId="6" fillId="0" borderId="7" numFmtId="0" xfId="1" applyFont="1" applyBorder="1" applyAlignment="1" applyProtection="1">
      <alignment horizontal="right" vertical="center" wrapText="1"/>
      <protection locked="0"/>
    </xf>
    <xf fontId="7" fillId="0" borderId="8" numFmtId="162" xfId="1" applyNumberFormat="1" applyFont="1" applyBorder="1" applyAlignment="1" applyProtection="1">
      <alignment horizontal="right" vertical="center" wrapText="1"/>
      <protection locked="0"/>
    </xf>
    <xf fontId="6" fillId="0" borderId="9" numFmtId="0" xfId="1" applyFont="1" applyBorder="1" applyAlignment="1" applyProtection="1">
      <alignment horizontal="right" vertical="center" wrapText="1"/>
      <protection locked="0"/>
    </xf>
    <xf fontId="6" fillId="0" borderId="10" numFmtId="0" xfId="1" applyFont="1" applyBorder="1" applyAlignment="1" applyProtection="1">
      <alignment horizontal="right" vertical="center" wrapText="1"/>
      <protection locked="0"/>
    </xf>
    <xf fontId="6" fillId="0" borderId="11" numFmtId="0" xfId="1" applyFont="1" applyBorder="1" applyAlignment="1" applyProtection="1">
      <alignment horizontal="right" vertical="center" wrapText="1"/>
      <protection locked="0"/>
    </xf>
    <xf fontId="7" fillId="0" borderId="12" numFmtId="162" xfId="1" applyNumberFormat="1" applyFont="1" applyBorder="1" applyAlignment="1" applyProtection="1">
      <alignment horizontal="right" vertical="center" wrapText="1"/>
      <protection locked="0"/>
    </xf>
    <xf fontId="7" fillId="0" borderId="0" numFmtId="0" xfId="1" applyFont="1" applyAlignment="1">
      <alignment horizontal="center" vertical="center" wrapText="1"/>
    </xf>
    <xf fontId="7" fillId="0" borderId="9" numFmtId="0" xfId="1" applyFont="1" applyBorder="1" applyAlignment="1" applyProtection="1">
      <alignment horizontal="right" vertical="center" wrapText="1"/>
      <protection locked="0"/>
    </xf>
    <xf fontId="8" fillId="0" borderId="13" numFmtId="0" xfId="0" applyFont="1" applyBorder="1" applyAlignment="1">
      <alignment horizontal="right" vertical="center" wrapText="1"/>
    </xf>
    <xf fontId="8" fillId="0" borderId="3" numFmtId="0" xfId="0" applyFont="1" applyBorder="1" applyAlignment="1">
      <alignment horizontal="right" vertical="center" wrapText="1"/>
    </xf>
    <xf fontId="8" fillId="0" borderId="4" numFmtId="0" xfId="0" applyFont="1" applyBorder="1" applyAlignment="1">
      <alignment horizontal="right" vertical="center" wrapText="1"/>
    </xf>
    <xf fontId="7" fillId="0" borderId="14" numFmtId="0" xfId="1" applyFont="1" applyBorder="1" applyAlignment="1" applyProtection="1">
      <alignment horizontal="right" vertical="center" wrapText="1"/>
      <protection locked="0"/>
    </xf>
    <xf fontId="6" fillId="0" borderId="15" numFmtId="0" xfId="1" applyFont="1" applyBorder="1" applyAlignment="1" applyProtection="1">
      <alignment horizontal="right" vertical="center" wrapText="1"/>
      <protection locked="0"/>
    </xf>
    <xf fontId="6" fillId="0" borderId="16" numFmtId="0" xfId="1" applyFont="1" applyBorder="1" applyAlignment="1" applyProtection="1">
      <alignment horizontal="right" vertical="center" wrapText="1"/>
      <protection locked="0"/>
    </xf>
    <xf fontId="7" fillId="0" borderId="17" numFmtId="162" xfId="1" applyNumberFormat="1" applyFont="1" applyBorder="1" applyAlignment="1" applyProtection="1">
      <alignment horizontal="right" vertical="center" wrapText="1"/>
      <protection locked="0"/>
    </xf>
    <xf fontId="9" fillId="0" borderId="18" numFmtId="0" xfId="1" applyFont="1" applyBorder="1" applyAlignment="1">
      <alignment horizontal="center" vertical="center" wrapText="1"/>
    </xf>
    <xf fontId="9" fillId="0" borderId="18" numFmtId="161" xfId="1" applyNumberFormat="1" applyFont="1" applyBorder="1" applyAlignment="1">
      <alignment horizontal="center" vertical="center" wrapText="1"/>
    </xf>
    <xf fontId="9" fillId="4" borderId="18" numFmtId="0" xfId="1" applyFont="1" applyFill="1" applyBorder="1" applyAlignment="1">
      <alignment horizontal="center" vertical="center" wrapText="1"/>
    </xf>
    <xf fontId="0" fillId="0" borderId="0" numFmtId="0" xfId="1" applyAlignment="1">
      <alignment vertical="center"/>
    </xf>
    <xf fontId="10" fillId="5" borderId="2" numFmtId="0" xfId="1" applyFont="1" applyFill="1" applyBorder="1" applyAlignment="1">
      <alignment vertical="center"/>
    </xf>
    <xf fontId="11" fillId="5" borderId="3" numFmtId="0" xfId="1" applyFont="1" applyFill="1" applyBorder="1" applyAlignment="1">
      <alignment vertical="center"/>
    </xf>
    <xf fontId="10" fillId="5" borderId="3" numFmtId="0" xfId="1" applyFont="1" applyFill="1" applyBorder="1" applyAlignment="1">
      <alignment vertical="center"/>
    </xf>
    <xf fontId="10" fillId="5" borderId="4" numFmtId="0" xfId="1" applyFont="1" applyFill="1" applyBorder="1" applyAlignment="1">
      <alignment vertical="center"/>
    </xf>
    <xf fontId="1" fillId="0" borderId="19" numFmtId="0" xfId="1" applyFont="1" applyBorder="1" applyProtection="1">
      <protection locked="0"/>
    </xf>
    <xf fontId="1" fillId="0" borderId="20" numFmtId="0" xfId="1" applyFont="1" applyBorder="1" applyProtection="1">
      <protection locked="0"/>
    </xf>
    <xf fontId="1" fillId="0" borderId="20" numFmtId="162" xfId="1" applyNumberFormat="1" applyFont="1" applyBorder="1" applyProtection="1">
      <protection locked="0"/>
    </xf>
    <xf fontId="1" fillId="0" borderId="20" numFmtId="0" xfId="1" applyFont="1" applyBorder="1" applyAlignment="1" applyProtection="1">
      <alignment wrapText="1"/>
      <protection locked="0"/>
    </xf>
    <xf fontId="0" fillId="0" borderId="20" numFmtId="0" xfId="1" applyBorder="1"/>
    <xf fontId="0" fillId="0" borderId="21" numFmtId="0" xfId="1" applyBorder="1"/>
    <xf fontId="1" fillId="0" borderId="22" numFmtId="0" xfId="1" applyFont="1" applyBorder="1" applyProtection="1">
      <protection locked="0"/>
    </xf>
    <xf fontId="1" fillId="0" borderId="23" numFmtId="0" xfId="1" applyFont="1" applyBorder="1" applyProtection="1">
      <protection locked="0"/>
    </xf>
    <xf fontId="1" fillId="0" borderId="23" numFmtId="162" xfId="1" applyNumberFormat="1" applyFont="1" applyBorder="1" applyProtection="1">
      <protection locked="0"/>
    </xf>
    <xf fontId="1" fillId="0" borderId="23" numFmtId="0" xfId="1" applyFont="1" applyBorder="1" applyAlignment="1" applyProtection="1">
      <alignment wrapText="1"/>
      <protection locked="0"/>
    </xf>
    <xf fontId="0" fillId="0" borderId="23" numFmtId="0" xfId="1" applyBorder="1"/>
    <xf fontId="0" fillId="0" borderId="24" numFmtId="0" xfId="1" applyBorder="1"/>
    <xf fontId="1" fillId="0" borderId="25" numFmtId="0" xfId="1" applyFont="1" applyBorder="1" applyProtection="1">
      <protection locked="0"/>
    </xf>
    <xf fontId="1" fillId="0" borderId="26" numFmtId="0" xfId="1" applyFont="1" applyBorder="1" applyProtection="1">
      <protection locked="0"/>
    </xf>
    <xf fontId="1" fillId="0" borderId="26" numFmtId="162" xfId="1" applyNumberFormat="1" applyFont="1" applyBorder="1" applyProtection="1">
      <protection locked="0"/>
    </xf>
    <xf fontId="1" fillId="0" borderId="26" numFmtId="0" xfId="1" applyFont="1" applyBorder="1" applyAlignment="1" applyProtection="1">
      <alignment wrapText="1"/>
      <protection locked="0"/>
    </xf>
    <xf fontId="0" fillId="0" borderId="26" numFmtId="0" xfId="1" applyBorder="1"/>
    <xf fontId="0" fillId="0" borderId="27" numFmtId="0" xfId="1" applyBorder="1"/>
    <xf fontId="1" fillId="0" borderId="28" numFmtId="0" xfId="1" applyFont="1" applyBorder="1" applyProtection="1">
      <protection locked="0"/>
    </xf>
    <xf fontId="1" fillId="0" borderId="28" numFmtId="162" xfId="1" applyNumberFormat="1" applyFont="1" applyBorder="1" applyProtection="1">
      <protection locked="0"/>
    </xf>
    <xf fontId="1" fillId="0" borderId="28" numFmtId="0" xfId="1" applyFont="1" applyBorder="1" applyAlignment="1" applyProtection="1">
      <alignment wrapText="1"/>
      <protection locked="0"/>
    </xf>
    <xf fontId="0" fillId="0" borderId="28" numFmtId="0" xfId="1" applyBorder="1"/>
    <xf fontId="0" fillId="0" borderId="29" numFmtId="0" xfId="1" applyBorder="1"/>
    <xf fontId="1" fillId="0" borderId="30" numFmtId="0" xfId="1" applyFont="1" applyBorder="1" applyProtection="1">
      <protection locked="0"/>
    </xf>
    <xf fontId="2" fillId="3" borderId="2" numFmtId="0" xfId="1" applyFont="1" applyFill="1" applyBorder="1" applyAlignment="1">
      <alignment horizontal="left"/>
    </xf>
    <xf fontId="2" fillId="3" borderId="3" numFmtId="0" xfId="1" applyFont="1" applyFill="1" applyBorder="1" applyAlignment="1">
      <alignment horizontal="left"/>
    </xf>
    <xf fontId="2" fillId="3" borderId="1" numFmtId="162" xfId="1" applyNumberFormat="1" applyFont="1" applyFill="1" applyBorder="1"/>
    <xf fontId="12" fillId="0" borderId="0" numFmtId="0" xfId="1" applyFont="1"/>
    <xf fontId="5" fillId="3" borderId="1" numFmtId="162" xfId="1" applyNumberFormat="1" applyFont="1" applyFill="1" applyBorder="1" applyAlignment="1" applyProtection="1">
      <alignment horizontal="center" vertical="center"/>
      <protection locked="0"/>
    </xf>
    <xf fontId="2" fillId="6" borderId="0" numFmtId="0" xfId="1" applyFont="1" applyFill="1" applyAlignment="1">
      <alignment horizontal="center" vertical="center" wrapText="1"/>
    </xf>
    <xf fontId="6" fillId="0" borderId="2" numFmtId="0" xfId="1" applyFont="1" applyBorder="1" applyAlignment="1" applyProtection="1">
      <alignment horizontal="right" vertical="center" wrapText="1"/>
      <protection locked="0"/>
    </xf>
    <xf fontId="6" fillId="0" borderId="3" numFmtId="0" xfId="1" applyFont="1" applyBorder="1" applyAlignment="1" applyProtection="1">
      <alignment horizontal="right" vertical="center" wrapText="1"/>
      <protection locked="0"/>
    </xf>
    <xf fontId="6" fillId="0" borderId="4" numFmtId="0" xfId="1" applyFont="1" applyBorder="1" applyAlignment="1" applyProtection="1">
      <alignment horizontal="right" vertical="center" wrapText="1"/>
      <protection locked="0"/>
    </xf>
    <xf fontId="7" fillId="0" borderId="1" numFmtId="162" xfId="1" applyNumberFormat="1" applyFont="1" applyBorder="1" applyAlignment="1" applyProtection="1">
      <alignment horizontal="right" vertical="center" wrapText="1"/>
      <protection locked="0"/>
    </xf>
    <xf fontId="2" fillId="3" borderId="4" numFmtId="0" xfId="1" applyFont="1" applyFill="1" applyBorder="1" applyAlignment="1">
      <alignment horizontal="left"/>
    </xf>
    <xf fontId="5" fillId="7" borderId="2" numFmtId="0" xfId="1" applyFont="1" applyFill="1" applyBorder="1" applyAlignment="1" applyProtection="1">
      <alignment horizontal="center" vertical="center" wrapText="1"/>
      <protection locked="0"/>
    </xf>
    <xf fontId="5" fillId="7" borderId="3" numFmtId="0" xfId="1" applyFont="1" applyFill="1" applyBorder="1" applyAlignment="1" applyProtection="1">
      <alignment horizontal="center" vertical="center" wrapText="1"/>
      <protection locked="0"/>
    </xf>
    <xf fontId="5" fillId="7" borderId="4" numFmtId="0" xfId="1" applyFont="1" applyFill="1" applyBorder="1" applyAlignment="1" applyProtection="1">
      <alignment horizontal="center" vertical="center" wrapText="1"/>
      <protection locked="0"/>
    </xf>
    <xf fontId="5" fillId="7" borderId="1" numFmtId="162" xfId="1" applyNumberFormat="1" applyFont="1" applyFill="1" applyBorder="1" applyAlignment="1" applyProtection="1">
      <alignment horizontal="center" vertical="center"/>
      <protection locked="0"/>
    </xf>
    <xf fontId="2" fillId="8" borderId="2" numFmtId="0" xfId="1" applyFont="1" applyFill="1" applyBorder="1" applyAlignment="1">
      <alignment vertical="center"/>
    </xf>
    <xf fontId="2" fillId="8" borderId="3" numFmtId="0" xfId="1" applyFont="1" applyFill="1" applyBorder="1" applyAlignment="1">
      <alignment vertical="center"/>
    </xf>
    <xf fontId="2" fillId="8" borderId="3" numFmtId="0" xfId="1" applyFont="1" applyFill="1" applyBorder="1" applyAlignment="1">
      <alignment horizontal="center" vertical="center"/>
    </xf>
    <xf fontId="2" fillId="8" borderId="3" numFmtId="0" xfId="1" applyFont="1" applyFill="1" applyBorder="1" applyAlignment="1">
      <alignment horizontal="left" vertical="center"/>
    </xf>
    <xf fontId="2" fillId="8" borderId="3" numFmtId="162" xfId="1" applyNumberFormat="1" applyFont="1" applyFill="1" applyBorder="1" applyAlignment="1">
      <alignment vertical="center"/>
    </xf>
    <xf fontId="2" fillId="8" borderId="4" numFmtId="0" xfId="1" applyFont="1" applyFill="1" applyBorder="1" applyAlignment="1">
      <alignment vertical="center"/>
    </xf>
    <xf fontId="2" fillId="7" borderId="2" numFmtId="0" xfId="1" applyFont="1" applyFill="1" applyBorder="1" applyAlignment="1">
      <alignment horizontal="left"/>
    </xf>
    <xf fontId="2" fillId="7" borderId="3" numFmtId="0" xfId="1" applyFont="1" applyFill="1" applyBorder="1" applyAlignment="1">
      <alignment horizontal="left"/>
    </xf>
    <xf fontId="2" fillId="7" borderId="4" numFmtId="0" xfId="1" applyFont="1" applyFill="1" applyBorder="1" applyAlignment="1">
      <alignment horizontal="left"/>
    </xf>
    <xf fontId="2" fillId="7" borderId="1" numFmtId="162" xfId="1" applyNumberFormat="1" applyFont="1" applyFill="1" applyBorder="1"/>
    <xf fontId="2" fillId="9" borderId="0" numFmtId="0" xfId="1" applyFont="1" applyFill="1" applyAlignment="1">
      <alignment horizontal="center" vertical="center" wrapText="1"/>
    </xf>
    <xf fontId="2" fillId="10" borderId="0" numFmtId="162" xfId="1" applyNumberFormat="1" applyFont="1" applyFill="1" applyAlignment="1">
      <alignment horizontal="center" vertical="center" wrapText="1"/>
    </xf>
    <xf fontId="11" fillId="5" borderId="31" numFmtId="0" xfId="1" applyFont="1" applyFill="1" applyBorder="1" applyAlignment="1">
      <alignment vertical="center"/>
    </xf>
    <xf fontId="10" fillId="5" borderId="31" numFmtId="0" xfId="1" applyFont="1" applyFill="1" applyBorder="1" applyAlignment="1">
      <alignment vertical="center"/>
    </xf>
    <xf fontId="1" fillId="0" borderId="32" numFmtId="0" xfId="1" applyFont="1" applyBorder="1" applyProtection="1">
      <protection locked="0"/>
    </xf>
    <xf fontId="1" fillId="0" borderId="33" numFmtId="0" xfId="1" applyFont="1" applyBorder="1" applyAlignment="1" applyProtection="1">
      <alignment wrapText="1"/>
      <protection locked="0"/>
    </xf>
    <xf fontId="1" fillId="11" borderId="23" numFmtId="0" xfId="1" applyFont="1" applyFill="1" applyBorder="1" applyProtection="1">
      <protection locked="0"/>
    </xf>
    <xf fontId="1" fillId="12" borderId="20" numFmtId="162" xfId="1" applyNumberFormat="1" applyFont="1" applyFill="1" applyBorder="1" applyProtection="1">
      <protection locked="0"/>
    </xf>
    <xf fontId="1" fillId="0" borderId="9" numFmtId="0" xfId="1" applyFont="1" applyBorder="1" applyProtection="1">
      <protection locked="0"/>
    </xf>
    <xf fontId="13" fillId="11" borderId="34" numFmtId="0" xfId="1" applyFont="1" applyFill="1" applyBorder="1" applyAlignment="1" applyProtection="1">
      <alignment horizontal="left" vertical="center" wrapText="1"/>
      <protection locked="0"/>
    </xf>
    <xf fontId="1" fillId="12" borderId="23" numFmtId="162" xfId="1" applyNumberFormat="1" applyFont="1" applyFill="1" applyBorder="1" applyProtection="1">
      <protection locked="0"/>
    </xf>
    <xf fontId="14" fillId="11" borderId="23" numFmtId="0" xfId="1" applyFont="1" applyFill="1" applyBorder="1" applyAlignment="1" applyProtection="1">
      <alignment horizontal="left" wrapText="1"/>
      <protection locked="0"/>
    </xf>
    <xf fontId="14" fillId="12" borderId="23" numFmtId="4" xfId="1" applyNumberFormat="1" applyFont="1" applyFill="1" applyBorder="1" applyAlignment="1" applyProtection="1">
      <alignment horizontal="right" wrapText="1"/>
      <protection locked="0"/>
    </xf>
    <xf fontId="1" fillId="11" borderId="23" numFmtId="162" xfId="1" applyNumberFormat="1" applyFont="1" applyFill="1" applyBorder="1" applyProtection="1">
      <protection locked="0"/>
    </xf>
    <xf fontId="14" fillId="0" borderId="23" numFmtId="0" xfId="1" applyFont="1" applyBorder="1" applyAlignment="1" applyProtection="1">
      <alignment wrapText="1"/>
      <protection locked="0"/>
    </xf>
    <xf fontId="14" fillId="0" borderId="23" numFmtId="0" xfId="1" applyFont="1" applyBorder="1" applyProtection="1">
      <protection locked="0"/>
    </xf>
    <xf fontId="15" fillId="9" borderId="23" numFmtId="4" xfId="1" applyNumberFormat="1" applyFont="1" applyFill="1" applyBorder="1" applyProtection="1">
      <protection locked="0"/>
    </xf>
    <xf fontId="16" fillId="0" borderId="23" numFmtId="0" xfId="1" applyFont="1" applyBorder="1" applyAlignment="1" applyProtection="1">
      <alignment horizontal="left"/>
      <protection locked="0"/>
    </xf>
    <xf fontId="1" fillId="0" borderId="35" numFmtId="0" xfId="1" applyFont="1" applyBorder="1" applyProtection="1">
      <protection locked="0"/>
    </xf>
    <xf fontId="1" fillId="12" borderId="26" numFmtId="162" xfId="1" applyNumberFormat="1" applyFont="1" applyFill="1" applyBorder="1" applyProtection="1">
      <protection locked="0"/>
    </xf>
    <xf fontId="2" fillId="0" borderId="23" numFmtId="0" xfId="1" applyFont="1" applyBorder="1" applyProtection="1">
      <protection locked="0"/>
    </xf>
    <xf fontId="1" fillId="12" borderId="23" numFmtId="3" xfId="1" applyNumberFormat="1" applyFont="1" applyFill="1" applyBorder="1" applyProtection="1">
      <protection locked="0"/>
    </xf>
    <xf fontId="16" fillId="0" borderId="36" numFmtId="0" xfId="1" applyFont="1" applyBorder="1" applyAlignment="1" applyProtection="1">
      <alignment horizontal="left" vertical="center" wrapText="1"/>
      <protection locked="0"/>
    </xf>
    <xf fontId="16" fillId="0" borderId="37" numFmtId="0" xfId="1" applyFont="1" applyBorder="1" applyAlignment="1" applyProtection="1">
      <alignment horizontal="left" vertical="center" wrapText="1"/>
      <protection locked="0"/>
    </xf>
    <xf fontId="16" fillId="12" borderId="37" numFmtId="4" xfId="1" applyNumberFormat="1" applyFont="1" applyFill="1" applyBorder="1" applyAlignment="1" applyProtection="1">
      <alignment horizontal="right" vertical="center" wrapText="1"/>
      <protection locked="0"/>
    </xf>
    <xf fontId="16" fillId="0" borderId="38" numFmtId="0" xfId="1" applyFont="1" applyBorder="1" applyAlignment="1" applyProtection="1">
      <alignment horizontal="left" vertical="center" wrapText="1"/>
      <protection locked="0"/>
    </xf>
    <xf fontId="14" fillId="0" borderId="26" numFmtId="0" xfId="1" applyFont="1" applyBorder="1">
      <protection locked="0"/>
    </xf>
    <xf fontId="1" fillId="0" borderId="39" numFmtId="0" xfId="1" applyFont="1" applyBorder="1" applyProtection="1">
      <protection locked="0"/>
    </xf>
    <xf fontId="1" fillId="0" borderId="23" numFmtId="0" xfId="1" applyFont="1" applyBorder="1">
      <protection locked="0"/>
    </xf>
    <xf fontId="0" fillId="0" borderId="0" numFmtId="0" xfId="1" applyAlignment="1">
      <alignment vertical="center" wrapText="1"/>
    </xf>
    <xf fontId="1" fillId="0" borderId="19" numFmtId="0" xfId="1" applyFont="1" applyBorder="1" applyAlignment="1" applyProtection="1">
      <alignment vertical="center" wrapText="1"/>
      <protection locked="0"/>
    </xf>
    <xf fontId="1" fillId="0" borderId="23" numFmtId="0" xfId="1" applyFont="1" applyBorder="1" applyAlignment="1" applyProtection="1">
      <alignment vertical="center" wrapText="1"/>
      <protection locked="0"/>
    </xf>
    <xf fontId="1" fillId="12" borderId="23" numFmtId="162" xfId="1" applyNumberFormat="1" applyFont="1" applyFill="1" applyBorder="1" applyAlignment="1" applyProtection="1">
      <alignment vertical="center" wrapText="1"/>
      <protection locked="0"/>
    </xf>
    <xf fontId="0" fillId="0" borderId="23" numFmtId="0" xfId="1" applyBorder="1" applyAlignment="1">
      <alignment vertical="center" wrapText="1"/>
    </xf>
    <xf fontId="0" fillId="0" borderId="24" numFmtId="0" xfId="1" applyBorder="1" applyAlignment="1">
      <alignment vertical="center" wrapText="1"/>
    </xf>
    <xf fontId="2" fillId="8" borderId="31" numFmtId="0" xfId="1" applyFont="1" applyFill="1" applyBorder="1" applyAlignment="1">
      <alignment vertical="center"/>
    </xf>
    <xf fontId="2" fillId="8" borderId="31" numFmtId="0" xfId="1" applyFont="1" applyFill="1" applyBorder="1" applyAlignment="1">
      <alignment horizontal="center" vertical="center"/>
    </xf>
    <xf fontId="2" fillId="8" borderId="31" numFmtId="0" xfId="1" applyFont="1" applyFill="1" applyBorder="1" applyAlignment="1">
      <alignment horizontal="left" vertical="center"/>
    </xf>
    <xf fontId="2" fillId="8" borderId="31" numFmtId="162" xfId="1" applyNumberFormat="1" applyFont="1" applyFill="1" applyBorder="1" applyAlignment="1">
      <alignment vertical="center"/>
    </xf>
    <xf fontId="1" fillId="0" borderId="5" numFmtId="0" xfId="1" applyFont="1" applyBorder="1" applyProtection="1">
      <protection locked="0"/>
    </xf>
    <xf fontId="16" fillId="9" borderId="36" numFmtId="0" xfId="1" applyFont="1" applyFill="1" applyBorder="1" applyAlignment="1" applyProtection="1">
      <alignment horizontal="left" vertical="center" wrapText="1"/>
      <protection locked="0"/>
    </xf>
    <xf fontId="16" fillId="9" borderId="37" numFmtId="0" xfId="1" applyFont="1" applyFill="1" applyBorder="1" applyAlignment="1" applyProtection="1">
      <alignment horizontal="left" vertical="center" wrapText="1"/>
      <protection locked="0"/>
    </xf>
    <xf fontId="16" fillId="9" borderId="37" numFmtId="4" xfId="1" applyNumberFormat="1" applyFont="1" applyFill="1" applyBorder="1" applyAlignment="1" applyProtection="1">
      <alignment horizontal="right" vertical="center" wrapText="1"/>
      <protection locked="0"/>
    </xf>
    <xf fontId="1" fillId="9" borderId="40" numFmtId="0" xfId="1" applyFont="1" applyFill="1" applyBorder="1" applyAlignment="1" applyProtection="1">
      <alignment wrapText="1"/>
      <protection locked="0"/>
    </xf>
    <xf fontId="1" fillId="9" borderId="26" numFmtId="0" xfId="1" applyFont="1" applyFill="1" applyBorder="1" applyProtection="1">
      <protection locked="0"/>
    </xf>
    <xf fontId="1" fillId="9" borderId="26" numFmtId="0" xfId="1" applyFont="1" applyFill="1" applyBorder="1">
      <protection locked="0"/>
    </xf>
    <xf fontId="0" fillId="9" borderId="27" numFmtId="0" xfId="1" applyFill="1" applyBorder="1"/>
    <xf fontId="5" fillId="3" borderId="3" numFmtId="162" xfId="1" applyNumberFormat="1" applyFont="1" applyFill="1" applyBorder="1" applyAlignment="1" applyProtection="1">
      <alignment horizontal="center" vertical="center"/>
      <protection locked="0"/>
    </xf>
    <xf fontId="2" fillId="9" borderId="41" numFmtId="0" xfId="1" applyFont="1" applyFill="1" applyBorder="1" applyAlignment="1">
      <alignment horizontal="center" vertical="center" wrapText="1"/>
    </xf>
    <xf fontId="1" fillId="0" borderId="0" numFmtId="0" xfId="1" applyFont="1" applyAlignment="1">
      <alignment wrapText="1"/>
      <protection locked="0"/>
    </xf>
    <xf fontId="1" fillId="0" borderId="0" numFmtId="162" xfId="1" applyNumberFormat="1" applyFont="1" applyAlignment="1">
      <alignment wrapText="1"/>
      <protection locked="0"/>
    </xf>
    <xf fontId="1" fillId="0" borderId="42" numFmtId="0" xfId="1" applyFont="1" applyBorder="1" applyAlignment="1" applyProtection="1">
      <alignment wrapText="1"/>
      <protection locked="0"/>
    </xf>
    <xf fontId="0" fillId="0" borderId="36" numFmtId="0" xfId="1" applyBorder="1"/>
    <xf fontId="1" fillId="0" borderId="39" numFmtId="0" xfId="1" applyFont="1" applyBorder="1" applyAlignment="1" applyProtection="1">
      <alignment wrapText="1"/>
      <protection locked="0"/>
    </xf>
    <xf fontId="16" fillId="0" borderId="23" numFmtId="0" xfId="1" applyFont="1" applyBorder="1" applyAlignment="1" applyProtection="1">
      <alignment horizontal="left" vertical="center" wrapText="1"/>
      <protection locked="0"/>
    </xf>
    <xf fontId="7" fillId="0" borderId="43" numFmtId="0" xfId="1" applyFont="1" applyBorder="1" applyAlignment="1" applyProtection="1">
      <alignment horizontal="right" vertical="center" wrapText="1"/>
      <protection locked="0"/>
    </xf>
    <xf fontId="6" fillId="0" borderId="44" numFmtId="0" xfId="1" applyFont="1" applyBorder="1" applyAlignment="1" applyProtection="1">
      <alignment horizontal="right" vertical="center" wrapText="1"/>
      <protection locked="0"/>
    </xf>
    <xf fontId="6" fillId="0" borderId="45" numFmtId="0" xfId="1" applyFont="1" applyBorder="1" applyAlignment="1" applyProtection="1">
      <alignment horizontal="right" vertical="center" wrapText="1"/>
      <protection locked="0"/>
    </xf>
    <xf fontId="8" fillId="0" borderId="46" numFmtId="0" xfId="0" applyFont="1" applyBorder="1" applyAlignment="1">
      <alignment horizontal="right" vertical="center" wrapText="1"/>
    </xf>
    <xf fontId="8" fillId="0" borderId="47" numFmtId="0" xfId="0" applyFont="1" applyBorder="1" applyAlignment="1">
      <alignment horizontal="right" vertical="center" wrapText="1"/>
    </xf>
    <xf fontId="8" fillId="0" borderId="48" numFmtId="0" xfId="0" applyFont="1" applyBorder="1" applyAlignment="1">
      <alignment horizontal="right" vertical="center" wrapText="1"/>
    </xf>
    <xf fontId="7" fillId="0" borderId="11" numFmtId="162" xfId="1" applyNumberFormat="1" applyFont="1" applyBorder="1" applyAlignment="1" applyProtection="1">
      <alignment horizontal="right" vertical="center" wrapText="1"/>
      <protection locked="0"/>
    </xf>
    <xf fontId="7" fillId="0" borderId="32" numFmtId="0" xfId="1" applyFont="1" applyBorder="1" applyAlignment="1" applyProtection="1">
      <alignment horizontal="right" vertical="center" wrapText="1"/>
      <protection locked="0"/>
    </xf>
    <xf fontId="6" fillId="0" borderId="49" numFmtId="0" xfId="1" applyFont="1" applyBorder="1" applyAlignment="1" applyProtection="1">
      <alignment horizontal="right" vertical="center" wrapText="1"/>
      <protection locked="0"/>
    </xf>
    <xf fontId="6" fillId="0" borderId="50" numFmtId="0" xfId="1" applyFont="1" applyBorder="1" applyAlignment="1" applyProtection="1">
      <alignment horizontal="right" vertical="center" wrapText="1"/>
      <protection locked="0"/>
    </xf>
    <xf fontId="1" fillId="11" borderId="20" numFmtId="0" xfId="1" applyFont="1" applyFill="1" applyBorder="1" applyProtection="1">
      <protection locked="0"/>
    </xf>
    <xf fontId="1" fillId="11" borderId="20" numFmtId="0" xfId="1" applyFont="1" applyFill="1" applyBorder="1" applyAlignment="1" applyProtection="1">
      <alignment wrapText="1"/>
      <protection locked="0"/>
    </xf>
    <xf fontId="1" fillId="0" borderId="23" numFmtId="162" xfId="1" applyNumberFormat="1" applyFont="1" applyBorder="1" applyAlignment="1" applyProtection="1">
      <alignment wrapText="1"/>
      <protection locked="0"/>
    </xf>
    <xf fontId="1" fillId="11" borderId="23" numFmtId="0" xfId="1" applyFont="1" applyFill="1" applyBorder="1" applyAlignment="1" applyProtection="1">
      <alignment wrapText="1"/>
      <protection locked="0"/>
    </xf>
    <xf fontId="1" fillId="0" borderId="35" numFmtId="162" xfId="1" applyNumberFormat="1" applyFont="1" applyBorder="1" applyProtection="1">
      <protection locked="0"/>
    </xf>
    <xf fontId="14" fillId="11" borderId="41" numFmtId="0" xfId="1" applyFont="1" applyFill="1" applyBorder="1" applyAlignment="1" applyProtection="1">
      <alignment horizontal="left" wrapText="1"/>
      <protection locked="0"/>
    </xf>
    <xf fontId="1" fillId="12" borderId="37" numFmtId="162" xfId="1" applyNumberFormat="1" applyFont="1" applyFill="1" applyBorder="1" applyProtection="1">
      <protection locked="0"/>
    </xf>
    <xf fontId="1" fillId="0" borderId="41" numFmtId="0" xfId="1" applyFont="1" applyBorder="1" applyProtection="1">
      <protection locked="0"/>
    </xf>
    <xf fontId="1" fillId="12" borderId="51" numFmtId="162" xfId="1" applyNumberFormat="1" applyFont="1" applyFill="1" applyBorder="1" applyProtection="1">
      <protection locked="0"/>
    </xf>
    <xf fontId="0" fillId="0" borderId="39" numFmtId="0" xfId="1" applyBorder="1" applyAlignment="1" applyProtection="1">
      <alignment wrapText="1"/>
    </xf>
    <xf fontId="1" fillId="11" borderId="52" numFmtId="162" xfId="1" applyNumberFormat="1" applyFont="1" applyFill="1" applyBorder="1" applyProtection="1">
      <protection locked="0"/>
    </xf>
    <xf fontId="0" fillId="0" borderId="23" numFmtId="0" xfId="1" applyBorder="1" applyProtection="1"/>
    <xf fontId="10" fillId="5" borderId="53" numFmtId="0" xfId="1" applyFont="1" applyFill="1" applyBorder="1" applyAlignment="1">
      <alignment vertical="center"/>
    </xf>
    <xf fontId="1" fillId="13" borderId="23" numFmtId="162" xfId="1" applyNumberFormat="1" applyFont="1" applyFill="1" applyBorder="1" applyProtection="1">
      <protection locked="0"/>
    </xf>
    <xf fontId="1" fillId="12" borderId="26" numFmtId="3" xfId="1" applyNumberFormat="1" applyFont="1" applyFill="1" applyBorder="1" applyProtection="1">
      <protection locked="0"/>
    </xf>
    <xf fontId="1" fillId="0" borderId="54" numFmtId="0" xfId="1" applyFont="1" applyBorder="1" applyProtection="1">
      <protection locked="0"/>
    </xf>
    <xf fontId="1" fillId="12" borderId="54" numFmtId="162" xfId="1" applyNumberFormat="1" applyFont="1" applyFill="1" applyBorder="1" applyProtection="1">
      <protection locked="0"/>
    </xf>
    <xf fontId="5" fillId="3" borderId="2" numFmtId="162" xfId="1" applyNumberFormat="1" applyFont="1" applyFill="1" applyBorder="1" applyAlignment="1" applyProtection="1">
      <alignment horizontal="center" vertical="center"/>
      <protection locked="0"/>
    </xf>
    <xf fontId="1" fillId="0" borderId="55" numFmtId="0" xfId="1" applyFont="1" applyBorder="1" applyProtection="1">
      <protection locked="0"/>
    </xf>
    <xf fontId="1" fillId="12" borderId="23" numFmtId="4" xfId="1" applyNumberFormat="1" applyFont="1" applyFill="1" applyBorder="1" applyProtection="1">
      <protection locked="0"/>
    </xf>
    <xf fontId="16" fillId="12" borderId="36" numFmtId="4" xfId="1" applyNumberFormat="1" applyFont="1" applyFill="1" applyBorder="1" applyAlignment="1" applyProtection="1">
      <alignment horizontal="right" vertical="center" wrapText="1"/>
      <protection locked="0"/>
    </xf>
    <xf fontId="16" fillId="0" borderId="46" numFmtId="0" xfId="1" applyFont="1" applyBorder="1" applyAlignment="1" applyProtection="1">
      <alignment horizontal="left" vertical="center" wrapText="1"/>
      <protection locked="0"/>
    </xf>
    <xf fontId="16" fillId="0" borderId="48" numFmtId="0" xfId="1" applyFont="1" applyBorder="1" applyAlignment="1" applyProtection="1">
      <alignment horizontal="left" vertical="center" wrapText="1"/>
      <protection locked="0"/>
    </xf>
    <xf fontId="17" fillId="4" borderId="36" numFmtId="0" xfId="1" applyFont="1" applyFill="1" applyBorder="1" applyAlignment="1" applyProtection="1">
      <alignment horizontal="left" vertical="center" wrapText="1"/>
      <protection locked="0"/>
    </xf>
    <xf fontId="0" fillId="0" borderId="40" numFmtId="0" xfId="1" applyBorder="1"/>
    <xf fontId="18" fillId="0" borderId="56" numFmtId="162" xfId="1" applyNumberFormat="1" applyFont="1" applyBorder="1" applyAlignment="1" applyProtection="1">
      <alignment horizontal="right" vertical="top" wrapText="1"/>
      <protection locked="0"/>
    </xf>
    <xf fontId="19" fillId="0" borderId="23" numFmtId="162" xfId="1" applyNumberFormat="1" applyFont="1" applyBorder="1" applyAlignment="1" applyProtection="1">
      <alignment horizontal="left"/>
      <protection locked="0"/>
    </xf>
    <xf fontId="2" fillId="0" borderId="20" numFmtId="0" xfId="1" applyFont="1" applyBorder="1" applyAlignment="1" applyProtection="1">
      <alignment wrapText="1"/>
      <protection locked="0"/>
    </xf>
    <xf fontId="1" fillId="9" borderId="20" numFmtId="0" xfId="1" applyFont="1" applyFill="1" applyBorder="1" applyProtection="1">
      <protection locked="0"/>
    </xf>
    <xf fontId="1" fillId="9" borderId="23" numFmtId="0" xfId="1" applyFont="1" applyFill="1" applyBorder="1" applyAlignment="1" applyProtection="1">
      <alignment wrapText="1"/>
      <protection locked="0"/>
    </xf>
    <xf fontId="1" fillId="9" borderId="23" numFmtId="0" xfId="1" applyFont="1" applyFill="1" applyBorder="1" applyProtection="1">
      <protection locked="0"/>
    </xf>
    <xf fontId="1" fillId="9" borderId="20" numFmtId="162" xfId="1" applyNumberFormat="1" applyFont="1" applyFill="1" applyBorder="1" applyProtection="1">
      <protection locked="0"/>
    </xf>
    <xf fontId="2" fillId="9" borderId="20" numFmtId="0" xfId="1" applyFont="1" applyFill="1" applyBorder="1" applyAlignment="1" applyProtection="1">
      <alignment wrapText="1"/>
      <protection locked="0"/>
    </xf>
    <xf fontId="14" fillId="11" borderId="57" numFmtId="0" xfId="1" applyFont="1" applyFill="1" applyBorder="1" applyAlignment="1" applyProtection="1">
      <alignment horizontal="left" wrapText="1"/>
      <protection locked="0"/>
    </xf>
    <xf fontId="1" fillId="0" borderId="57" numFmtId="0" xfId="1" applyFont="1" applyBorder="1" applyProtection="1">
      <protection locked="0"/>
    </xf>
    <xf fontId="1" fillId="9" borderId="52" numFmtId="162" xfId="1" applyNumberFormat="1" applyFont="1" applyFill="1" applyBorder="1" applyProtection="1">
      <protection locked="0"/>
    </xf>
    <xf fontId="1" fillId="9" borderId="37" numFmtId="162" xfId="1" applyNumberFormat="1" applyFont="1" applyFill="1" applyBorder="1" applyProtection="1">
      <protection locked="0"/>
    </xf>
    <xf fontId="13" fillId="11" borderId="58" numFmtId="0" xfId="1" applyFont="1" applyFill="1" applyBorder="1" applyAlignment="1" applyProtection="1">
      <alignment horizontal="left" vertical="center" wrapText="1"/>
      <protection locked="0"/>
    </xf>
    <xf fontId="1" fillId="9" borderId="23" numFmtId="3" xfId="1" applyNumberFormat="1" applyFont="1" applyFill="1" applyBorder="1" applyProtection="1">
      <protection locked="0"/>
    </xf>
    <xf fontId="1" fillId="12" borderId="35" numFmtId="162" xfId="1" applyNumberFormat="1" applyFont="1" applyFill="1" applyBorder="1" applyProtection="1">
      <protection locked="0"/>
    </xf>
    <xf fontId="10" fillId="5" borderId="59" numFmtId="0" xfId="1" applyFont="1" applyFill="1" applyBorder="1" applyAlignment="1">
      <alignment vertical="center"/>
    </xf>
    <xf fontId="16" fillId="11" borderId="35" numFmtId="0" xfId="1" applyFont="1" applyFill="1" applyBorder="1" applyAlignment="1" applyProtection="1">
      <alignment horizontal="left" vertical="center" wrapText="1"/>
      <protection locked="0"/>
    </xf>
    <xf fontId="1" fillId="0" borderId="35" numFmtId="0" xfId="1" applyFont="1" applyBorder="1" applyAlignment="1" applyProtection="1">
      <alignment wrapText="1"/>
      <protection locked="0"/>
    </xf>
    <xf fontId="1" fillId="0" borderId="60" numFmtId="0" xfId="1" applyFont="1" applyBorder="1" applyProtection="1">
      <protection locked="0"/>
    </xf>
    <xf fontId="0" fillId="0" borderId="39" numFmtId="0" xfId="1" applyBorder="1"/>
    <xf fontId="1" fillId="0" borderId="61" numFmtId="0" xfId="1" applyFont="1" applyBorder="1" applyProtection="1">
      <protection locked="0"/>
    </xf>
    <xf fontId="1" fillId="0" borderId="62" numFmtId="0" xfId="1" applyFont="1" applyBorder="1" applyProtection="1">
      <protection locked="0"/>
    </xf>
    <xf fontId="1" fillId="0" borderId="63" numFmtId="0" xfId="1" applyFont="1" applyBorder="1" applyProtection="1">
      <protection locked="0"/>
    </xf>
    <xf fontId="1" fillId="12" borderId="40" numFmtId="162" xfId="1" applyNumberFormat="1" applyFont="1" applyFill="1" applyBorder="1" applyProtection="1">
      <protection locked="0"/>
    </xf>
    <xf fontId="1" fillId="12" borderId="36" numFmtId="3" xfId="1" applyNumberFormat="1" applyFont="1" applyFill="1" applyBorder="1" applyProtection="1">
      <protection locked="0"/>
    </xf>
    <xf fontId="1" fillId="12" borderId="36" numFmtId="162" xfId="1" applyNumberFormat="1" applyFont="1" applyFill="1" applyBorder="1" applyProtection="1">
      <protection locked="0"/>
    </xf>
    <xf fontId="1" fillId="11" borderId="51" numFmtId="162" xfId="1" applyNumberFormat="1" applyFont="1" applyFill="1" applyBorder="1" applyProtection="1">
      <protection locked="0"/>
    </xf>
    <xf fontId="1" fillId="11" borderId="23" numFmtId="3" xfId="1" applyNumberFormat="1" applyFont="1" applyFill="1" applyBorder="1" applyProtection="1">
      <protection locked="0"/>
    </xf>
    <xf fontId="1" fillId="12" borderId="64" numFmtId="162" xfId="1" applyNumberFormat="1" applyFont="1" applyFill="1" applyBorder="1" applyProtection="1">
      <protection locked="0"/>
    </xf>
    <xf fontId="1" fillId="9" borderId="23" numFmtId="162" xfId="1" applyNumberFormat="1" applyFont="1" applyFill="1" applyBorder="1" applyProtection="1">
      <protection locked="0"/>
    </xf>
    <xf fontId="1" fillId="0" borderId="26" numFmtId="3" xfId="1" applyNumberFormat="1" applyFont="1" applyBorder="1" applyProtection="1">
      <protection locked="0"/>
    </xf>
    <xf fontId="1" fillId="0" borderId="34" numFmtId="0" xfId="1" applyFont="1" applyBorder="1" applyAlignment="1" applyProtection="1">
      <alignment wrapText="1"/>
      <protection locked="0"/>
    </xf>
    <xf fontId="1" fillId="11" borderId="37" numFmtId="162" xfId="1" applyNumberFormat="1" applyFont="1" applyFill="1" applyBorder="1" applyProtection="1">
      <protection locked="0"/>
    </xf>
    <xf fontId="16" fillId="14" borderId="23" numFmtId="0" xfId="1" applyFont="1" applyFill="1" applyBorder="1" applyAlignment="1" applyProtection="1">
      <alignment horizontal="left" vertical="center" wrapText="1"/>
      <protection locked="0"/>
    </xf>
    <xf fontId="16" fillId="14" borderId="39" numFmtId="0" xfId="1" applyFont="1" applyFill="1" applyBorder="1" applyAlignment="1" applyProtection="1">
      <alignment horizontal="left" vertical="center" wrapText="1"/>
      <protection locked="0"/>
    </xf>
    <xf fontId="20" fillId="12" borderId="39" numFmtId="4" xfId="1" applyNumberFormat="1" applyFont="1" applyFill="1" applyBorder="1" applyAlignment="1" applyProtection="1">
      <alignment horizontal="right"/>
      <protection locked="0"/>
    </xf>
    <xf fontId="20" fillId="14" borderId="0" numFmtId="0" xfId="1" applyFont="1" applyFill="1" applyAlignment="1" applyProtection="1">
      <alignment horizontal="left" wrapText="1"/>
      <protection locked="0"/>
    </xf>
    <xf fontId="16" fillId="14" borderId="20" numFmtId="0" xfId="1" applyFont="1" applyFill="1" applyBorder="1" applyAlignment="1" applyProtection="1">
      <alignment horizontal="left" vertical="center" wrapText="1"/>
      <protection locked="0"/>
    </xf>
    <xf fontId="16" fillId="14" borderId="65" numFmtId="0" xfId="1" applyFont="1" applyFill="1" applyBorder="1" applyAlignment="1" applyProtection="1">
      <alignment horizontal="left" vertical="center" wrapText="1"/>
      <protection locked="0"/>
    </xf>
    <xf fontId="20" fillId="12" borderId="65" numFmtId="4" xfId="1" applyNumberFormat="1" applyFont="1" applyFill="1" applyBorder="1" applyAlignment="1" applyProtection="1">
      <alignment horizontal="right"/>
      <protection locked="0"/>
    </xf>
    <xf fontId="20" fillId="14" borderId="10" numFmtId="0" xfId="1" applyFont="1" applyFill="1" applyBorder="1" applyAlignment="1" applyProtection="1">
      <alignment horizontal="left" wrapText="1"/>
      <protection locked="0"/>
    </xf>
    <xf fontId="1" fillId="0" borderId="66" numFmtId="0" xfId="1" applyFont="1" applyBorder="1" applyProtection="1">
      <protection locked="0"/>
    </xf>
    <xf fontId="20" fillId="12" borderId="65" numFmtId="3" xfId="1" applyNumberFormat="1" applyFont="1" applyFill="1" applyBorder="1" applyAlignment="1" applyProtection="1">
      <alignment horizontal="right"/>
      <protection locked="0"/>
    </xf>
    <xf fontId="20" fillId="14" borderId="49" numFmtId="0" xfId="1" applyFont="1" applyFill="1" applyBorder="1" applyAlignment="1" applyProtection="1">
      <alignment horizontal="left" wrapText="1"/>
      <protection locked="0"/>
    </xf>
    <xf fontId="1" fillId="0" borderId="36" numFmtId="0" xfId="1" applyFont="1" applyBorder="1" applyProtection="1">
      <protection locked="0"/>
    </xf>
    <xf fontId="1" fillId="0" borderId="67" numFmtId="0" xfId="1" applyFont="1" applyBorder="1" applyProtection="1">
      <protection locked="0"/>
    </xf>
    <xf fontId="16" fillId="0" borderId="39" numFmtId="0" xfId="1" applyFont="1" applyBorder="1" applyAlignment="1" applyProtection="1">
      <alignment horizontal="left" vertical="center" wrapText="1"/>
      <protection locked="0"/>
    </xf>
    <xf fontId="16" fillId="0" borderId="20" numFmtId="0" xfId="1" applyFont="1" applyBorder="1" applyAlignment="1" applyProtection="1">
      <alignment horizontal="left" vertical="center" wrapText="1"/>
      <protection locked="0"/>
    </xf>
    <xf fontId="16" fillId="0" borderId="65" numFmtId="0" xfId="1" applyFont="1" applyBorder="1" applyAlignment="1" applyProtection="1">
      <alignment horizontal="left" vertical="center" wrapText="1"/>
      <protection locked="0"/>
    </xf>
    <xf fontId="16" fillId="12" borderId="65" numFmtId="4" xfId="1" applyNumberFormat="1" applyFont="1" applyFill="1" applyBorder="1" applyAlignment="1" applyProtection="1">
      <alignment horizontal="right" vertical="center" wrapText="1"/>
      <protection locked="0"/>
    </xf>
    <xf fontId="16" fillId="0" borderId="49" numFmtId="0" xfId="1" applyFont="1" applyBorder="1" applyAlignment="1" applyProtection="1">
      <alignment horizontal="left" vertical="center" wrapText="1"/>
      <protection locked="0"/>
    </xf>
    <xf fontId="20" fillId="0" borderId="23" numFmtId="0" xfId="1" applyFont="1" applyBorder="1" applyAlignment="1" applyProtection="1">
      <alignment horizontal="left"/>
      <protection locked="0"/>
    </xf>
    <xf fontId="21" fillId="0" borderId="39" numFmtId="0" xfId="1" applyFont="1" applyBorder="1" applyAlignment="1" applyProtection="1">
      <alignment horizontal="left" vertical="center" wrapText="1"/>
      <protection locked="0"/>
    </xf>
    <xf fontId="16" fillId="12" borderId="39" numFmtId="3" xfId="1" applyNumberFormat="1" applyFont="1" applyFill="1" applyBorder="1" applyAlignment="1" applyProtection="1">
      <alignment horizontal="right" vertical="center" wrapText="1"/>
      <protection locked="0"/>
    </xf>
    <xf fontId="21" fillId="0" borderId="10" numFmtId="0" xfId="1" applyFont="1" applyBorder="1" applyAlignment="1" applyProtection="1">
      <alignment horizontal="left" vertical="center" wrapText="1"/>
      <protection locked="0"/>
    </xf>
    <xf fontId="20" fillId="12" borderId="23" numFmtId="4" xfId="1" applyNumberFormat="1" applyFont="1" applyFill="1" applyBorder="1" applyAlignment="1" applyProtection="1">
      <alignment horizontal="right"/>
      <protection locked="0"/>
    </xf>
    <xf fontId="20" fillId="14" borderId="41" numFmtId="0" xfId="1" applyFont="1" applyFill="1" applyBorder="1" applyAlignment="1" applyProtection="1">
      <alignment horizontal="left" wrapText="1"/>
      <protection locked="0"/>
    </xf>
    <xf fontId="1" fillId="0" borderId="68" numFmtId="0" xfId="1" applyFont="1" applyBorder="1" applyProtection="1">
      <protection locked="0"/>
    </xf>
    <xf fontId="1" fillId="13" borderId="60" numFmtId="162" xfId="1" applyNumberFormat="1" applyFont="1" applyFill="1" applyBorder="1" applyProtection="1">
      <protection locked="0"/>
    </xf>
    <xf fontId="1" fillId="0" borderId="60" numFmtId="0" xfId="1" applyFont="1" applyBorder="1" applyAlignment="1" applyProtection="1">
      <alignment wrapText="1"/>
      <protection locked="0"/>
    </xf>
    <xf fontId="2" fillId="10" borderId="0" numFmtId="0" xfId="1" applyFont="1" applyFill="1" applyAlignment="1">
      <alignment horizontal="center" vertical="center" wrapText="1"/>
    </xf>
    <xf fontId="1" fillId="10" borderId="23" numFmtId="0" xfId="1" applyFont="1" applyFill="1" applyBorder="1" applyProtection="1">
      <protection locked="0"/>
    </xf>
    <xf fontId="1" fillId="11" borderId="69" numFmtId="162" xfId="1" applyNumberFormat="1" applyFont="1" applyFill="1" applyBorder="1" applyProtection="1">
      <protection locked="0"/>
    </xf>
    <xf fontId="14" fillId="12" borderId="23" numFmtId="4" xfId="1" applyNumberFormat="1" applyFont="1" applyFill="1" applyBorder="1" applyAlignment="1" applyProtection="1">
      <alignment wrapText="1"/>
      <protection locked="0"/>
    </xf>
    <xf fontId="2" fillId="0" borderId="23" numFmtId="0" xfId="1" applyFont="1" applyBorder="1" applyAlignment="1" applyProtection="1">
      <alignment wrapText="1"/>
      <protection locked="0"/>
    </xf>
    <xf fontId="22" fillId="0" borderId="23" numFmtId="0" xfId="1" applyFont="1" applyBorder="1" applyAlignment="1" applyProtection="1">
      <alignment horizontal="left"/>
      <protection locked="0"/>
    </xf>
    <xf fontId="1" fillId="0" borderId="23" numFmtId="4" xfId="1" applyNumberFormat="1" applyFont="1" applyBorder="1" applyProtection="1">
      <protection locked="0"/>
    </xf>
    <xf fontId="16" fillId="0" borderId="23" numFmtId="0" xfId="1" applyFont="1" applyBorder="1" applyAlignment="1" applyProtection="1">
      <alignment horizontal="left" wrapText="1"/>
      <protection locked="0"/>
    </xf>
    <xf fontId="20" fillId="0" borderId="39" numFmtId="0" xfId="1" applyFont="1" applyBorder="1" applyAlignment="1" applyProtection="1">
      <alignment horizontal="left"/>
      <protection locked="0"/>
    </xf>
    <xf fontId="20" fillId="0" borderId="10" numFmtId="162" xfId="1" applyNumberFormat="1" applyFont="1" applyBorder="1" applyAlignment="1" applyProtection="1">
      <alignment horizontal="right"/>
      <protection locked="0"/>
    </xf>
    <xf fontId="20" fillId="0" borderId="20" numFmtId="0" xfId="1" applyFont="1" applyBorder="1" applyAlignment="1" applyProtection="1">
      <alignment horizontal="left"/>
      <protection locked="0"/>
    </xf>
    <xf fontId="20" fillId="0" borderId="65" numFmtId="0" xfId="1" applyFont="1" applyBorder="1" applyAlignment="1" applyProtection="1">
      <alignment horizontal="left"/>
      <protection locked="0"/>
    </xf>
    <xf fontId="20" fillId="12" borderId="49" numFmtId="162" xfId="1" applyNumberFormat="1" applyFont="1" applyFill="1" applyBorder="1" applyAlignment="1" applyProtection="1">
      <alignment horizontal="right"/>
      <protection locked="0"/>
    </xf>
    <xf fontId="20" fillId="12" borderId="39" numFmtId="162" xfId="1" applyNumberFormat="1" applyFont="1" applyFill="1" applyBorder="1" applyAlignment="1" applyProtection="1">
      <alignment horizontal="right"/>
      <protection locked="0"/>
    </xf>
    <xf fontId="20" fillId="0" borderId="39" numFmtId="0" xfId="1" applyFont="1" applyBorder="1" applyAlignment="1" applyProtection="1">
      <alignment horizontal="left" wrapText="1"/>
      <protection locked="0"/>
    </xf>
    <xf fontId="1" fillId="12" borderId="26" numFmtId="4" xfId="1" applyNumberFormat="1" applyFont="1" applyFill="1" applyBorder="1" applyProtection="1">
      <protection locked="0"/>
    </xf>
    <xf fontId="1" fillId="9" borderId="23" numFmtId="4" xfId="1" applyNumberFormat="1" applyFont="1" applyFill="1" applyBorder="1" applyProtection="1">
      <protection locked="0"/>
    </xf>
    <xf fontId="1" fillId="12" borderId="60" numFmtId="162" xfId="1" applyNumberFormat="1" applyFont="1" applyFill="1" applyBorder="1" applyProtection="1">
      <protection locked="0"/>
    </xf>
    <xf fontId="2" fillId="0" borderId="60" numFmtId="0" xfId="1" applyFont="1" applyBorder="1" applyProtection="1">
      <protection locked="0"/>
    </xf>
    <xf fontId="1" fillId="0" borderId="70" numFmtId="0" xfId="1" applyFont="1" applyBorder="1" applyProtection="1">
      <protection locked="0"/>
    </xf>
    <xf fontId="1" fillId="10" borderId="60" numFmtId="162" xfId="1" applyNumberFormat="1" applyFont="1" applyFill="1" applyBorder="1" applyProtection="1">
      <protection locked="0"/>
    </xf>
    <xf fontId="1" fillId="10" borderId="36" numFmtId="162" xfId="1" applyNumberFormat="1" applyFont="1" applyFill="1" applyBorder="1" applyProtection="1">
      <protection locked="0"/>
    </xf>
    <xf fontId="1" fillId="0" borderId="36" numFmtId="0" xfId="1" applyFont="1" applyBorder="1" applyAlignment="1" applyProtection="1">
      <alignment wrapText="1"/>
      <protection locked="0"/>
    </xf>
    <xf fontId="1" fillId="0" borderId="54" numFmtId="162" xfId="1" applyNumberFormat="1" applyFont="1" applyBorder="1" applyProtection="1">
      <protection locked="0"/>
    </xf>
    <xf fontId="1" fillId="0" borderId="54" numFmtId="0" xfId="1" applyFont="1" applyBorder="1" applyAlignment="1" applyProtection="1">
      <alignment wrapText="1"/>
      <protection locked="0"/>
    </xf>
    <xf fontId="16" fillId="11" borderId="36" numFmtId="0" xfId="1" applyFont="1" applyFill="1" applyBorder="1" applyAlignment="1" applyProtection="1">
      <alignment horizontal="left" vertical="center" wrapText="1"/>
      <protection locked="0"/>
    </xf>
    <xf fontId="16" fillId="11" borderId="37" numFmtId="0" xfId="1" applyFont="1" applyFill="1" applyBorder="1" applyAlignment="1" applyProtection="1">
      <alignment horizontal="left" vertical="center" wrapText="1"/>
      <protection locked="0"/>
    </xf>
    <xf fontId="16" fillId="10" borderId="37" numFmtId="4" xfId="1" applyNumberFormat="1" applyFont="1" applyFill="1" applyBorder="1" applyAlignment="1" applyProtection="1">
      <alignment horizontal="right" vertical="center" wrapText="1"/>
      <protection locked="0"/>
    </xf>
    <xf fontId="1" fillId="11" borderId="35" numFmtId="3" xfId="1" applyNumberFormat="1" applyFont="1" applyFill="1" applyBorder="1" applyProtection="1">
      <protection locked="0"/>
    </xf>
    <xf fontId="1" fillId="0" borderId="57" numFmtId="0" xfId="1" applyFont="1" applyBorder="1" applyAlignment="1" applyProtection="1">
      <alignment horizontal="left"/>
      <protection locked="0"/>
    </xf>
    <xf fontId="1" fillId="12" borderId="39" numFmtId="162" xfId="1" applyNumberFormat="1" applyFont="1" applyFill="1" applyBorder="1" applyProtection="1">
      <protection locked="0"/>
    </xf>
    <xf fontId="1" fillId="0" borderId="71" numFmtId="0" xfId="1" applyFont="1" applyBorder="1" applyAlignment="1" applyProtection="1">
      <alignment wrapText="1"/>
      <protection locked="0"/>
    </xf>
    <xf fontId="2" fillId="11" borderId="23" numFmtId="0" xfId="1" applyFont="1" applyFill="1" applyBorder="1" applyAlignment="1" applyProtection="1">
      <alignment wrapText="1"/>
      <protection locked="0"/>
    </xf>
    <xf fontId="1" fillId="11" borderId="35" numFmtId="0" xfId="1" applyFont="1" applyFill="1" applyBorder="1" applyProtection="1">
      <protection locked="0"/>
    </xf>
    <xf fontId="1" fillId="10" borderId="23" numFmtId="162" xfId="1" applyNumberFormat="1" applyFont="1" applyFill="1" applyBorder="1" applyProtection="1">
      <protection locked="0"/>
    </xf>
    <xf fontId="1" fillId="11" borderId="33" numFmtId="0" xfId="1" applyFont="1" applyFill="1" applyBorder="1" applyAlignment="1" applyProtection="1">
      <alignment wrapText="1"/>
      <protection locked="0"/>
    </xf>
    <xf fontId="14" fillId="12" borderId="23" numFmtId="162" xfId="1" applyNumberFormat="1" applyFont="1" applyFill="1" applyBorder="1" applyProtection="1">
      <protection locked="0"/>
    </xf>
    <xf fontId="14" fillId="12" borderId="35" numFmtId="162" xfId="1" applyNumberFormat="1" applyFont="1" applyFill="1" applyBorder="1" applyProtection="1">
      <protection locked="0"/>
    </xf>
    <xf fontId="1" fillId="12" borderId="0" numFmtId="162" xfId="1" applyNumberFormat="1" applyFont="1" applyFill="1">
      <protection locked="0"/>
    </xf>
    <xf fontId="1" fillId="12" borderId="55" numFmtId="162" xfId="1" applyNumberFormat="1" applyFont="1" applyFill="1" applyBorder="1" applyProtection="1">
      <protection locked="0"/>
    </xf>
    <xf fontId="1" fillId="0" borderId="55" numFmtId="0" xfId="1" applyFont="1" applyBorder="1" applyAlignment="1" applyProtection="1">
      <alignment wrapText="1"/>
      <protection locked="0"/>
    </xf>
    <xf fontId="1" fillId="0" borderId="62" numFmtId="162" xfId="1" applyNumberFormat="1" applyFont="1" applyBorder="1" applyProtection="1">
      <protection locked="0"/>
    </xf>
    <xf fontId="1" fillId="0" borderId="62" numFmtId="0" xfId="1" applyFont="1" applyBorder="1" applyAlignment="1" applyProtection="1">
      <alignment wrapText="1"/>
      <protection locked="0"/>
    </xf>
    <xf fontId="15" fillId="9" borderId="37" numFmtId="162" xfId="1" applyNumberFormat="1" applyFont="1" applyFill="1" applyBorder="1" applyProtection="1">
      <protection locked="0"/>
    </xf>
    <xf fontId="14" fillId="9" borderId="23" numFmtId="162" xfId="1" applyNumberFormat="1" applyFont="1" applyFill="1" applyBorder="1" applyProtection="1">
      <protection locked="0"/>
    </xf>
    <xf fontId="1" fillId="0" borderId="23" numFmtId="0" xfId="1" applyFont="1" applyBorder="1" applyAlignment="1" applyProtection="1">
      <alignment horizontal="center"/>
      <protection locked="0"/>
    </xf>
    <xf fontId="1" fillId="0" borderId="57" numFmtId="0" xfId="1" applyFont="1" applyBorder="1" applyAlignment="1" applyProtection="1">
      <alignment horizontal="center"/>
      <protection locked="0"/>
    </xf>
    <xf fontId="1" fillId="12" borderId="34" numFmtId="162" xfId="1" applyNumberFormat="1" applyFont="1" applyFill="1" applyBorder="1" applyProtection="1">
      <protection locked="0"/>
    </xf>
    <xf fontId="20" fillId="12" borderId="65" numFmtId="162" xfId="1" applyNumberFormat="1" applyFont="1" applyFill="1" applyBorder="1" applyAlignment="1" applyProtection="1">
      <alignment horizontal="right"/>
      <protection locked="0"/>
    </xf>
    <xf fontId="20" fillId="0" borderId="65" numFmtId="0" xfId="1" applyFont="1" applyBorder="1" applyAlignment="1" applyProtection="1">
      <alignment horizontal="left" wrapText="1"/>
      <protection locked="0"/>
    </xf>
    <xf fontId="23" fillId="11" borderId="23" numFmtId="0" xfId="1" applyFont="1" applyFill="1" applyBorder="1" applyProtection="1">
      <protection locked="0"/>
    </xf>
    <xf fontId="2" fillId="0" borderId="26" numFmtId="0" xfId="1" applyFont="1" applyBorder="1" applyProtection="1">
      <protection locked="0"/>
    </xf>
    <xf fontId="1" fillId="11" borderId="0" numFmtId="162" xfId="1" applyNumberFormat="1" applyFont="1" applyFill="1" applyAlignment="1">
      <alignment wrapText="1"/>
      <protection locked="0"/>
    </xf>
    <xf fontId="13" fillId="11" borderId="72" numFmtId="0" xfId="1" applyFont="1" applyFill="1" applyBorder="1" applyAlignment="1" applyProtection="1">
      <alignment horizontal="left" vertical="center" wrapText="1"/>
      <protection locked="0"/>
    </xf>
    <xf fontId="14" fillId="11" borderId="23" numFmtId="4" xfId="1" applyNumberFormat="1" applyFont="1" applyFill="1" applyBorder="1" applyAlignment="1" applyProtection="1">
      <alignment wrapText="1"/>
      <protection locked="0"/>
    </xf>
    <xf fontId="1" fillId="11" borderId="39" numFmtId="162" xfId="1" applyNumberFormat="1" applyFont="1" applyFill="1" applyBorder="1" applyProtection="1">
      <protection locked="0"/>
    </xf>
    <xf fontId="10" fillId="5" borderId="3" numFmtId="0" xfId="1" applyFont="1" applyFill="1" applyBorder="1" applyAlignment="1">
      <alignment horizontal="right" vertical="center"/>
    </xf>
    <xf fontId="1" fillId="12" borderId="20" numFmtId="3" xfId="1" applyNumberFormat="1" applyFont="1" applyFill="1" applyBorder="1" applyAlignment="1" applyProtection="1">
      <alignment horizontal="right"/>
      <protection locked="0"/>
    </xf>
    <xf fontId="0" fillId="0" borderId="66" numFmtId="0" xfId="1" applyBorder="1"/>
    <xf fontId="1" fillId="0" borderId="73" numFmtId="162" xfId="1" applyNumberFormat="1" applyFont="1" applyBorder="1" applyAlignment="1" applyProtection="1">
      <alignment horizontal="right"/>
      <protection locked="0"/>
    </xf>
    <xf fontId="1" fillId="12" borderId="37" numFmtId="162" xfId="1" applyNumberFormat="1" applyFont="1" applyFill="1" applyBorder="1" applyAlignment="1" applyProtection="1">
      <alignment horizontal="right"/>
      <protection locked="0"/>
    </xf>
    <xf fontId="14" fillId="12" borderId="23" numFmtId="162" xfId="1" applyNumberFormat="1" applyFont="1" applyFill="1" applyBorder="1" applyAlignment="1" applyProtection="1">
      <alignment horizontal="right"/>
      <protection locked="0"/>
    </xf>
    <xf fontId="14" fillId="11" borderId="23" numFmtId="4" xfId="1" applyNumberFormat="1" applyFont="1" applyFill="1" applyBorder="1" applyAlignment="1" applyProtection="1">
      <alignment horizontal="right" wrapText="1"/>
      <protection locked="0"/>
    </xf>
    <xf fontId="1" fillId="12" borderId="23" numFmtId="162" xfId="1" applyNumberFormat="1" applyFont="1" applyFill="1" applyBorder="1" applyAlignment="1" applyProtection="1">
      <alignment horizontal="right"/>
      <protection locked="0"/>
    </xf>
    <xf fontId="1" fillId="9" borderId="23" numFmtId="162" xfId="1" applyNumberFormat="1" applyFont="1" applyFill="1" applyBorder="1" applyAlignment="1" applyProtection="1">
      <alignment horizontal="right"/>
      <protection locked="0"/>
    </xf>
    <xf fontId="1" fillId="0" borderId="43" numFmtId="0" xfId="1" applyFont="1" applyBorder="1" applyProtection="1">
      <protection locked="0"/>
    </xf>
    <xf fontId="13" fillId="11" borderId="73" numFmtId="0" xfId="1" applyFont="1" applyFill="1" applyBorder="1" applyAlignment="1" applyProtection="1">
      <alignment horizontal="left" vertical="center" wrapText="1"/>
      <protection locked="0"/>
    </xf>
    <xf fontId="1" fillId="11" borderId="35" numFmtId="162" xfId="1" applyNumberFormat="1" applyFont="1" applyFill="1" applyBorder="1" applyAlignment="1" applyProtection="1">
      <alignment horizontal="right"/>
      <protection locked="0"/>
    </xf>
    <xf fontId="1" fillId="12" borderId="64" numFmtId="162" xfId="1" applyNumberFormat="1" applyFont="1" applyFill="1" applyBorder="1" applyAlignment="1" applyProtection="1">
      <alignment horizontal="right"/>
      <protection locked="0"/>
    </xf>
    <xf fontId="1" fillId="12" borderId="39" numFmtId="162" xfId="1" applyNumberFormat="1" applyFont="1" applyFill="1" applyBorder="1" applyAlignment="1" applyProtection="1">
      <alignment horizontal="right"/>
      <protection locked="0"/>
    </xf>
    <xf fontId="0" fillId="12" borderId="0" numFmtId="4" xfId="1" applyNumberFormat="1" applyFill="1" applyAlignment="1">
      <alignment horizontal="right"/>
    </xf>
    <xf fontId="1" fillId="12" borderId="23" numFmtId="4" xfId="1" applyNumberFormat="1" applyFont="1" applyFill="1" applyBorder="1" applyAlignment="1" applyProtection="1">
      <alignment horizontal="right"/>
      <protection locked="0"/>
    </xf>
    <xf fontId="23" fillId="0" borderId="23" numFmtId="0" xfId="1" applyFont="1" applyBorder="1" applyProtection="1">
      <protection locked="0"/>
    </xf>
    <xf fontId="0" fillId="0" borderId="60" numFmtId="0" xfId="1" applyBorder="1"/>
    <xf fontId="1" fillId="12" borderId="23" numFmtId="4" xfId="1" applyNumberFormat="1" applyFont="1" applyFill="1" applyBorder="1" applyAlignment="1" applyProtection="1">
      <alignment wrapText="1"/>
      <protection locked="0"/>
    </xf>
    <xf fontId="17" fillId="11" borderId="36" numFmtId="0" xfId="1" applyFont="1" applyFill="1" applyBorder="1" applyAlignment="1" applyProtection="1">
      <alignment horizontal="left" vertical="center" wrapText="1"/>
      <protection locked="0"/>
    </xf>
    <xf fontId="2" fillId="0" borderId="20" numFmtId="0" xfId="1" applyFont="1" applyBorder="1" applyProtection="1">
      <protection locked="0"/>
    </xf>
    <xf fontId="2" fillId="10" borderId="0" numFmtId="4" xfId="1" applyNumberFormat="1" applyFont="1" applyFill="1" applyAlignment="1">
      <alignment horizontal="center" vertical="center" wrapText="1"/>
    </xf>
    <xf fontId="0" fillId="0" borderId="37" numFmtId="0" xfId="1" applyBorder="1" applyProtection="1"/>
    <xf fontId="1" fillId="0" borderId="72" numFmtId="162" xfId="1" applyNumberFormat="1" applyFont="1" applyBorder="1" applyAlignment="1" applyProtection="1">
      <alignment horizontal="right"/>
      <protection locked="0"/>
    </xf>
    <xf fontId="13" fillId="11" borderId="64" numFmtId="0" xfId="1" applyFont="1" applyFill="1" applyBorder="1" applyAlignment="1" applyProtection="1">
      <alignment horizontal="left" vertical="center" wrapText="1"/>
      <protection locked="0"/>
    </xf>
    <xf fontId="1" fillId="11" borderId="23" numFmtId="162" xfId="1" applyNumberFormat="1" applyFont="1" applyFill="1" applyBorder="1" applyAlignment="1" applyProtection="1">
      <alignment horizontal="right"/>
      <protection locked="0"/>
    </xf>
    <xf fontId="1" fillId="12" borderId="35" numFmtId="162" xfId="1" applyNumberFormat="1" applyFont="1" applyFill="1" applyBorder="1" applyAlignment="1" applyProtection="1">
      <alignment horizontal="right"/>
      <protection locked="0"/>
    </xf>
    <xf fontId="1" fillId="15" borderId="23" numFmtId="0" xfId="1" applyFont="1" applyFill="1" applyBorder="1" applyProtection="1">
      <protection locked="0"/>
    </xf>
    <xf fontId="1" fillId="0" borderId="26" numFmtId="0" xfId="1" applyFont="1" applyBorder="1" applyAlignment="1" applyProtection="1">
      <alignment vertical="top" wrapText="1"/>
      <protection locked="0"/>
    </xf>
    <xf fontId="1" fillId="0" borderId="20" numFmtId="0" xfId="1" applyFont="1" applyBorder="1" applyAlignment="1" applyProtection="1">
      <alignment vertical="top" wrapText="1"/>
      <protection locked="0"/>
    </xf>
    <xf fontId="1" fillId="12" borderId="49" numFmtId="4" xfId="1" applyNumberFormat="1" applyFont="1" applyFill="1" applyBorder="1" applyAlignment="1" applyProtection="1">
      <alignment horizontal="right"/>
      <protection locked="0"/>
    </xf>
    <xf fontId="1" fillId="11" borderId="39" numFmtId="162" xfId="1" applyNumberFormat="1" applyFont="1" applyFill="1" applyBorder="1" applyAlignment="1" applyProtection="1">
      <alignment horizontal="right"/>
      <protection locked="0"/>
    </xf>
    <xf fontId="16" fillId="0" borderId="35" numFmtId="0" xfId="1" applyFont="1" applyBorder="1" applyAlignment="1" applyProtection="1">
      <alignment horizontal="left" vertical="center" wrapText="1"/>
      <protection locked="0"/>
    </xf>
    <xf fontId="16" fillId="0" borderId="73" numFmtId="0" xfId="1" applyFont="1" applyBorder="1" applyAlignment="1" applyProtection="1">
      <alignment horizontal="left" vertical="center" wrapText="1"/>
      <protection locked="0"/>
    </xf>
    <xf fontId="20" fillId="11" borderId="73" numFmtId="3" xfId="1" applyNumberFormat="1" applyFont="1" applyFill="1" applyBorder="1" applyAlignment="1" applyProtection="1">
      <alignment horizontal="right" vertical="center" wrapText="1"/>
      <protection locked="0"/>
    </xf>
    <xf fontId="6" fillId="0" borderId="14" numFmtId="0" xfId="1" applyFont="1" applyBorder="1" applyAlignment="1" applyProtection="1">
      <alignment horizontal="right" vertical="center" wrapText="1"/>
      <protection locked="0"/>
    </xf>
    <xf fontId="1" fillId="9" borderId="37" numFmtId="162" xfId="1" applyNumberFormat="1" applyFont="1" applyFill="1" applyBorder="1" applyAlignment="1" applyProtection="1">
      <alignment horizontal="right"/>
      <protection locked="0"/>
    </xf>
    <xf fontId="1" fillId="11" borderId="35" numFmtId="0" xfId="1" applyFont="1" applyFill="1" applyBorder="1" applyAlignment="1" applyProtection="1">
      <alignment wrapText="1"/>
      <protection locked="0"/>
    </xf>
    <xf fontId="1" fillId="15" borderId="35" numFmtId="0" xfId="1" applyFont="1" applyFill="1" applyBorder="1" applyAlignment="1" applyProtection="1">
      <alignment wrapText="1"/>
      <protection locked="0"/>
    </xf>
    <xf fontId="1" fillId="15" borderId="23" numFmtId="0" xfId="1" applyFont="1" applyFill="1" applyBorder="1" applyAlignment="1" applyProtection="1">
      <alignment wrapText="1"/>
      <protection locked="0"/>
    </xf>
    <xf fontId="20" fillId="12" borderId="65" numFmtId="4" xfId="1" applyNumberFormat="1" applyFont="1" applyFill="1" applyBorder="1" applyAlignment="1" applyProtection="1">
      <alignment horizontal="right" wrapText="1"/>
      <protection locked="0"/>
    </xf>
    <xf fontId="20" fillId="0" borderId="23" numFmtId="0" xfId="1" applyFont="1" applyBorder="1" applyAlignment="1" applyProtection="1">
      <alignment horizontal="left" wrapText="1"/>
      <protection locked="0"/>
    </xf>
    <xf fontId="24" fillId="0" borderId="23" numFmtId="0" xfId="1" applyFont="1" applyBorder="1" applyAlignment="1" applyProtection="1">
      <alignment horizontal="left"/>
      <protection locked="0"/>
    </xf>
    <xf fontId="1" fillId="0" borderId="23" numFmtId="3" xfId="1" applyNumberFormat="1" applyFont="1" applyBorder="1" applyAlignment="1" applyProtection="1">
      <alignment wrapText="1"/>
      <protection locked="0"/>
    </xf>
    <xf fontId="25" fillId="0" borderId="23" numFmtId="0" xfId="1" applyFont="1" applyBorder="1" applyAlignment="1" applyProtection="1">
      <alignment horizontal="left"/>
      <protection locked="0"/>
    </xf>
    <xf fontId="1" fillId="0" borderId="46" numFmtId="0" xfId="1" applyFont="1" applyBorder="1" applyAlignment="1" applyProtection="1">
      <alignment wrapText="1"/>
      <protection locked="0"/>
    </xf>
    <xf fontId="20" fillId="11" borderId="23" numFmtId="3" xfId="1" applyNumberFormat="1" applyFont="1" applyFill="1" applyBorder="1" applyAlignment="1" applyProtection="1">
      <alignment horizontal="right" vertical="center" wrapText="1"/>
      <protection locked="0"/>
    </xf>
    <xf fontId="1" fillId="0" borderId="0" numFmtId="0" xfId="1" applyFont="1">
      <protection locked="0"/>
    </xf>
    <xf fontId="20" fillId="11" borderId="35" numFmtId="3" xfId="1" applyNumberFormat="1" applyFont="1" applyFill="1" applyBorder="1" applyAlignment="1" applyProtection="1">
      <alignment horizontal="right" vertical="center" wrapText="1"/>
      <protection locked="0"/>
    </xf>
    <xf fontId="20" fillId="0" borderId="35" numFmtId="0" xfId="1" applyFont="1" applyBorder="1" applyAlignment="1" applyProtection="1">
      <alignment horizontal="left"/>
      <protection locked="0"/>
    </xf>
    <xf fontId="1" fillId="11" borderId="23" numFmtId="4" xfId="1" applyNumberFormat="1" applyFont="1" applyFill="1" applyBorder="1" applyAlignment="1" applyProtection="1">
      <alignment wrapText="1"/>
      <protection locked="0"/>
    </xf>
    <xf fontId="1" fillId="16" borderId="22" numFmtId="0" xfId="1" applyFont="1" applyFill="1" applyBorder="1" applyProtection="1">
      <protection locked="0"/>
    </xf>
    <xf fontId="1" fillId="16" borderId="23" numFmtId="0" xfId="1" applyFont="1" applyFill="1" applyBorder="1" applyAlignment="1" applyProtection="1">
      <alignment wrapText="1"/>
      <protection locked="0"/>
    </xf>
    <xf fontId="1" fillId="16" borderId="23" numFmtId="0" xfId="1" applyFont="1" applyFill="1" applyBorder="1" applyAlignment="1" applyProtection="1">
      <alignment horizontal="left" wrapText="1"/>
      <protection locked="0"/>
    </xf>
    <xf fontId="1" fillId="16" borderId="23" numFmtId="0" xfId="1" applyFont="1" applyFill="1" applyBorder="1" applyProtection="1">
      <protection locked="0"/>
    </xf>
    <xf fontId="0" fillId="16" borderId="23" numFmtId="0" xfId="1" applyFill="1" applyBorder="1"/>
    <xf fontId="0" fillId="16" borderId="24" numFmtId="0" xfId="1" applyFill="1" applyBorder="1"/>
    <xf fontId="1" fillId="11" borderId="34" numFmtId="0" xfId="1" applyFont="1" applyFill="1" applyBorder="1" applyAlignment="1" applyProtection="1">
      <alignment wrapText="1"/>
      <protection locked="0"/>
    </xf>
    <xf fontId="0" fillId="11" borderId="20" numFmtId="0" xfId="1" applyFill="1" applyBorder="1"/>
    <xf fontId="0" fillId="11" borderId="23" numFmtId="0" xfId="1" applyFill="1" applyBorder="1"/>
    <xf fontId="1" fillId="15" borderId="0" numFmtId="0" xfId="1" applyFont="1" applyFill="1" applyAlignment="1">
      <alignment wrapText="1"/>
      <protection locked="0"/>
    </xf>
    <xf fontId="1" fillId="11" borderId="23" numFmtId="0" xfId="1" applyFont="1" applyFill="1" applyBorder="1" applyAlignment="1" applyProtection="1">
      <alignment horizontal="left" wrapText="1"/>
      <protection locked="0"/>
    </xf>
    <xf fontId="1" fillId="15" borderId="23" numFmtId="0" xfId="1" applyFont="1" applyFill="1" applyBorder="1" applyAlignment="1" applyProtection="1">
      <alignment horizontal="left" wrapText="1"/>
      <protection locked="0"/>
    </xf>
    <xf fontId="2" fillId="12" borderId="26" numFmtId="3" xfId="1" applyNumberFormat="1" applyFont="1" applyFill="1" applyBorder="1" applyProtection="1">
      <protection locked="0"/>
    </xf>
    <xf fontId="4" fillId="0" borderId="26" numFmtId="0" xfId="1" applyFont="1" applyBorder="1" applyProtection="1">
      <protection locked="0"/>
    </xf>
    <xf fontId="26" fillId="12" borderId="40" numFmtId="162" xfId="1" applyNumberFormat="1" applyFont="1" applyFill="1" applyBorder="1" applyProtection="1">
      <protection locked="0"/>
    </xf>
    <xf fontId="16" fillId="0" borderId="54" numFmtId="0" xfId="1" applyFont="1" applyBorder="1" applyAlignment="1" applyProtection="1">
      <alignment horizontal="left" vertical="center" wrapText="1"/>
      <protection locked="0"/>
    </xf>
    <xf fontId="16" fillId="0" borderId="74" numFmtId="0" xfId="1" applyFont="1" applyBorder="1" applyAlignment="1" applyProtection="1">
      <alignment horizontal="left" vertical="center" wrapText="1"/>
      <protection locked="0"/>
    </xf>
    <xf fontId="16" fillId="11" borderId="35" numFmtId="3" xfId="1" applyNumberFormat="1" applyFont="1" applyFill="1" applyBorder="1" applyAlignment="1" applyProtection="1">
      <alignment horizontal="right"/>
      <protection locked="0"/>
    </xf>
    <xf fontId="20" fillId="0" borderId="73" numFmtId="0" xfId="1" applyFont="1" applyBorder="1" applyAlignment="1" applyProtection="1">
      <alignment horizontal="left" wrapText="1"/>
      <protection locked="0"/>
    </xf>
    <xf fontId="16" fillId="0" borderId="61" numFmtId="0" xfId="1" applyFont="1" applyBorder="1" applyAlignment="1" applyProtection="1">
      <alignment horizontal="left" vertical="center" wrapText="1"/>
      <protection locked="0"/>
    </xf>
    <xf fontId="4" fillId="4" borderId="23" numFmtId="0" xfId="1" applyFont="1" applyFill="1" applyBorder="1" applyProtection="1">
      <protection locked="0"/>
    </xf>
    <xf fontId="1" fillId="4" borderId="23" numFmtId="162" xfId="1" applyNumberFormat="1" applyFont="1" applyFill="1" applyBorder="1" applyAlignment="1" applyProtection="1">
      <alignment horizontal="right"/>
      <protection locked="0"/>
    </xf>
    <xf fontId="1" fillId="4" borderId="75" numFmtId="162" xfId="1" applyNumberFormat="1" applyFont="1" applyFill="1" applyBorder="1" applyAlignment="1" applyProtection="1">
      <alignment horizontal="right"/>
      <protection locked="0"/>
    </xf>
    <xf fontId="1" fillId="11" borderId="39" numFmtId="0" xfId="1" applyFont="1" applyFill="1" applyBorder="1" applyAlignment="1" applyProtection="1">
      <alignment wrapText="1"/>
      <protection locked="0"/>
    </xf>
    <xf fontId="1" fillId="4" borderId="23" numFmtId="4" xfId="1" applyNumberFormat="1" applyFont="1" applyFill="1" applyBorder="1" applyAlignment="1" applyProtection="1">
      <alignment horizontal="right"/>
      <protection locked="0"/>
    </xf>
    <xf fontId="1" fillId="4" borderId="39" numFmtId="162" xfId="1" applyNumberFormat="1" applyFont="1" applyFill="1" applyBorder="1" applyAlignment="1" applyProtection="1">
      <alignment horizontal="right"/>
      <protection locked="0"/>
    </xf>
    <xf fontId="1" fillId="10" borderId="39" numFmtId="162" xfId="1" applyNumberFormat="1" applyFont="1" applyFill="1" applyBorder="1" applyAlignment="1" applyProtection="1">
      <alignment horizontal="right"/>
      <protection locked="0"/>
    </xf>
    <xf fontId="1" fillId="4" borderId="23" numFmtId="162" xfId="1" applyNumberFormat="1" applyFont="1" applyFill="1" applyBorder="1" applyProtection="1">
      <protection locked="0"/>
    </xf>
    <xf fontId="1" fillId="10" borderId="26" numFmtId="162" xfId="1" applyNumberFormat="1" applyFont="1" applyFill="1" applyBorder="1" applyProtection="1">
      <protection locked="0"/>
    </xf>
    <xf fontId="1" fillId="10" borderId="23" numFmtId="3" xfId="1" applyNumberFormat="1" applyFont="1" applyFill="1" applyBorder="1" applyProtection="1">
      <protection locked="0"/>
    </xf>
    <xf fontId="16" fillId="0" borderId="35" numFmtId="0" xfId="1" applyFont="1" applyBorder="1" applyAlignment="1">
      <alignment horizontal="left" vertical="center" wrapText="1"/>
      <protection locked="0"/>
    </xf>
    <xf fontId="1" fillId="10" borderId="60" numFmtId="162" xfId="1" applyNumberFormat="1" applyFont="1" applyFill="1" applyBorder="1">
      <protection locked="0"/>
    </xf>
    <xf fontId="1" fillId="0" borderId="60" numFmtId="0" xfId="1" applyFont="1" applyBorder="1" applyAlignment="1">
      <alignment wrapText="1"/>
      <protection locked="0"/>
    </xf>
    <xf fontId="1" fillId="0" borderId="26" numFmtId="0" xfId="1" applyFont="1" applyBorder="1">
      <protection locked="0"/>
    </xf>
    <xf fontId="1" fillId="10" borderId="26" numFmtId="162" xfId="1" applyNumberFormat="1" applyFont="1" applyFill="1" applyBorder="1">
      <protection locked="0"/>
    </xf>
    <xf fontId="16" fillId="0" borderId="68" numFmtId="0" xfId="1" applyFont="1" applyBorder="1" applyAlignment="1" applyProtection="1">
      <alignment horizontal="left" vertical="center" wrapText="1"/>
      <protection locked="0"/>
    </xf>
    <xf fontId="16" fillId="0" borderId="68" numFmtId="3" xfId="1" applyNumberFormat="1" applyFont="1" applyBorder="1" applyAlignment="1" applyProtection="1">
      <alignment horizontal="right" vertical="center" wrapText="1"/>
      <protection locked="0"/>
    </xf>
    <xf fontId="1" fillId="0" borderId="36" numFmtId="162" xfId="1" applyNumberFormat="1" applyFont="1" applyBorder="1" applyProtection="1">
      <protection locked="0"/>
    </xf>
    <xf fontId="1" fillId="13" borderId="26" numFmtId="162" xfId="1" applyNumberFormat="1" applyFont="1" applyFill="1" applyBorder="1" applyProtection="1">
      <protection locked="0"/>
    </xf>
    <xf fontId="1" fillId="10" borderId="20" numFmtId="162" xfId="1" applyNumberFormat="1" applyFont="1" applyFill="1" applyBorder="1" applyProtection="1">
      <protection locked="0"/>
    </xf>
    <xf fontId="16" fillId="0" borderId="66" numFmtId="0" xfId="1" applyFont="1" applyBorder="1" applyAlignment="1" applyProtection="1">
      <alignment horizontal="left" vertical="center" wrapText="1"/>
      <protection locked="0"/>
    </xf>
    <xf fontId="16" fillId="10" borderId="66" numFmtId="4" xfId="1" applyNumberFormat="1" applyFont="1" applyFill="1" applyBorder="1" applyAlignment="1" applyProtection="1">
      <alignment horizontal="right" vertical="center" wrapText="1"/>
      <protection locked="0"/>
    </xf>
    <xf fontId="2" fillId="10" borderId="0" numFmtId="3" xfId="1" applyNumberFormat="1" applyFont="1" applyFill="1" applyAlignment="1">
      <alignment horizontal="center" vertical="center" wrapText="1"/>
    </xf>
    <xf fontId="1" fillId="15" borderId="20" numFmtId="0" xfId="1" applyFont="1" applyFill="1" applyBorder="1" applyProtection="1">
      <protection locked="0"/>
    </xf>
    <xf fontId="1" fillId="15" borderId="20" numFmtId="0" xfId="1" applyFont="1" applyFill="1" applyBorder="1" applyAlignment="1" applyProtection="1">
      <alignment wrapText="1"/>
      <protection locked="0"/>
    </xf>
    <xf fontId="1" fillId="4" borderId="51" numFmtId="162" xfId="1" applyNumberFormat="1" applyFont="1" applyFill="1" applyBorder="1" applyAlignment="1" applyProtection="1">
      <alignment horizontal="right"/>
      <protection locked="0"/>
    </xf>
    <xf fontId="1" fillId="4" borderId="39" numFmtId="162" xfId="1" applyNumberFormat="1" applyFont="1" applyFill="1" applyBorder="1" applyProtection="1">
      <protection locked="0"/>
    </xf>
    <xf fontId="1" fillId="10" borderId="23" numFmtId="4" xfId="1" applyNumberFormat="1" applyFont="1" applyFill="1" applyBorder="1" applyProtection="1">
      <protection locked="0"/>
    </xf>
    <xf fontId="1" fillId="10" borderId="26" numFmtId="3" xfId="1" applyNumberFormat="1" applyFont="1" applyFill="1" applyBorder="1" applyProtection="1">
      <protection locked="0"/>
    </xf>
    <xf fontId="1" fillId="11" borderId="26" numFmtId="0" xfId="1" applyFont="1" applyFill="1" applyBorder="1" applyAlignment="1" applyProtection="1">
      <alignment wrapText="1"/>
      <protection locked="0"/>
    </xf>
    <xf fontId="16" fillId="11" borderId="66" numFmtId="0" xfId="1" applyFont="1" applyFill="1" applyBorder="1" applyAlignment="1" applyProtection="1">
      <alignment horizontal="left" vertical="center" wrapText="1"/>
      <protection locked="0"/>
    </xf>
    <xf fontId="1" fillId="11" borderId="26" numFmtId="0" xfId="1" applyFont="1" applyFill="1" applyBorder="1" applyProtection="1">
      <protection locked="0"/>
    </xf>
    <xf fontId="1" fillId="11" borderId="26" numFmtId="0" xfId="1" applyFont="1" applyFill="1" applyBorder="1">
      <protection locked="0"/>
    </xf>
    <xf fontId="1" fillId="10" borderId="35" numFmtId="162" xfId="1" applyNumberFormat="1" applyFont="1" applyFill="1" applyBorder="1" applyProtection="1">
      <protection locked="0"/>
    </xf>
    <xf fontId="16" fillId="10" borderId="36" numFmtId="4" xfId="1" applyNumberFormat="1" applyFont="1" applyFill="1" applyBorder="1" applyAlignment="1" applyProtection="1">
      <alignment horizontal="right" vertical="center" wrapText="1"/>
      <protection locked="0"/>
    </xf>
    <xf fontId="17" fillId="4" borderId="37" numFmtId="0" xfId="1" applyFont="1" applyFill="1" applyBorder="1" applyAlignment="1" applyProtection="1">
      <alignment horizontal="left" vertical="center" wrapText="1"/>
      <protection locked="0"/>
    </xf>
    <xf fontId="2" fillId="0" borderId="39" numFmtId="0" xfId="1" applyFont="1" applyBorder="1" applyProtection="1">
      <protection locked="0"/>
    </xf>
    <xf fontId="1" fillId="11" borderId="40" numFmtId="0" xfId="1" applyFont="1" applyFill="1" applyBorder="1" applyAlignment="1" applyProtection="1">
      <alignment wrapText="1"/>
      <protection locked="0"/>
    </xf>
    <xf fontId="7" fillId="0" borderId="10" numFmtId="0" xfId="1" applyFont="1" applyBorder="1" applyAlignment="1" applyProtection="1">
      <alignment horizontal="right" vertical="center" wrapText="1"/>
      <protection locked="0"/>
    </xf>
    <xf fontId="7" fillId="0" borderId="11" numFmtId="0" xfId="1" applyFont="1" applyBorder="1" applyAlignment="1" applyProtection="1">
      <alignment horizontal="right" vertical="center" wrapText="1"/>
      <protection locked="0"/>
    </xf>
    <xf fontId="7" fillId="0" borderId="15" numFmtId="0" xfId="1" applyFont="1" applyBorder="1" applyAlignment="1" applyProtection="1">
      <alignment horizontal="right" vertical="center" wrapText="1"/>
      <protection locked="0"/>
    </xf>
    <xf fontId="7" fillId="0" borderId="16" numFmtId="0" xfId="1" applyFont="1" applyBorder="1" applyAlignment="1" applyProtection="1">
      <alignment horizontal="right" vertical="center" wrapText="1"/>
      <protection locked="0"/>
    </xf>
    <xf fontId="1" fillId="9" borderId="51" numFmtId="162" xfId="1" applyNumberFormat="1" applyFont="1" applyFill="1" applyBorder="1" applyAlignment="1" applyProtection="1">
      <alignment horizontal="right"/>
      <protection locked="0"/>
    </xf>
    <xf fontId="1" fillId="10" borderId="51" numFmtId="162" xfId="1" applyNumberFormat="1" applyFont="1" applyFill="1" applyBorder="1" applyAlignment="1" applyProtection="1">
      <alignment horizontal="right"/>
      <protection locked="0"/>
    </xf>
    <xf fontId="13" fillId="17" borderId="34" numFmtId="0" xfId="1" applyFont="1" applyFill="1" applyBorder="1" applyAlignment="1" applyProtection="1">
      <alignment horizontal="left" vertical="center" wrapText="1"/>
      <protection locked="0"/>
    </xf>
    <xf fontId="1" fillId="17" borderId="23" numFmtId="0" xfId="1" applyFont="1" applyFill="1" applyBorder="1" applyProtection="1">
      <protection locked="0"/>
    </xf>
    <xf fontId="1" fillId="4" borderId="23" numFmtId="4" xfId="1" applyNumberFormat="1" applyFont="1" applyFill="1" applyBorder="1" applyProtection="1">
      <protection locked="0"/>
    </xf>
    <xf fontId="1" fillId="17" borderId="23" numFmtId="0" xfId="1" applyFont="1" applyFill="1" applyBorder="1" applyAlignment="1" applyProtection="1">
      <alignment wrapText="1"/>
      <protection locked="0"/>
    </xf>
    <xf fontId="0" fillId="9" borderId="0" numFmtId="0" xfId="1" applyFill="1"/>
    <xf fontId="1" fillId="11" borderId="26" numFmtId="3" xfId="1" applyNumberFormat="1" applyFont="1" applyFill="1" applyBorder="1" applyProtection="1">
      <protection locked="0"/>
    </xf>
    <xf fontId="16" fillId="0" borderId="36" numFmtId="4" xfId="1" applyNumberFormat="1" applyFont="1" applyBorder="1" applyAlignment="1" applyProtection="1">
      <alignment horizontal="right" vertical="center" wrapText="1"/>
      <protection locked="0"/>
    </xf>
    <xf fontId="1" fillId="0" borderId="76" numFmtId="0" xfId="1" applyFont="1" applyBorder="1" applyProtection="1">
      <protection locked="0"/>
    </xf>
    <xf fontId="1" fillId="0" borderId="77" numFmtId="0" xfId="1" applyFont="1" applyBorder="1" applyProtection="1">
      <protection locked="0"/>
    </xf>
    <xf fontId="17" fillId="11" borderId="66" numFmtId="0" xfId="1" applyFont="1" applyFill="1" applyBorder="1" applyAlignment="1" applyProtection="1">
      <alignment horizontal="left" vertical="center" wrapText="1"/>
      <protection locked="0"/>
    </xf>
    <xf fontId="4" fillId="11" borderId="23" numFmtId="0" xfId="1" applyFont="1" applyFill="1" applyBorder="1" applyProtection="1">
      <protection locked="0"/>
    </xf>
    <xf fontId="16" fillId="0" borderId="37" numFmtId="4" xfId="1" applyNumberFormat="1" applyFont="1" applyBorder="1" applyAlignment="1" applyProtection="1">
      <alignment horizontal="right" vertical="center" wrapText="1"/>
      <protection locked="0"/>
    </xf>
    <xf fontId="1" fillId="11" borderId="41" numFmtId="0" xfId="1" applyFont="1" applyFill="1" applyBorder="1" applyAlignment="1" applyProtection="1">
      <alignment wrapText="1"/>
      <protection locked="0"/>
    </xf>
    <xf fontId="1" fillId="10" borderId="51" numFmtId="4" xfId="1" applyNumberFormat="1" applyFont="1" applyFill="1" applyBorder="1" applyAlignment="1" applyProtection="1">
      <alignment horizontal="right"/>
      <protection locked="0"/>
    </xf>
    <xf fontId="1" fillId="0" borderId="41" numFmtId="0" xfId="1" applyFont="1" applyBorder="1" applyAlignment="1" applyProtection="1">
      <alignment horizontal="center" wrapText="1"/>
      <protection locked="0"/>
    </xf>
    <xf fontId="1" fillId="11" borderId="51" numFmtId="162" xfId="1" applyNumberFormat="1" applyFont="1" applyFill="1" applyBorder="1" applyAlignment="1" applyProtection="1">
      <alignment horizontal="right"/>
      <protection locked="0"/>
    </xf>
    <xf fontId="1" fillId="10" borderId="39" numFmtId="162" xfId="1" applyNumberFormat="1" applyFont="1" applyFill="1" applyBorder="1" applyProtection="1">
      <protection locked="0"/>
    </xf>
    <xf fontId="0" fillId="0" borderId="78" numFmtId="0" xfId="1" applyBorder="1"/>
    <xf fontId="0" fillId="0" borderId="79" numFmtId="0" xfId="1" applyBorder="1"/>
    <xf fontId="12" fillId="0" borderId="80" numFmtId="0" xfId="1" applyFont="1" applyBorder="1"/>
    <xf fontId="0" fillId="0" borderId="81" numFmtId="0" xfId="1" applyBorder="1"/>
    <xf fontId="0" fillId="0" borderId="82" numFmtId="0" xfId="1" applyBorder="1"/>
    <xf fontId="0" fillId="0" borderId="83" numFmtId="0" xfId="1" applyBorder="1"/>
    <xf fontId="12" fillId="0" borderId="84" numFmtId="0" xfId="1" applyFont="1" applyBorder="1"/>
    <xf fontId="12" fillId="0" borderId="85" numFmtId="0" xfId="1" applyFont="1" applyBorder="1"/>
    <xf fontId="12" fillId="0" borderId="86" numFmtId="0" xfId="1" applyFont="1" applyBorder="1"/>
    <xf fontId="0" fillId="0" borderId="87" numFmtId="0" xfId="1" applyBorder="1"/>
    <xf fontId="2" fillId="0" borderId="82" numFmtId="0" xfId="1" applyFont="1" applyBorder="1" applyAlignment="1">
      <alignment horizontal="center" vertical="center" wrapText="1"/>
    </xf>
    <xf fontId="0" fillId="0" borderId="88" numFmtId="0" xfId="1" applyBorder="1"/>
    <xf fontId="2" fillId="10" borderId="89" numFmtId="0" xfId="1" applyFont="1" applyFill="1" applyBorder="1" applyAlignment="1">
      <alignment horizontal="center" vertical="center" wrapText="1"/>
    </xf>
    <xf fontId="2" fillId="0" borderId="90" numFmtId="0" xfId="1" applyFont="1" applyBorder="1" applyAlignment="1">
      <alignment horizontal="center" vertical="center" wrapText="1"/>
    </xf>
    <xf fontId="2" fillId="0" borderId="83" numFmtId="0" xfId="1" applyFont="1" applyBorder="1" applyAlignment="1">
      <alignment horizontal="center" vertical="center" wrapText="1"/>
    </xf>
    <xf fontId="0" fillId="0" borderId="80" numFmtId="0" xfId="1" applyBorder="1"/>
    <xf fontId="2" fillId="0" borderId="91" numFmtId="0" xfId="1" applyFont="1" applyBorder="1" applyAlignment="1">
      <alignment horizontal="center" vertical="center" wrapText="1"/>
    </xf>
    <xf fontId="2" fillId="0" borderId="92" numFmtId="0" xfId="1" applyFont="1" applyBorder="1" applyAlignment="1">
      <alignment horizontal="center" vertical="center" wrapText="1"/>
    </xf>
    <xf fontId="0" fillId="0" borderId="87" numFmtId="0" xfId="1" applyBorder="1" applyAlignment="1">
      <alignment vertical="center"/>
    </xf>
    <xf fontId="1" fillId="10" borderId="40" numFmtId="162" xfId="1" applyNumberFormat="1" applyFont="1" applyFill="1" applyBorder="1" applyProtection="1"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5" Type="http://schemas.openxmlformats.org/officeDocument/2006/relationships/styles" Target="styles.xml"/><Relationship  Id="rId34" Type="http://schemas.openxmlformats.org/officeDocument/2006/relationships/sharedStrings" Target="sharedStrings.xml"/><Relationship  Id="rId33" Type="http://schemas.openxmlformats.org/officeDocument/2006/relationships/theme" Target="theme/theme1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19" Type="http://schemas.openxmlformats.org/officeDocument/2006/relationships/worksheet" Target="worksheets/sheet19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81" zoomScale="90" workbookViewId="0">
      <selection activeCell="D28" activeCellId="0" sqref="D28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v>46082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18" t="s">
        <v>3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29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/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9002A-006E-47F0-AAB8-00E500540022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">
    <outlinePr applyStyles="0" summaryBelow="1" summaryRight="1" showOutlineSymbols="1"/>
    <pageSetUpPr autoPageBreaks="1" fitToPage="1"/>
  </sheetPr>
  <sheetViews>
    <sheetView showGridLines="0" showRuler="1" topLeftCell="A77" zoomScale="90" workbookViewId="0">
      <selection activeCell="D103" activeCellId="0" sqref="D103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8.421875"/>
    <col customWidth="1" min="7" max="7" style="1" width="25.851562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'01'!C2+1</f>
        <v>46083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1255726.3300000003</v>
      </c>
      <c r="F4" s="88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1098652.53</v>
      </c>
      <c r="F5" s="89">
        <f>E18+E19+E20+E21+E22+E28+E29+E30+E32+E39+E40+E41+E42+E55+E56+E57+E58+E71+E72+E33</f>
        <v>6835937.0466666669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0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46960.599999999999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20193.610000000001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1110.6099999999999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45304.82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36646.690000000002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37"/>
      <c r="F16" s="37"/>
      <c r="G16" s="37"/>
      <c r="H16" s="37"/>
      <c r="I16" s="37"/>
      <c r="J16" s="37"/>
      <c r="K16" s="38"/>
    </row>
    <row r="17" ht="14.25" customHeight="1" outlineLevel="1">
      <c r="A17" s="92">
        <v>1</v>
      </c>
      <c r="B17" s="93" t="s">
        <v>41</v>
      </c>
      <c r="C17" s="46" t="s">
        <v>42</v>
      </c>
      <c r="D17" s="94" t="s">
        <v>43</v>
      </c>
      <c r="E17" s="95">
        <v>3500000</v>
      </c>
      <c r="F17" s="42" t="s">
        <v>44</v>
      </c>
      <c r="G17" s="40"/>
      <c r="H17" s="40" t="s">
        <v>45</v>
      </c>
      <c r="I17" s="40"/>
      <c r="J17" s="43" t="s">
        <v>46</v>
      </c>
      <c r="K17" s="44"/>
    </row>
    <row r="18" ht="14.25" customHeight="1" outlineLevel="1">
      <c r="A18" s="96">
        <v>2</v>
      </c>
      <c r="B18" s="97" t="s">
        <v>47</v>
      </c>
      <c r="C18" s="46" t="s">
        <v>48</v>
      </c>
      <c r="D18" s="46" t="s">
        <v>49</v>
      </c>
      <c r="E18" s="98">
        <v>1258656</v>
      </c>
      <c r="F18" s="40" t="s">
        <v>50</v>
      </c>
      <c r="G18" s="46"/>
      <c r="H18" s="40" t="s">
        <v>51</v>
      </c>
      <c r="I18" s="46" t="s">
        <v>52</v>
      </c>
      <c r="J18" s="49" t="s">
        <v>46</v>
      </c>
      <c r="K18" s="50"/>
    </row>
    <row r="19" ht="14.25" customHeight="1" outlineLevel="1">
      <c r="A19" s="96">
        <v>3</v>
      </c>
      <c r="B19" s="97" t="s">
        <v>47</v>
      </c>
      <c r="C19" s="46" t="s">
        <v>48</v>
      </c>
      <c r="D19" s="46" t="s">
        <v>49</v>
      </c>
      <c r="E19" s="98">
        <v>964908</v>
      </c>
      <c r="F19" s="46" t="s">
        <v>53</v>
      </c>
      <c r="G19" s="46"/>
      <c r="H19" s="40" t="s">
        <v>51</v>
      </c>
      <c r="I19" s="46" t="s">
        <v>52</v>
      </c>
      <c r="J19" s="49" t="s">
        <v>46</v>
      </c>
      <c r="K19" s="50"/>
    </row>
    <row r="20" ht="14.25" customHeight="1" outlineLevel="1">
      <c r="A20" s="96">
        <v>4</v>
      </c>
      <c r="B20" s="97" t="s">
        <v>47</v>
      </c>
      <c r="C20" s="46" t="s">
        <v>48</v>
      </c>
      <c r="D20" s="46" t="s">
        <v>49</v>
      </c>
      <c r="E20" s="98">
        <v>961716</v>
      </c>
      <c r="F20" s="46" t="s">
        <v>54</v>
      </c>
      <c r="G20" s="46"/>
      <c r="H20" s="40" t="s">
        <v>51</v>
      </c>
      <c r="I20" s="46" t="s">
        <v>52</v>
      </c>
      <c r="J20" s="49" t="s">
        <v>46</v>
      </c>
      <c r="K20" s="50"/>
    </row>
    <row r="21" ht="14.25" customHeight="1" outlineLevel="1">
      <c r="A21" s="96">
        <v>5</v>
      </c>
      <c r="B21" s="97" t="s">
        <v>47</v>
      </c>
      <c r="C21" s="46" t="s">
        <v>48</v>
      </c>
      <c r="D21" s="46" t="s">
        <v>49</v>
      </c>
      <c r="E21" s="98">
        <v>919128</v>
      </c>
      <c r="F21" s="46" t="s">
        <v>55</v>
      </c>
      <c r="G21" s="46"/>
      <c r="H21" s="40" t="s">
        <v>51</v>
      </c>
      <c r="I21" s="46" t="s">
        <v>52</v>
      </c>
      <c r="J21" s="49" t="s">
        <v>46</v>
      </c>
      <c r="K21" s="50"/>
    </row>
    <row r="22" ht="14.25" customHeight="1" outlineLevel="1">
      <c r="A22" s="96">
        <v>6</v>
      </c>
      <c r="B22" s="97" t="s">
        <v>47</v>
      </c>
      <c r="C22" s="46" t="s">
        <v>48</v>
      </c>
      <c r="D22" s="46" t="s">
        <v>49</v>
      </c>
      <c r="E22" s="98">
        <v>1718640</v>
      </c>
      <c r="F22" s="46" t="s">
        <v>56</v>
      </c>
      <c r="G22" s="46"/>
      <c r="H22" s="40" t="s">
        <v>51</v>
      </c>
      <c r="I22" s="46" t="s">
        <v>52</v>
      </c>
      <c r="J22" s="49" t="s">
        <v>46</v>
      </c>
      <c r="K22" s="50"/>
    </row>
    <row r="23" ht="14.25" customHeight="1" outlineLevel="1">
      <c r="A23" s="96">
        <v>7</v>
      </c>
      <c r="B23" s="97" t="s">
        <v>47</v>
      </c>
      <c r="C23" s="99" t="s">
        <v>57</v>
      </c>
      <c r="D23" s="99" t="s">
        <v>58</v>
      </c>
      <c r="E23" s="100">
        <v>2000000</v>
      </c>
      <c r="F23" s="48" t="s">
        <v>44</v>
      </c>
      <c r="G23" s="46"/>
      <c r="H23" s="40" t="s">
        <v>45</v>
      </c>
      <c r="I23" s="46"/>
      <c r="J23" s="49" t="s">
        <v>46</v>
      </c>
      <c r="K23" s="50"/>
    </row>
    <row r="24" ht="14.25" customHeight="1" outlineLevel="1">
      <c r="A24" s="45">
        <v>8</v>
      </c>
      <c r="B24" s="48" t="s">
        <v>59</v>
      </c>
      <c r="C24" s="46" t="s">
        <v>60</v>
      </c>
      <c r="D24" s="46" t="s">
        <v>61</v>
      </c>
      <c r="E24" s="101">
        <v>21431000</v>
      </c>
      <c r="F24" s="48" t="s">
        <v>44</v>
      </c>
      <c r="G24" s="46"/>
      <c r="H24" s="40" t="s">
        <v>45</v>
      </c>
      <c r="I24" s="46"/>
      <c r="J24" s="49"/>
      <c r="K24" s="50"/>
    </row>
    <row r="25" ht="28.5" outlineLevel="1">
      <c r="A25" s="45">
        <v>9</v>
      </c>
      <c r="B25" s="102" t="s">
        <v>62</v>
      </c>
      <c r="C25" s="103" t="s">
        <v>63</v>
      </c>
      <c r="D25" s="103" t="s">
        <v>64</v>
      </c>
      <c r="E25" s="104">
        <v>130859.77</v>
      </c>
      <c r="F25" s="102" t="s">
        <v>65</v>
      </c>
      <c r="G25" s="46"/>
      <c r="H25" s="40" t="s">
        <v>45</v>
      </c>
      <c r="J25" s="49"/>
      <c r="K25" s="50"/>
    </row>
    <row r="26" ht="14.25" customHeight="1" outlineLevel="1">
      <c r="A26" s="45">
        <v>10</v>
      </c>
      <c r="B26" s="48" t="s">
        <v>59</v>
      </c>
      <c r="C26" s="46" t="s">
        <v>60</v>
      </c>
      <c r="D26" s="46" t="s">
        <v>61</v>
      </c>
      <c r="E26" s="98">
        <v>1800000</v>
      </c>
      <c r="F26" s="48" t="s">
        <v>44</v>
      </c>
      <c r="G26" s="46"/>
      <c r="H26" s="40" t="s">
        <v>45</v>
      </c>
      <c r="I26" s="46" t="s">
        <v>66</v>
      </c>
      <c r="J26" s="49" t="s">
        <v>46</v>
      </c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0" t="s">
        <v>45</v>
      </c>
      <c r="I27" s="46"/>
      <c r="J27" s="49"/>
      <c r="K27" s="50"/>
    </row>
    <row r="28" ht="14.25" customHeight="1" outlineLevel="1">
      <c r="A28" s="39">
        <v>12</v>
      </c>
      <c r="B28" s="46" t="s">
        <v>67</v>
      </c>
      <c r="C28" s="46" t="s">
        <v>68</v>
      </c>
      <c r="D28" s="46" t="s">
        <v>69</v>
      </c>
      <c r="E28" s="98">
        <v>6175</v>
      </c>
      <c r="F28" s="48" t="s">
        <v>70</v>
      </c>
      <c r="G28" s="46"/>
      <c r="H28" s="40"/>
      <c r="I28" s="46"/>
      <c r="J28" s="49" t="s">
        <v>46</v>
      </c>
      <c r="K28" s="50"/>
    </row>
    <row r="29" ht="14.25" customHeight="1" outlineLevel="1">
      <c r="A29" s="45">
        <v>13</v>
      </c>
      <c r="B29" s="46" t="s">
        <v>67</v>
      </c>
      <c r="C29" s="46" t="s">
        <v>71</v>
      </c>
      <c r="D29" s="105" t="s">
        <v>72</v>
      </c>
      <c r="E29" s="98">
        <v>21467.220000000001</v>
      </c>
      <c r="F29" s="48" t="s">
        <v>70</v>
      </c>
      <c r="G29" s="46"/>
      <c r="H29" s="40"/>
      <c r="I29" s="46"/>
      <c r="J29" s="49" t="s">
        <v>46</v>
      </c>
      <c r="K29" s="50"/>
    </row>
    <row r="30" ht="14.25" customHeight="1" outlineLevel="1">
      <c r="A30" s="45">
        <v>14</v>
      </c>
      <c r="B30" s="46" t="s">
        <v>67</v>
      </c>
      <c r="C30" s="46" t="s">
        <v>73</v>
      </c>
      <c r="D30" s="46" t="s">
        <v>74</v>
      </c>
      <c r="E30" s="98">
        <v>8921.5</v>
      </c>
      <c r="F30" s="48" t="s">
        <v>70</v>
      </c>
      <c r="G30" s="46"/>
      <c r="H30" s="40"/>
      <c r="I30" s="46"/>
      <c r="J30" s="49" t="s">
        <v>46</v>
      </c>
      <c r="K30" s="50"/>
    </row>
    <row r="31" ht="14.25" customHeight="1" outlineLevel="1">
      <c r="A31" s="45">
        <v>15</v>
      </c>
      <c r="B31" s="46" t="s">
        <v>67</v>
      </c>
      <c r="C31" s="46" t="s">
        <v>75</v>
      </c>
      <c r="D31" s="46" t="s">
        <v>76</v>
      </c>
      <c r="E31" s="98">
        <v>2000000</v>
      </c>
      <c r="F31" s="48" t="s">
        <v>77</v>
      </c>
      <c r="G31" s="46"/>
      <c r="H31" s="40" t="s">
        <v>45</v>
      </c>
      <c r="I31" s="46"/>
      <c r="J31" s="49" t="s">
        <v>46</v>
      </c>
      <c r="K31" s="50"/>
    </row>
    <row r="32" ht="14.25" customHeight="1" outlineLevel="1">
      <c r="A32" s="45">
        <v>16</v>
      </c>
      <c r="B32" s="46"/>
      <c r="C32" s="46" t="s">
        <v>78</v>
      </c>
      <c r="D32" s="46"/>
      <c r="E32" s="98">
        <v>200000</v>
      </c>
      <c r="F32" s="48"/>
      <c r="G32" s="46"/>
      <c r="H32" s="46"/>
      <c r="I32" s="46"/>
      <c r="J32" s="49" t="s">
        <v>46</v>
      </c>
      <c r="K32" s="50"/>
    </row>
    <row r="33" ht="14.25" customHeight="1" outlineLevel="1">
      <c r="A33" s="45">
        <v>17</v>
      </c>
      <c r="B33" s="46"/>
      <c r="C33" s="46" t="s">
        <v>79</v>
      </c>
      <c r="D33" s="46"/>
      <c r="E33" s="98">
        <v>170000</v>
      </c>
      <c r="F33" s="48"/>
      <c r="G33" s="46"/>
      <c r="H33" s="46"/>
      <c r="I33" s="46"/>
      <c r="J33" s="49" t="s">
        <v>46</v>
      </c>
      <c r="K33" s="50"/>
    </row>
    <row r="34" ht="14.25" customHeight="1" outlineLevel="1">
      <c r="A34" s="45">
        <v>18</v>
      </c>
      <c r="B34" s="106" t="s">
        <v>80</v>
      </c>
      <c r="C34" s="46" t="s">
        <v>81</v>
      </c>
      <c r="D34" s="46"/>
      <c r="E34" s="98">
        <v>3000000</v>
      </c>
      <c r="F34" s="48"/>
      <c r="G34" s="46"/>
      <c r="H34" s="46"/>
      <c r="I34" s="46"/>
      <c r="J34" s="49" t="s">
        <v>46</v>
      </c>
      <c r="K34" s="50"/>
    </row>
    <row r="35" ht="14.25" customHeight="1" outlineLevel="1">
      <c r="A35" s="96">
        <v>19</v>
      </c>
      <c r="B35" s="93" t="s">
        <v>41</v>
      </c>
      <c r="C35" s="46" t="s">
        <v>82</v>
      </c>
      <c r="D35" s="46" t="s">
        <v>83</v>
      </c>
      <c r="E35" s="98">
        <v>810000</v>
      </c>
      <c r="F35" s="48" t="s">
        <v>44</v>
      </c>
      <c r="G35" s="46"/>
      <c r="H35" s="46"/>
      <c r="I35" s="46" t="s">
        <v>84</v>
      </c>
      <c r="J35" s="49" t="s">
        <v>46</v>
      </c>
      <c r="K35" s="50"/>
    </row>
    <row r="36" ht="14.25" customHeight="1" outlineLevel="1">
      <c r="A36" s="45">
        <v>20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21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s="34" customFormat="1" ht="25.5" customHeight="1" outlineLevel="1">
      <c r="A38" s="35"/>
      <c r="B38" s="37" t="s">
        <v>23</v>
      </c>
      <c r="C38" s="37"/>
      <c r="D38" s="37"/>
      <c r="E38" s="37"/>
      <c r="F38" s="37"/>
      <c r="G38" s="37"/>
      <c r="H38" s="37"/>
      <c r="I38" s="37"/>
      <c r="J38" s="37"/>
      <c r="K38" s="38"/>
    </row>
    <row r="39" ht="14.25" customHeight="1" outlineLevel="1">
      <c r="A39" s="39">
        <v>1</v>
      </c>
      <c r="B39" s="46" t="s">
        <v>85</v>
      </c>
      <c r="C39" s="46" t="s">
        <v>86</v>
      </c>
      <c r="D39" s="46" t="s">
        <v>87</v>
      </c>
      <c r="E39" s="98">
        <v>40000</v>
      </c>
      <c r="F39" s="48" t="s">
        <v>88</v>
      </c>
      <c r="G39" s="46" t="s">
        <v>89</v>
      </c>
      <c r="H39" s="46" t="s">
        <v>45</v>
      </c>
      <c r="I39" s="46"/>
      <c r="J39" s="49" t="s">
        <v>46</v>
      </c>
      <c r="K39" s="50"/>
    </row>
    <row r="40" ht="14.25" customHeight="1" outlineLevel="1">
      <c r="A40" s="45">
        <v>2</v>
      </c>
      <c r="B40" s="46" t="s">
        <v>90</v>
      </c>
      <c r="C40" s="46" t="s">
        <v>91</v>
      </c>
      <c r="D40" s="46" t="s">
        <v>92</v>
      </c>
      <c r="E40" s="98">
        <v>45000</v>
      </c>
      <c r="F40" s="48" t="s">
        <v>88</v>
      </c>
      <c r="G40" s="46" t="s">
        <v>89</v>
      </c>
      <c r="H40" s="46" t="s">
        <v>45</v>
      </c>
      <c r="I40" s="46" t="s">
        <v>93</v>
      </c>
      <c r="J40" s="49" t="s">
        <v>46</v>
      </c>
      <c r="K40" s="50"/>
    </row>
    <row r="41" ht="14.25" customHeight="1" outlineLevel="1">
      <c r="A41" s="45">
        <v>3</v>
      </c>
      <c r="B41" s="46" t="s">
        <v>90</v>
      </c>
      <c r="C41" s="46" t="s">
        <v>94</v>
      </c>
      <c r="D41" s="46" t="s">
        <v>95</v>
      </c>
      <c r="E41" s="98">
        <v>51866</v>
      </c>
      <c r="F41" s="48" t="s">
        <v>88</v>
      </c>
      <c r="G41" s="46" t="s">
        <v>89</v>
      </c>
      <c r="H41" s="46" t="s">
        <v>45</v>
      </c>
      <c r="I41" s="46" t="s">
        <v>96</v>
      </c>
      <c r="J41" s="49" t="s">
        <v>46</v>
      </c>
      <c r="K41" s="50"/>
    </row>
    <row r="42" ht="14.25" customHeight="1" outlineLevel="1">
      <c r="A42" s="45">
        <v>4</v>
      </c>
      <c r="B42" s="46" t="s">
        <v>97</v>
      </c>
      <c r="C42" s="46" t="s">
        <v>98</v>
      </c>
      <c r="D42" s="46" t="s">
        <v>99</v>
      </c>
      <c r="E42" s="98">
        <f>20000+20000+23000</f>
        <v>63000</v>
      </c>
      <c r="F42" s="48" t="s">
        <v>100</v>
      </c>
      <c r="G42" s="46" t="s">
        <v>89</v>
      </c>
      <c r="H42" s="46"/>
      <c r="I42" s="46"/>
      <c r="J42" s="49" t="s">
        <v>46</v>
      </c>
      <c r="K42" s="50"/>
    </row>
    <row r="43" ht="14.25" customHeight="1" outlineLevel="1">
      <c r="A43" s="45">
        <v>5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6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7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8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39">
        <v>9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10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11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12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13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14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15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s="34" customFormat="1" ht="25.5" customHeight="1" outlineLevel="1">
      <c r="A54" s="35"/>
      <c r="B54" s="37" t="s">
        <v>24</v>
      </c>
      <c r="C54" s="37"/>
      <c r="D54" s="37"/>
      <c r="E54" s="37"/>
      <c r="F54" s="37"/>
      <c r="G54" s="37"/>
      <c r="H54" s="37"/>
      <c r="I54" s="37"/>
      <c r="J54" s="91"/>
      <c r="K54" s="38"/>
    </row>
    <row r="55" ht="14.25" customHeight="1" outlineLevel="1">
      <c r="A55" s="51">
        <v>1</v>
      </c>
      <c r="B55" s="52" t="s">
        <v>101</v>
      </c>
      <c r="C55" s="52" t="s">
        <v>102</v>
      </c>
      <c r="D55" s="52" t="s">
        <v>103</v>
      </c>
      <c r="E55" s="107">
        <v>2314.5</v>
      </c>
      <c r="F55" s="54" t="s">
        <v>104</v>
      </c>
      <c r="G55" s="46" t="s">
        <v>89</v>
      </c>
      <c r="H55" s="52" t="s">
        <v>45</v>
      </c>
      <c r="I55" s="52"/>
      <c r="J55" s="49" t="s">
        <v>46</v>
      </c>
      <c r="K55" s="56"/>
    </row>
    <row r="56" ht="14.25" customHeight="1" outlineLevel="1">
      <c r="A56" s="45">
        <v>2</v>
      </c>
      <c r="B56" s="46" t="s">
        <v>101</v>
      </c>
      <c r="C56" s="46" t="s">
        <v>105</v>
      </c>
      <c r="D56" s="46" t="s">
        <v>106</v>
      </c>
      <c r="E56" s="98">
        <v>3037.1599999999999</v>
      </c>
      <c r="F56" s="48" t="s">
        <v>107</v>
      </c>
      <c r="G56" s="46" t="s">
        <v>89</v>
      </c>
      <c r="H56" s="46" t="s">
        <v>45</v>
      </c>
      <c r="I56" s="46"/>
      <c r="J56" s="49" t="s">
        <v>46</v>
      </c>
      <c r="K56" s="50"/>
    </row>
    <row r="57" ht="14.25" customHeight="1" outlineLevel="1">
      <c r="A57" s="45">
        <v>3</v>
      </c>
      <c r="B57" s="46" t="s">
        <v>101</v>
      </c>
      <c r="C57" s="46" t="s">
        <v>108</v>
      </c>
      <c r="D57" s="46" t="s">
        <v>109</v>
      </c>
      <c r="E57" s="98">
        <v>7700</v>
      </c>
      <c r="F57" s="48" t="s">
        <v>110</v>
      </c>
      <c r="G57" s="108" t="s">
        <v>111</v>
      </c>
      <c r="H57" s="46" t="s">
        <v>45</v>
      </c>
      <c r="I57" s="46"/>
      <c r="J57" s="49" t="s">
        <v>46</v>
      </c>
      <c r="K57" s="50"/>
    </row>
    <row r="58" ht="14.25" customHeight="1" outlineLevel="1">
      <c r="A58" s="45">
        <v>4</v>
      </c>
      <c r="B58" s="46" t="s">
        <v>112</v>
      </c>
      <c r="C58" s="46" t="s">
        <v>113</v>
      </c>
      <c r="D58" s="46" t="s">
        <v>114</v>
      </c>
      <c r="E58" s="109">
        <v>2850</v>
      </c>
      <c r="F58" s="48" t="s">
        <v>115</v>
      </c>
      <c r="G58" s="46" t="s">
        <v>89</v>
      </c>
      <c r="H58" s="46" t="s">
        <v>45</v>
      </c>
      <c r="I58" s="46"/>
      <c r="J58" s="49" t="s">
        <v>46</v>
      </c>
      <c r="K58" s="50"/>
    </row>
    <row r="59" ht="14.25" customHeight="1" outlineLevel="1">
      <c r="A59" s="45">
        <v>5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6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7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8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9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10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11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12</v>
      </c>
      <c r="B66" s="46"/>
      <c r="C66" s="46"/>
      <c r="D66" s="46"/>
      <c r="E66" s="47"/>
      <c r="F66" s="48"/>
      <c r="G66" s="46"/>
      <c r="H66" s="46"/>
      <c r="I66" s="46"/>
      <c r="J66" s="49"/>
      <c r="K66" s="50"/>
    </row>
    <row r="67" ht="14.25" customHeight="1" outlineLevel="1">
      <c r="A67" s="45">
        <v>13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14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15</v>
      </c>
      <c r="B69" s="57"/>
      <c r="C69" s="57"/>
      <c r="D69" s="57"/>
      <c r="E69" s="58"/>
      <c r="F69" s="59"/>
      <c r="G69" s="57"/>
      <c r="H69" s="57"/>
      <c r="I69" s="57"/>
      <c r="J69" s="60"/>
      <c r="K69" s="61"/>
    </row>
    <row r="70" s="34" customFormat="1" ht="25.5" customHeight="1" outlineLevel="1">
      <c r="A70" s="35"/>
      <c r="B70" s="36" t="s">
        <v>25</v>
      </c>
      <c r="C70" s="37"/>
      <c r="D70" s="37"/>
      <c r="E70" s="37"/>
      <c r="F70" s="37"/>
      <c r="G70" s="37"/>
      <c r="H70" s="37"/>
      <c r="I70" s="37"/>
      <c r="J70" s="37"/>
      <c r="K70" s="38"/>
    </row>
    <row r="71" ht="14.25" customHeight="1" outlineLevel="1">
      <c r="A71" s="96">
        <v>1</v>
      </c>
      <c r="B71" s="110" t="s">
        <v>116</v>
      </c>
      <c r="C71" s="111" t="s">
        <v>117</v>
      </c>
      <c r="D71" s="111" t="s">
        <v>118</v>
      </c>
      <c r="E71" s="112">
        <f>107379+223339+14519/3</f>
        <v>335557.66666666669</v>
      </c>
      <c r="F71" s="113" t="s">
        <v>119</v>
      </c>
      <c r="G71" s="48" t="s">
        <v>89</v>
      </c>
      <c r="H71" s="52"/>
      <c r="I71" s="52"/>
      <c r="J71" s="114" t="s">
        <v>46</v>
      </c>
      <c r="K71" s="56"/>
    </row>
    <row r="72" ht="14.25" customHeight="1" outlineLevel="1">
      <c r="A72" s="96">
        <v>2</v>
      </c>
      <c r="B72" s="111" t="s">
        <v>116</v>
      </c>
      <c r="C72" s="115" t="s">
        <v>120</v>
      </c>
      <c r="D72" s="46" t="s">
        <v>121</v>
      </c>
      <c r="E72" s="98">
        <v>55000</v>
      </c>
      <c r="F72" s="48" t="s">
        <v>122</v>
      </c>
      <c r="G72" s="48" t="s">
        <v>89</v>
      </c>
      <c r="H72" s="46"/>
      <c r="I72" s="46"/>
      <c r="J72" s="116" t="s">
        <v>46</v>
      </c>
      <c r="K72" s="50"/>
    </row>
    <row r="73" ht="14.25" customHeight="1" outlineLevel="1">
      <c r="A73" s="45">
        <v>3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4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5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6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7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8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9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10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11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12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ht="14.25" customHeight="1" outlineLevel="1">
      <c r="A83" s="45">
        <v>13</v>
      </c>
      <c r="B83" s="46"/>
      <c r="C83" s="46"/>
      <c r="D83" s="46"/>
      <c r="E83" s="47"/>
      <c r="F83" s="48"/>
      <c r="G83" s="46"/>
      <c r="H83" s="46"/>
      <c r="I83" s="46"/>
      <c r="J83" s="49"/>
      <c r="K83" s="50"/>
    </row>
    <row r="84" ht="14.25" customHeight="1" outlineLevel="1">
      <c r="A84" s="45">
        <v>14</v>
      </c>
      <c r="B84" s="46"/>
      <c r="C84" s="46"/>
      <c r="D84" s="46"/>
      <c r="E84" s="47"/>
      <c r="F84" s="48"/>
      <c r="G84" s="46"/>
      <c r="H84" s="46"/>
      <c r="I84" s="46"/>
      <c r="J84" s="49"/>
      <c r="K84" s="50"/>
    </row>
    <row r="85" ht="14.25" customHeight="1" outlineLevel="1">
      <c r="A85" s="45">
        <v>15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</row>
    <row r="86" s="34" customFormat="1" ht="25.5" customHeight="1" outlineLevel="1">
      <c r="A86" s="35"/>
      <c r="B86" s="36" t="s">
        <v>26</v>
      </c>
      <c r="C86" s="37"/>
      <c r="D86" s="37"/>
      <c r="E86" s="37"/>
      <c r="F86" s="37"/>
      <c r="G86" s="37"/>
      <c r="H86" s="37"/>
      <c r="I86" s="37"/>
      <c r="J86" s="37"/>
      <c r="K86" s="38"/>
    </row>
    <row r="87" ht="14.25" customHeight="1" outlineLevel="1">
      <c r="A87" s="51">
        <v>1</v>
      </c>
      <c r="B87" s="52" t="s">
        <v>123</v>
      </c>
      <c r="C87" s="52" t="s">
        <v>124</v>
      </c>
      <c r="D87" s="52" t="s">
        <v>125</v>
      </c>
      <c r="E87" s="107">
        <v>5800000</v>
      </c>
      <c r="F87" s="54" t="s">
        <v>126</v>
      </c>
      <c r="G87" s="52"/>
      <c r="H87" s="52"/>
      <c r="I87" s="52"/>
      <c r="J87" s="55" t="s">
        <v>46</v>
      </c>
      <c r="K87" s="56"/>
    </row>
    <row r="88" ht="14.25" customHeight="1" outlineLevel="1">
      <c r="A88" s="39">
        <v>2</v>
      </c>
      <c r="B88" s="40" t="s">
        <v>123</v>
      </c>
      <c r="C88" s="40" t="s">
        <v>124</v>
      </c>
      <c r="D88" s="40" t="s">
        <v>127</v>
      </c>
      <c r="E88" s="95">
        <v>2400000</v>
      </c>
      <c r="F88" s="42" t="s">
        <v>126</v>
      </c>
      <c r="G88" s="40"/>
      <c r="H88" s="40"/>
      <c r="I88" s="40"/>
      <c r="J88" s="43" t="s">
        <v>46</v>
      </c>
      <c r="K88" s="44"/>
    </row>
    <row r="89" ht="14.25" customHeight="1" outlineLevel="1">
      <c r="A89" s="39">
        <v>3</v>
      </c>
      <c r="B89" s="40"/>
      <c r="C89" s="40"/>
      <c r="D89" s="40"/>
      <c r="E89" s="41"/>
      <c r="F89" s="42"/>
      <c r="G89" s="40"/>
      <c r="H89" s="40"/>
      <c r="I89" s="40"/>
      <c r="J89" s="43"/>
      <c r="K89" s="44"/>
    </row>
    <row r="90" ht="14.25" customHeight="1" outlineLevel="1">
      <c r="A90" s="45">
        <v>4</v>
      </c>
      <c r="B90" s="46"/>
      <c r="C90" s="46"/>
      <c r="D90" s="46"/>
      <c r="E90" s="47"/>
      <c r="F90" s="48"/>
      <c r="G90" s="46"/>
      <c r="H90" s="46"/>
      <c r="I90" s="46"/>
      <c r="J90" s="49"/>
      <c r="K90" s="50"/>
    </row>
    <row r="91" ht="15" customHeight="1" outlineLevel="1">
      <c r="A91" s="62">
        <v>5</v>
      </c>
      <c r="B91" s="57"/>
      <c r="C91" s="57"/>
      <c r="D91" s="57"/>
      <c r="E91" s="58"/>
      <c r="F91" s="59"/>
      <c r="G91" s="57"/>
      <c r="H91" s="57"/>
      <c r="I91" s="57"/>
      <c r="J91" s="60"/>
      <c r="K91" s="61"/>
    </row>
    <row r="92" ht="23.100000000000001" customHeight="1">
      <c r="A92" s="63" t="s">
        <v>27</v>
      </c>
      <c r="B92" s="64"/>
      <c r="C92" s="64"/>
      <c r="D92" s="64"/>
      <c r="E92" s="65">
        <f>SUM(E16:E91)</f>
        <v>49707796.816666655</v>
      </c>
    </row>
    <row r="93" ht="23.100000000000001" customHeight="1">
      <c r="A93" s="63" t="s">
        <v>28</v>
      </c>
      <c r="B93" s="64"/>
      <c r="C93" s="64"/>
      <c r="D93" s="64"/>
      <c r="E93" s="65">
        <f>E4-E92</f>
        <v>-48452070.486666657</v>
      </c>
      <c r="F93" s="66"/>
    </row>
    <row r="94" ht="30.75" customHeight="1">
      <c r="A94" s="66"/>
      <c r="B94" s="66"/>
      <c r="C94" s="66"/>
      <c r="D94" s="66"/>
      <c r="E94" s="66"/>
      <c r="F94" s="66"/>
    </row>
    <row r="95" ht="30" customHeight="1">
      <c r="A95" s="9" t="s">
        <v>128</v>
      </c>
      <c r="B95" s="10"/>
      <c r="C95" s="10"/>
      <c r="D95" s="11"/>
      <c r="E95" s="67">
        <f>SUM(E96:E96)</f>
        <v>334483.25</v>
      </c>
      <c r="F95" s="88" t="s">
        <v>39</v>
      </c>
      <c r="G95" s="68" t="s">
        <v>30</v>
      </c>
      <c r="H95" s="13"/>
      <c r="I95" s="13"/>
    </row>
    <row r="96" ht="15" customHeight="1">
      <c r="A96" s="69" t="s">
        <v>31</v>
      </c>
      <c r="B96" s="70"/>
      <c r="C96" s="70"/>
      <c r="D96" s="71"/>
      <c r="E96" s="72">
        <v>334483.25</v>
      </c>
      <c r="F96" s="13"/>
      <c r="G96" s="13"/>
      <c r="H96" s="13"/>
      <c r="I96" s="13"/>
    </row>
    <row r="97" ht="4.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25.5" customHeight="1" outlineLevel="1">
      <c r="A98" s="31" t="s">
        <v>10</v>
      </c>
      <c r="B98" s="31" t="s">
        <v>11</v>
      </c>
      <c r="C98" s="31" t="s">
        <v>12</v>
      </c>
      <c r="D98" s="31" t="s">
        <v>13</v>
      </c>
      <c r="E98" s="32" t="s">
        <v>14</v>
      </c>
      <c r="F98" s="31" t="s">
        <v>15</v>
      </c>
      <c r="G98" s="31" t="s">
        <v>16</v>
      </c>
      <c r="H98" s="33" t="s">
        <v>17</v>
      </c>
      <c r="I98" s="31" t="s">
        <v>18</v>
      </c>
      <c r="J98" s="31" t="s">
        <v>19</v>
      </c>
      <c r="K98" s="31" t="s">
        <v>32</v>
      </c>
    </row>
    <row r="99" s="34" customFormat="1" ht="25.5" customHeight="1" outlineLevel="1">
      <c r="A99" s="35"/>
      <c r="B99" s="37" t="s">
        <v>33</v>
      </c>
      <c r="C99" s="37"/>
      <c r="D99" s="37"/>
      <c r="E99" s="37"/>
      <c r="F99" s="37"/>
      <c r="G99" s="37"/>
      <c r="H99" s="37"/>
      <c r="I99" s="37"/>
      <c r="J99" s="37"/>
      <c r="K99" s="38"/>
    </row>
    <row r="100" ht="14.4" outlineLevel="1">
      <c r="A100" s="39">
        <v>1</v>
      </c>
      <c r="B100" s="52" t="s">
        <v>101</v>
      </c>
      <c r="C100" s="52" t="s">
        <v>129</v>
      </c>
      <c r="D100" s="52" t="s">
        <v>130</v>
      </c>
      <c r="E100" s="107">
        <v>5770</v>
      </c>
      <c r="F100" s="54" t="s">
        <v>131</v>
      </c>
      <c r="G100" s="48" t="s">
        <v>89</v>
      </c>
      <c r="H100" s="52" t="s">
        <v>45</v>
      </c>
      <c r="I100" s="52"/>
      <c r="J100" s="55" t="s">
        <v>46</v>
      </c>
      <c r="K100" s="56"/>
    </row>
    <row r="101" s="117" customFormat="1" ht="28.5" outlineLevel="1">
      <c r="A101" s="118">
        <v>2</v>
      </c>
      <c r="B101" s="119" t="s">
        <v>132</v>
      </c>
      <c r="C101" s="119" t="s">
        <v>133</v>
      </c>
      <c r="D101" s="119" t="s">
        <v>134</v>
      </c>
      <c r="E101" s="120">
        <v>5000</v>
      </c>
      <c r="F101" s="119" t="s">
        <v>135</v>
      </c>
      <c r="G101" s="48" t="s">
        <v>89</v>
      </c>
      <c r="H101" s="52" t="s">
        <v>45</v>
      </c>
      <c r="I101" s="119"/>
      <c r="J101" s="121" t="s">
        <v>46</v>
      </c>
      <c r="K101" s="122"/>
    </row>
    <row r="102" ht="14.25" customHeight="1" outlineLevel="1">
      <c r="A102" s="39">
        <v>3</v>
      </c>
      <c r="B102" s="46" t="s">
        <v>112</v>
      </c>
      <c r="C102" s="46" t="s">
        <v>136</v>
      </c>
      <c r="D102" s="46" t="s">
        <v>137</v>
      </c>
      <c r="E102" s="98">
        <v>18204.740000000002</v>
      </c>
      <c r="F102" s="48" t="s">
        <v>138</v>
      </c>
      <c r="G102" s="48" t="s">
        <v>89</v>
      </c>
      <c r="H102" s="52" t="s">
        <v>45</v>
      </c>
      <c r="I102" s="46"/>
      <c r="J102" s="49" t="s">
        <v>46</v>
      </c>
      <c r="K102" s="50"/>
    </row>
    <row r="103" ht="14.25" customHeight="1" outlineLevel="1">
      <c r="A103" s="39">
        <v>4</v>
      </c>
      <c r="B103" s="46" t="s">
        <v>112</v>
      </c>
      <c r="C103" s="46" t="s">
        <v>136</v>
      </c>
      <c r="D103" s="46" t="s">
        <v>139</v>
      </c>
      <c r="E103" s="98">
        <v>6097.1000000000004</v>
      </c>
      <c r="F103" s="48" t="s">
        <v>138</v>
      </c>
      <c r="G103" s="48" t="s">
        <v>89</v>
      </c>
      <c r="H103" s="52" t="s">
        <v>45</v>
      </c>
      <c r="I103" s="46"/>
      <c r="J103" s="49" t="s">
        <v>46</v>
      </c>
      <c r="K103" s="50"/>
    </row>
    <row r="104" ht="14.25" customHeight="1" outlineLevel="1">
      <c r="A104" s="39">
        <v>5</v>
      </c>
      <c r="B104" s="46" t="s">
        <v>112</v>
      </c>
      <c r="C104" s="46" t="s">
        <v>113</v>
      </c>
      <c r="D104" s="46" t="s">
        <v>140</v>
      </c>
      <c r="E104" s="98">
        <v>1470</v>
      </c>
      <c r="F104" s="48" t="s">
        <v>115</v>
      </c>
      <c r="G104" s="48" t="s">
        <v>89</v>
      </c>
      <c r="H104" s="52" t="s">
        <v>45</v>
      </c>
      <c r="I104" s="46"/>
      <c r="J104" s="49" t="s">
        <v>46</v>
      </c>
      <c r="K104" s="50"/>
    </row>
    <row r="105" ht="14.25" customHeight="1" outlineLevel="1">
      <c r="A105" s="39">
        <v>6</v>
      </c>
      <c r="B105" s="46" t="s">
        <v>141</v>
      </c>
      <c r="C105" s="46" t="s">
        <v>142</v>
      </c>
      <c r="D105" s="46" t="s">
        <v>143</v>
      </c>
      <c r="E105" s="98">
        <v>17304.610000000001</v>
      </c>
      <c r="F105" s="48" t="s">
        <v>144</v>
      </c>
      <c r="G105" s="48" t="s">
        <v>89</v>
      </c>
      <c r="H105" s="46"/>
      <c r="I105" s="46"/>
      <c r="J105" s="49" t="s">
        <v>46</v>
      </c>
      <c r="K105" s="50"/>
    </row>
    <row r="106" ht="14.25" customHeight="1" outlineLevel="1">
      <c r="A106" s="39">
        <v>7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8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9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10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11</v>
      </c>
      <c r="B110" s="46"/>
      <c r="C110" s="46"/>
      <c r="D110" s="46"/>
      <c r="E110" s="47"/>
      <c r="F110" s="48"/>
      <c r="G110" s="46"/>
      <c r="H110" s="46"/>
      <c r="I110" s="46"/>
      <c r="J110" s="49"/>
      <c r="K110" s="50"/>
    </row>
    <row r="111" ht="14.25" customHeight="1" outlineLevel="1">
      <c r="A111" s="39">
        <v>12</v>
      </c>
      <c r="B111" s="46"/>
      <c r="C111" s="46"/>
      <c r="D111" s="46"/>
      <c r="E111" s="47"/>
      <c r="F111" s="48"/>
      <c r="G111" s="46"/>
      <c r="H111" s="46"/>
      <c r="I111" s="46"/>
      <c r="J111" s="49"/>
      <c r="K111" s="50"/>
    </row>
    <row r="112" ht="14.25" customHeight="1" outlineLevel="1">
      <c r="A112" s="39">
        <v>13</v>
      </c>
      <c r="B112" s="46"/>
      <c r="C112" s="46"/>
      <c r="D112" s="46"/>
      <c r="E112" s="47">
        <v>100000</v>
      </c>
      <c r="F112" s="48"/>
      <c r="G112" s="46"/>
      <c r="H112" s="46"/>
      <c r="I112" s="46"/>
      <c r="J112" s="49"/>
      <c r="K112" s="50"/>
    </row>
    <row r="113" ht="14.25" customHeight="1" outlineLevel="1">
      <c r="A113" s="39">
        <v>14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39">
        <v>15</v>
      </c>
      <c r="B114" s="57"/>
      <c r="C114" s="57"/>
      <c r="D114" s="57"/>
      <c r="E114" s="58"/>
      <c r="F114" s="59"/>
      <c r="G114" s="57"/>
      <c r="H114" s="57"/>
      <c r="I114" s="57"/>
      <c r="J114" s="60"/>
      <c r="K114" s="61"/>
    </row>
    <row r="115" s="34" customFormat="1" ht="25.5" customHeight="1" outlineLevel="1">
      <c r="A115" s="35"/>
      <c r="B115" s="37" t="s">
        <v>25</v>
      </c>
      <c r="C115" s="37"/>
      <c r="D115" s="37"/>
      <c r="E115" s="37"/>
      <c r="F115" s="37"/>
      <c r="G115" s="37"/>
      <c r="H115" s="37"/>
      <c r="I115" s="37"/>
      <c r="J115" s="37"/>
      <c r="K115" s="38"/>
    </row>
    <row r="116" ht="14.25" customHeight="1" outlineLevel="1">
      <c r="A116" s="51">
        <v>1</v>
      </c>
      <c r="B116" s="52"/>
      <c r="C116" s="52"/>
      <c r="D116" s="52"/>
      <c r="E116" s="53"/>
      <c r="F116" s="54"/>
      <c r="G116" s="52"/>
      <c r="H116" s="52"/>
      <c r="I116" s="52"/>
      <c r="J116" s="55"/>
      <c r="K116" s="56"/>
    </row>
    <row r="117" ht="14.25" customHeight="1" outlineLevel="1">
      <c r="A117" s="45">
        <v>2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3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4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5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6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7</v>
      </c>
      <c r="B122" s="46"/>
      <c r="C122" s="46"/>
      <c r="D122" s="46"/>
      <c r="E122" s="47"/>
      <c r="F122" s="48"/>
      <c r="G122" s="46"/>
      <c r="H122" s="46"/>
      <c r="I122" s="46"/>
      <c r="J122" s="49"/>
      <c r="K122" s="50"/>
    </row>
    <row r="123" ht="14.25" customHeight="1" outlineLevel="1">
      <c r="A123" s="45">
        <v>8</v>
      </c>
      <c r="B123" s="46"/>
      <c r="C123" s="46"/>
      <c r="D123" s="46"/>
      <c r="E123" s="47"/>
      <c r="F123" s="48"/>
      <c r="G123" s="46"/>
      <c r="H123" s="46"/>
      <c r="I123" s="46"/>
      <c r="J123" s="49"/>
      <c r="K123" s="50"/>
    </row>
    <row r="124" ht="14.25" customHeight="1" outlineLevel="1">
      <c r="A124" s="45">
        <v>9</v>
      </c>
      <c r="B124" s="46"/>
      <c r="C124" s="46"/>
      <c r="D124" s="46"/>
      <c r="E124" s="47"/>
      <c r="F124" s="48"/>
      <c r="G124" s="46"/>
      <c r="H124" s="46"/>
      <c r="I124" s="46"/>
      <c r="J124" s="49"/>
      <c r="K124" s="50"/>
    </row>
    <row r="125" ht="14.25" customHeight="1" outlineLevel="1">
      <c r="A125" s="45">
        <v>10</v>
      </c>
      <c r="B125" s="57"/>
      <c r="C125" s="57"/>
      <c r="D125" s="57"/>
      <c r="E125" s="58"/>
      <c r="F125" s="59"/>
      <c r="G125" s="57"/>
      <c r="H125" s="57"/>
      <c r="I125" s="57"/>
      <c r="J125" s="60"/>
      <c r="K125" s="61"/>
    </row>
    <row r="126" ht="23.100000000000001" customHeight="1">
      <c r="A126" s="63" t="s">
        <v>34</v>
      </c>
      <c r="B126" s="64"/>
      <c r="C126" s="64"/>
      <c r="D126" s="73"/>
      <c r="E126" s="65">
        <f>SUM(E99:E125)</f>
        <v>153846.45000000001</v>
      </c>
    </row>
    <row r="127" ht="23.100000000000001" customHeight="1">
      <c r="A127" s="63" t="s">
        <v>28</v>
      </c>
      <c r="B127" s="64"/>
      <c r="C127" s="64"/>
      <c r="D127" s="73"/>
      <c r="E127" s="65">
        <f>E95-E126</f>
        <v>180636.79999999999</v>
      </c>
      <c r="F127" s="66"/>
    </row>
    <row r="128" ht="24.75" customHeight="1">
      <c r="E128" s="1"/>
    </row>
    <row r="129" ht="30" customHeight="1">
      <c r="A129" s="74" t="s">
        <v>35</v>
      </c>
      <c r="B129" s="75"/>
      <c r="C129" s="75"/>
      <c r="D129" s="76"/>
      <c r="E129" s="77">
        <f>SUM(E130:E130)</f>
        <v>259104</v>
      </c>
      <c r="F129" s="13"/>
      <c r="G129" s="13"/>
      <c r="H129" s="13"/>
      <c r="I129" s="13"/>
    </row>
    <row r="130" ht="15" customHeight="1">
      <c r="A130" s="69" t="s">
        <v>36</v>
      </c>
      <c r="B130" s="70"/>
      <c r="C130" s="70"/>
      <c r="D130" s="71"/>
      <c r="E130" s="72">
        <v>259104</v>
      </c>
      <c r="F130" s="13"/>
      <c r="G130" s="13"/>
      <c r="H130" s="13"/>
      <c r="I130" s="13"/>
    </row>
    <row r="131" ht="5.25" customHeight="1">
      <c r="A131" s="13"/>
      <c r="B131" s="13"/>
      <c r="C131" s="13"/>
      <c r="D131" s="13"/>
      <c r="E131" s="13"/>
      <c r="F131" s="13"/>
      <c r="G131" s="13"/>
      <c r="H131" s="13"/>
      <c r="I131" s="13"/>
    </row>
    <row r="132" ht="25.5" customHeight="1" outlineLevel="1">
      <c r="A132" s="31" t="s">
        <v>10</v>
      </c>
      <c r="B132" s="31" t="s">
        <v>11</v>
      </c>
      <c r="C132" s="31" t="s">
        <v>12</v>
      </c>
      <c r="D132" s="31" t="s">
        <v>13</v>
      </c>
      <c r="E132" s="32" t="s">
        <v>14</v>
      </c>
      <c r="F132" s="31" t="s">
        <v>15</v>
      </c>
      <c r="G132" s="31" t="s">
        <v>16</v>
      </c>
      <c r="H132" s="33" t="s">
        <v>17</v>
      </c>
      <c r="I132" s="31" t="s">
        <v>18</v>
      </c>
      <c r="J132" s="31" t="s">
        <v>19</v>
      </c>
      <c r="K132" s="31" t="s">
        <v>32</v>
      </c>
    </row>
    <row r="133" s="34" customFormat="1" ht="18.75" customHeight="1" outlineLevel="1">
      <c r="A133" s="78"/>
      <c r="B133" s="123" t="s">
        <v>37</v>
      </c>
      <c r="C133" s="124"/>
      <c r="D133" s="125"/>
      <c r="E133" s="126"/>
      <c r="F133" s="123"/>
      <c r="G133" s="79"/>
      <c r="H133" s="79"/>
      <c r="I133" s="79"/>
      <c r="J133" s="79"/>
      <c r="K133" s="83"/>
    </row>
    <row r="134" ht="14.25" customHeight="1" outlineLevel="1">
      <c r="A134" s="127">
        <v>1</v>
      </c>
      <c r="B134" s="128" t="s">
        <v>116</v>
      </c>
      <c r="C134" s="129" t="s">
        <v>117</v>
      </c>
      <c r="D134" s="129" t="s">
        <v>118</v>
      </c>
      <c r="E134" s="130">
        <f>34797</f>
        <v>34797</v>
      </c>
      <c r="F134" s="129" t="s">
        <v>145</v>
      </c>
      <c r="G134" s="131"/>
      <c r="H134" s="132"/>
      <c r="I134" s="132"/>
      <c r="J134" s="133" t="s">
        <v>146</v>
      </c>
      <c r="K134" s="134"/>
    </row>
    <row r="135" ht="14.25" customHeight="1" outlineLevel="1">
      <c r="A135" s="45">
        <v>2</v>
      </c>
      <c r="B135" s="40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3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4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4.25" customHeight="1" outlineLevel="1">
      <c r="A138" s="45">
        <v>5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4.25" customHeight="1" outlineLevel="1">
      <c r="A139" s="45">
        <v>6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4.25" customHeight="1" outlineLevel="1">
      <c r="A140" s="45">
        <v>7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8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9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10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11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45">
        <v>12</v>
      </c>
      <c r="B145" s="46"/>
      <c r="C145" s="46"/>
      <c r="D145" s="46"/>
      <c r="E145" s="47"/>
      <c r="F145" s="48"/>
      <c r="G145" s="46"/>
      <c r="H145" s="46"/>
      <c r="I145" s="46"/>
      <c r="J145" s="49"/>
      <c r="K145" s="50"/>
    </row>
    <row r="146" ht="15.75" customHeight="1" outlineLevel="1">
      <c r="A146" s="45">
        <v>13</v>
      </c>
      <c r="B146" s="46"/>
      <c r="C146" s="46"/>
      <c r="D146" s="46"/>
      <c r="E146" s="47"/>
      <c r="F146" s="48"/>
      <c r="G146" s="46"/>
      <c r="H146" s="46"/>
      <c r="I146" s="46"/>
      <c r="J146" s="49"/>
      <c r="K146" s="50"/>
    </row>
    <row r="147" ht="15.75" customHeight="1" outlineLevel="1">
      <c r="A147" s="45">
        <v>14</v>
      </c>
      <c r="B147" s="46"/>
      <c r="C147" s="46"/>
      <c r="D147" s="46"/>
      <c r="E147" s="47"/>
      <c r="F147" s="48"/>
      <c r="G147" s="46"/>
      <c r="H147" s="46"/>
      <c r="I147" s="46"/>
      <c r="J147" s="49"/>
      <c r="K147" s="50"/>
    </row>
    <row r="148" ht="15.75" customHeight="1" outlineLevel="1">
      <c r="A148" s="62">
        <v>15</v>
      </c>
      <c r="B148" s="57"/>
      <c r="C148" s="57"/>
      <c r="D148" s="57"/>
      <c r="E148" s="58"/>
      <c r="F148" s="59"/>
      <c r="G148" s="57"/>
      <c r="H148" s="57"/>
      <c r="I148" s="57"/>
      <c r="J148" s="60"/>
      <c r="K148" s="61"/>
    </row>
    <row r="149" ht="23.100000000000001" customHeight="1">
      <c r="A149" s="84" t="s">
        <v>38</v>
      </c>
      <c r="B149" s="85"/>
      <c r="C149" s="85"/>
      <c r="D149" s="86"/>
      <c r="E149" s="87">
        <f>SUM(E133:E148)</f>
        <v>34797</v>
      </c>
    </row>
    <row r="150" ht="23.100000000000001" customHeight="1">
      <c r="A150" s="84" t="s">
        <v>28</v>
      </c>
      <c r="B150" s="85"/>
      <c r="C150" s="85"/>
      <c r="D150" s="86"/>
      <c r="E150" s="87">
        <f>E129-E149</f>
        <v>224307</v>
      </c>
      <c r="F150" s="66"/>
    </row>
    <row r="208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92:D92"/>
    <mergeCell ref="A93:D93"/>
    <mergeCell ref="A95:D95"/>
    <mergeCell ref="A96:D96"/>
    <mergeCell ref="A126:D126"/>
    <mergeCell ref="A127:D127"/>
    <mergeCell ref="A129:D129"/>
    <mergeCell ref="A130:D130"/>
    <mergeCell ref="A149:D149"/>
    <mergeCell ref="A150:D150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7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1">
        <x14:dataValidation xr:uid="{00750082-0047-478B-9760-002300F70002}" type="list" allowBlank="1" errorStyle="stop" imeMode="noControl" operator="between" showDropDown="0" showErrorMessage="1" showInputMessage="1">
          <x14:formula1>
            <xm:f>ДаНет</xm:f>
          </x14:formula1>
          <xm:sqref>H73:H85 H55:H69 H135:H148 H87:H91 H100 H105:H114 H116:H125 H17 H32:H37 H39:H53 H101 H102 H103 H104 H18 H23 H24 H25 H27 H28 H29 H30 H31 H19 H20 H21 H22</xm:sqref>
        </x14:dataValidation>
        <x14:dataValidation xr:uid="{001200A5-0089-43D5-88E4-00740034009E}" type="list" allowBlank="1" errorStyle="stop" imeMode="noControl" operator="between" showDropDown="0" showErrorMessage="1" showInputMessage="1">
          <x14:formula1>
            <xm:f>ДаНет</xm:f>
          </x14:formula1>
          <xm:sqref>I71:I72</xm:sqref>
        </x14:dataValidation>
        <x14:dataValidation xr:uid="{0003009A-00D1-46E1-A4EC-002600ED00DB}" type="list" allowBlank="1" errorStyle="stop" imeMode="noControl" operator="between" showDropDown="0" showErrorMessage="1" showInputMessage="1">
          <x14:formula1>
            <xm:f>ДаНет</xm:f>
          </x14:formula1>
          <xm:sqref>I134</xm:sqref>
        </x14:dataValidation>
        <x14:dataValidation xr:uid="{00F0005E-0090-4CED-A42F-0066007F0025}" type="list" allowBlank="1" errorStyle="stop" imeMode="noControl" operator="between" showDropDown="0" showErrorMessage="1" showInputMessage="1">
          <x14:formula1>
            <xm:f>ДаНет</xm:f>
          </x14:formula1>
          <xm:sqref>H26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3">
    <outlinePr applyStyles="0" summaryBelow="1" summaryRight="1" showOutlineSymbols="1"/>
    <pageSetUpPr autoPageBreaks="1" fitToPage="1"/>
  </sheetPr>
  <sheetViews>
    <sheetView showGridLines="0" showRuler="1" topLeftCell="A10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20.00390625"/>
    <col customWidth="1" min="3" max="3" style="1" width="26"/>
    <col customWidth="1" min="4" max="4" style="1" width="42.421875"/>
    <col customWidth="1" min="5" max="5" style="1" width="26"/>
    <col customWidth="1" min="6" max="6" style="1" width="36.140625"/>
    <col customWidth="1" min="7" max="7" style="1" width="21.574218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'02'!C2+1</f>
        <v>46084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181876.70999999999</v>
      </c>
      <c r="F4" s="136" t="s">
        <v>39</v>
      </c>
      <c r="G4" s="137"/>
      <c r="H4" s="137"/>
      <c r="I4" s="138"/>
      <c r="J4" s="137"/>
    </row>
    <row r="5">
      <c r="A5" s="14" t="s">
        <v>1</v>
      </c>
      <c r="B5" s="15"/>
      <c r="C5" s="15"/>
      <c r="D5" s="16"/>
      <c r="E5" s="17">
        <v>29102.880000000001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0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17693.610000000001</v>
      </c>
      <c r="F9" s="13"/>
      <c r="G9" s="13"/>
      <c r="H9" s="13"/>
      <c r="I9" s="13"/>
    </row>
    <row r="10" ht="15.75" customHeight="1">
      <c r="A10" s="23" t="s">
        <v>147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45304.82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36646.690000000002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7" t="s">
        <v>148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6" t="s">
        <v>67</v>
      </c>
      <c r="C17" s="46" t="s">
        <v>75</v>
      </c>
      <c r="D17" s="46" t="s">
        <v>76</v>
      </c>
      <c r="E17" s="98">
        <v>3150538.0899999999</v>
      </c>
      <c r="F17" s="48" t="s">
        <v>77</v>
      </c>
      <c r="G17" s="40"/>
      <c r="H17" s="40" t="s">
        <v>45</v>
      </c>
      <c r="I17" s="40"/>
      <c r="J17" s="43" t="s">
        <v>46</v>
      </c>
      <c r="K17" s="44"/>
    </row>
    <row r="18" ht="14.25" customHeight="1" outlineLevel="1">
      <c r="A18" s="96">
        <v>2</v>
      </c>
      <c r="B18" s="97" t="s">
        <v>47</v>
      </c>
      <c r="C18" s="99" t="s">
        <v>57</v>
      </c>
      <c r="D18" s="99" t="s">
        <v>58</v>
      </c>
      <c r="E18" s="47">
        <v>304000000</v>
      </c>
      <c r="F18" s="48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45">
        <v>3</v>
      </c>
      <c r="B19" s="48" t="s">
        <v>59</v>
      </c>
      <c r="C19" s="46" t="s">
        <v>60</v>
      </c>
      <c r="D19" s="46" t="s">
        <v>61</v>
      </c>
      <c r="E19" s="47">
        <f>21431000-1800000-2200000</f>
        <v>17431000</v>
      </c>
      <c r="F19" s="48" t="s">
        <v>44</v>
      </c>
      <c r="G19" s="46"/>
      <c r="H19" s="46" t="s">
        <v>45</v>
      </c>
      <c r="I19" s="46"/>
      <c r="J19" s="49"/>
      <c r="K19" s="50"/>
    </row>
    <row r="20" ht="14.25" customHeight="1" outlineLevel="1">
      <c r="A20" s="45">
        <v>4</v>
      </c>
      <c r="B20" s="48" t="s">
        <v>59</v>
      </c>
      <c r="C20" s="46" t="s">
        <v>149</v>
      </c>
      <c r="D20" s="46" t="s">
        <v>150</v>
      </c>
      <c r="E20" s="98">
        <v>204970.70000000001</v>
      </c>
      <c r="F20" s="48" t="s">
        <v>44</v>
      </c>
      <c r="G20" s="46"/>
      <c r="H20" s="46" t="s">
        <v>45</v>
      </c>
      <c r="I20" s="46"/>
      <c r="J20" s="49" t="s">
        <v>46</v>
      </c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96">
        <v>7</v>
      </c>
      <c r="B23" s="97" t="s">
        <v>47</v>
      </c>
      <c r="C23" s="99" t="s">
        <v>57</v>
      </c>
      <c r="D23" s="99" t="s">
        <v>58</v>
      </c>
      <c r="E23" s="98">
        <v>2000000</v>
      </c>
      <c r="F23" s="48" t="s">
        <v>44</v>
      </c>
      <c r="G23" s="46"/>
      <c r="H23" s="46" t="s">
        <v>45</v>
      </c>
      <c r="I23" s="46" t="s">
        <v>151</v>
      </c>
      <c r="J23" s="49" t="s">
        <v>46</v>
      </c>
      <c r="K23" s="50"/>
    </row>
    <row r="24" ht="14.25" customHeight="1" outlineLevel="1">
      <c r="A24" s="45">
        <v>8</v>
      </c>
      <c r="B24" s="48" t="s">
        <v>59</v>
      </c>
      <c r="C24" s="46" t="s">
        <v>60</v>
      </c>
      <c r="D24" s="46" t="s">
        <v>61</v>
      </c>
      <c r="E24" s="98">
        <v>2200000</v>
      </c>
      <c r="F24" s="48" t="s">
        <v>44</v>
      </c>
      <c r="G24" s="46"/>
      <c r="H24" s="46" t="s">
        <v>45</v>
      </c>
      <c r="I24" s="46" t="s">
        <v>151</v>
      </c>
      <c r="J24" s="49" t="s">
        <v>46</v>
      </c>
      <c r="K24" s="50"/>
    </row>
    <row r="25" ht="14.25" customHeight="1" outlineLevel="1">
      <c r="A25" s="39">
        <v>9</v>
      </c>
      <c r="B25" s="46" t="s">
        <v>152</v>
      </c>
      <c r="C25" s="46" t="s">
        <v>153</v>
      </c>
      <c r="D25" s="46">
        <v>2022</v>
      </c>
      <c r="E25" s="98">
        <v>2000000</v>
      </c>
      <c r="G25" s="46"/>
      <c r="H25" s="46" t="s">
        <v>45</v>
      </c>
      <c r="I25" s="46" t="s">
        <v>151</v>
      </c>
      <c r="J25" s="49" t="s">
        <v>46</v>
      </c>
      <c r="K25" s="50"/>
    </row>
    <row r="26" ht="14.25" customHeight="1" outlineLevel="1">
      <c r="A26" s="45">
        <v>10</v>
      </c>
      <c r="B26" s="46" t="s">
        <v>152</v>
      </c>
      <c r="C26" s="46" t="s">
        <v>154</v>
      </c>
      <c r="D26" s="46">
        <v>202057</v>
      </c>
      <c r="E26" s="98">
        <v>2000000</v>
      </c>
      <c r="F26" s="48"/>
      <c r="G26" s="46"/>
      <c r="H26" s="46" t="s">
        <v>45</v>
      </c>
      <c r="I26" s="46" t="s">
        <v>151</v>
      </c>
      <c r="J26" s="49" t="s">
        <v>46</v>
      </c>
      <c r="K26" s="50"/>
    </row>
    <row r="27" ht="14.25" customHeight="1" outlineLevel="1">
      <c r="A27" s="45">
        <v>11</v>
      </c>
      <c r="B27" s="10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96">
        <v>12</v>
      </c>
      <c r="B28" s="139" t="s">
        <v>41</v>
      </c>
      <c r="C28" s="46" t="s">
        <v>42</v>
      </c>
      <c r="D28" s="94" t="s">
        <v>43</v>
      </c>
      <c r="E28" s="98">
        <v>3360000</v>
      </c>
      <c r="F28" s="48" t="s">
        <v>44</v>
      </c>
      <c r="G28" s="46"/>
      <c r="H28" s="46" t="s">
        <v>45</v>
      </c>
      <c r="I28" s="46"/>
      <c r="J28" s="49" t="s">
        <v>46</v>
      </c>
      <c r="K28" s="50"/>
    </row>
    <row r="29" ht="14.25" customHeight="1" outlineLevel="1">
      <c r="A29" s="96">
        <v>13</v>
      </c>
      <c r="B29" s="93" t="s">
        <v>41</v>
      </c>
      <c r="C29" s="46" t="s">
        <v>42</v>
      </c>
      <c r="D29" s="94" t="s">
        <v>43</v>
      </c>
      <c r="E29" s="98">
        <v>15000000</v>
      </c>
      <c r="F29" s="48" t="s">
        <v>44</v>
      </c>
      <c r="G29" s="46"/>
      <c r="H29" s="46"/>
      <c r="I29" s="46"/>
      <c r="J29" s="49" t="s">
        <v>46</v>
      </c>
      <c r="K29" s="50"/>
    </row>
    <row r="30" ht="14.25" customHeight="1" outlineLevel="1">
      <c r="A30" s="96">
        <v>14</v>
      </c>
      <c r="B30" s="97" t="s">
        <v>47</v>
      </c>
      <c r="C30" s="99" t="s">
        <v>57</v>
      </c>
      <c r="D30" s="99" t="s">
        <v>58</v>
      </c>
      <c r="E30" s="98">
        <v>7000000</v>
      </c>
      <c r="F30" s="48" t="s">
        <v>44</v>
      </c>
      <c r="G30" s="46"/>
      <c r="H30" s="46"/>
      <c r="I30" s="46"/>
      <c r="J30" s="49" t="s">
        <v>46</v>
      </c>
      <c r="K30" s="50"/>
    </row>
    <row r="31" ht="14.25" customHeight="1" outlineLevel="1">
      <c r="A31" s="45">
        <v>15</v>
      </c>
      <c r="B31" s="46" t="s">
        <v>152</v>
      </c>
      <c r="C31" s="46" t="s">
        <v>153</v>
      </c>
      <c r="D31" s="46">
        <v>2022</v>
      </c>
      <c r="E31" s="98">
        <v>7000000</v>
      </c>
      <c r="F31" s="48"/>
      <c r="G31" s="46"/>
      <c r="H31" s="46"/>
      <c r="I31" s="46"/>
      <c r="J31" s="49" t="s">
        <v>46</v>
      </c>
      <c r="K31" s="50"/>
    </row>
    <row r="32" ht="14.25" customHeight="1" outlineLevel="1">
      <c r="A32" s="45">
        <v>16</v>
      </c>
      <c r="B32" s="46" t="s">
        <v>152</v>
      </c>
      <c r="C32" s="46" t="s">
        <v>154</v>
      </c>
      <c r="D32" s="46">
        <v>202057</v>
      </c>
      <c r="E32" s="98">
        <v>7000000</v>
      </c>
      <c r="F32" s="48"/>
      <c r="G32" s="46"/>
      <c r="H32" s="46"/>
      <c r="I32" s="46"/>
      <c r="J32" s="49" t="s">
        <v>46</v>
      </c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91" t="s">
        <v>23</v>
      </c>
      <c r="C35" s="91"/>
      <c r="D35" s="91"/>
      <c r="E35" s="91"/>
      <c r="F35" s="37"/>
      <c r="G35" s="37"/>
      <c r="H35" s="37"/>
      <c r="I35" s="37"/>
      <c r="J35" s="37"/>
      <c r="K35" s="38"/>
    </row>
    <row r="36" ht="14.25" customHeight="1" outlineLevel="1">
      <c r="A36" s="92">
        <v>1</v>
      </c>
      <c r="B36" s="140"/>
      <c r="C36" s="140"/>
      <c r="D36" s="140"/>
      <c r="E36" s="140"/>
      <c r="F36" s="141"/>
      <c r="G36" s="46"/>
      <c r="H36" s="46"/>
      <c r="I36" s="46"/>
      <c r="J36" s="49"/>
      <c r="K36" s="50"/>
    </row>
    <row r="37" ht="14.25" customHeight="1" outlineLevel="1">
      <c r="A37" s="96">
        <v>2</v>
      </c>
      <c r="B37" s="140"/>
      <c r="C37" s="140"/>
      <c r="D37" s="140"/>
      <c r="E37" s="140"/>
      <c r="F37" s="141"/>
      <c r="G37" s="46"/>
      <c r="H37" s="46"/>
      <c r="I37" s="46"/>
      <c r="J37" s="49"/>
      <c r="K37" s="50"/>
    </row>
    <row r="38" ht="14.25" customHeight="1" outlineLevel="1">
      <c r="A38" s="96">
        <v>3</v>
      </c>
      <c r="B38" s="140"/>
      <c r="C38" s="140"/>
      <c r="D38" s="140"/>
      <c r="E38" s="140"/>
      <c r="F38" s="141"/>
      <c r="G38" s="46"/>
      <c r="H38" s="46"/>
      <c r="I38" s="46"/>
      <c r="J38" s="49"/>
      <c r="K38" s="50"/>
    </row>
    <row r="39" ht="14.25" customHeight="1" outlineLevel="1">
      <c r="A39" s="96">
        <v>4</v>
      </c>
      <c r="B39" s="140"/>
      <c r="C39" s="140"/>
      <c r="D39" s="140"/>
      <c r="E39" s="140"/>
      <c r="F39" s="141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0"/>
      <c r="C40" s="40"/>
      <c r="D40" s="40"/>
      <c r="E40" s="41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 t="s">
        <v>112</v>
      </c>
      <c r="C52" s="52" t="s">
        <v>155</v>
      </c>
      <c r="D52" s="52"/>
      <c r="E52" s="107">
        <v>22600</v>
      </c>
      <c r="F52" s="54" t="s">
        <v>156</v>
      </c>
      <c r="G52" s="52" t="s">
        <v>89</v>
      </c>
      <c r="H52" s="52"/>
      <c r="I52" s="52"/>
      <c r="J52" s="55" t="s">
        <v>46</v>
      </c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30" outlineLevel="1">
      <c r="A68" s="45">
        <v>1</v>
      </c>
      <c r="B68" s="142" t="s">
        <v>157</v>
      </c>
      <c r="C68" s="142" t="s">
        <v>117</v>
      </c>
      <c r="D68" s="142" t="s">
        <v>118</v>
      </c>
      <c r="E68" s="98">
        <v>210000</v>
      </c>
      <c r="F68" s="48" t="s">
        <v>158</v>
      </c>
      <c r="G68" s="46" t="s">
        <v>89</v>
      </c>
      <c r="H68" s="46"/>
      <c r="I68" s="46" t="s">
        <v>159</v>
      </c>
      <c r="J68" s="55" t="s">
        <v>46</v>
      </c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 t="s">
        <v>123</v>
      </c>
      <c r="C84" s="52" t="s">
        <v>124</v>
      </c>
      <c r="D84" s="52" t="s">
        <v>125</v>
      </c>
      <c r="E84" s="107">
        <v>5800000</v>
      </c>
      <c r="F84" s="54" t="s">
        <v>126</v>
      </c>
      <c r="G84" s="52"/>
      <c r="H84" s="52"/>
      <c r="I84" s="52"/>
      <c r="J84" s="55" t="s">
        <v>46</v>
      </c>
      <c r="K84" s="56"/>
    </row>
    <row r="85" ht="14.25" customHeight="1" outlineLevel="1">
      <c r="A85" s="39">
        <v>2</v>
      </c>
      <c r="B85" s="40" t="s">
        <v>123</v>
      </c>
      <c r="C85" s="40" t="s">
        <v>124</v>
      </c>
      <c r="D85" s="40" t="s">
        <v>127</v>
      </c>
      <c r="E85" s="95">
        <v>2400000</v>
      </c>
      <c r="F85" s="42" t="s">
        <v>126</v>
      </c>
      <c r="G85" s="40"/>
      <c r="H85" s="40"/>
      <c r="I85" s="40"/>
      <c r="J85" s="43" t="s">
        <v>46</v>
      </c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380779108.78999996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-380597232.07999998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280476.79999999999</v>
      </c>
      <c r="F92" s="88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280476.79999999999</v>
      </c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 t="s">
        <v>112</v>
      </c>
      <c r="C97" s="52" t="s">
        <v>160</v>
      </c>
      <c r="D97" s="52"/>
      <c r="E97" s="107">
        <v>22600</v>
      </c>
      <c r="F97" s="54" t="s">
        <v>161</v>
      </c>
      <c r="G97" s="108" t="s">
        <v>162</v>
      </c>
      <c r="H97" s="52"/>
      <c r="I97" s="52"/>
      <c r="J97" s="55" t="s">
        <v>46</v>
      </c>
      <c r="K97" s="56"/>
    </row>
    <row r="98" ht="14.25" customHeight="1" outlineLevel="1">
      <c r="A98" s="39">
        <v>2</v>
      </c>
      <c r="B98" s="46" t="s">
        <v>141</v>
      </c>
      <c r="C98" s="46" t="s">
        <v>163</v>
      </c>
      <c r="D98" s="46" t="s">
        <v>164</v>
      </c>
      <c r="E98" s="98">
        <v>6000</v>
      </c>
      <c r="F98" s="48" t="s">
        <v>165</v>
      </c>
      <c r="G98" s="46" t="s">
        <v>166</v>
      </c>
      <c r="H98" s="46"/>
      <c r="I98" s="46"/>
      <c r="J98" s="49" t="s">
        <v>46</v>
      </c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128600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151876.79999999999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259104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259104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259104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4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80088-009F-42C9-AD72-001C00820087}" type="list" allowBlank="1" errorStyle="stop" imeMode="noControl" operator="between" showDropDown="0" showErrorMessage="1" showInputMessage="1">
          <x14:formula1>
            <xm:f>ДаНет</xm:f>
          </x14:formula1>
          <xm:sqref>H69:H82 H52:H66 H131:H145 H84:H88 H97:H111 H113:H122 H17:H34 H36:H50</xm:sqref>
        </x14:dataValidation>
        <x14:dataValidation xr:uid="{006100BB-002A-4E86-B34C-008400FC00D3}" type="list" allowBlank="1" errorStyle="stop" imeMode="noControl" operator="between" showDropDown="0" showErrorMessage="1" showInputMessage="1">
          <x14:formula1>
            <xm:f>ДаНет</xm:f>
          </x14:formula1>
          <xm:sqref>H68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4">
    <outlinePr applyStyles="0" summaryBelow="1" summaryRight="1" showOutlineSymbols="1"/>
    <pageSetUpPr autoPageBreaks="1" fitToPage="1"/>
  </sheetPr>
  <sheetViews>
    <sheetView showGridLines="0" showRuler="1" topLeftCell="A22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3.8515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6.8515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'03'!C2+1</f>
        <v>46085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237162.93000000005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84389.100000000006</v>
      </c>
      <c r="F5" s="89">
        <f>E17+E27+E28+E29+E30+E31+E37+E38+E39+E40+E51+E52+E53+E54+E55+E56+E67</f>
        <v>7292247.7999999998</v>
      </c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17693.610000000001</v>
      </c>
      <c r="F9" s="13"/>
      <c r="G9" s="13"/>
      <c r="H9" s="13"/>
      <c r="I9" s="13"/>
    </row>
    <row r="10" ht="15.75" customHeight="1">
      <c r="A10" s="143" t="s">
        <v>6</v>
      </c>
      <c r="B10" s="144"/>
      <c r="C10" s="144"/>
      <c r="D10" s="145"/>
      <c r="E10" s="21">
        <v>1110.6400000000001</v>
      </c>
      <c r="F10" s="22"/>
      <c r="G10" s="22"/>
      <c r="H10" s="22"/>
      <c r="I10" s="22"/>
    </row>
    <row r="11" ht="15.75" customHeight="1">
      <c r="A11" s="146" t="s">
        <v>7</v>
      </c>
      <c r="B11" s="147"/>
      <c r="C11" s="147"/>
      <c r="D11" s="148"/>
      <c r="E11" s="149">
        <v>45304.82</v>
      </c>
      <c r="F11" s="22"/>
      <c r="G11" s="22"/>
      <c r="H11" s="22"/>
      <c r="I11" s="22"/>
    </row>
    <row r="12" ht="15.75" customHeight="1">
      <c r="A12" s="150" t="s">
        <v>8</v>
      </c>
      <c r="B12" s="151"/>
      <c r="C12" s="151"/>
      <c r="D12" s="152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36646.690000000002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 t="s">
        <v>167</v>
      </c>
      <c r="D17" s="153"/>
      <c r="E17" s="95">
        <v>3000000</v>
      </c>
      <c r="F17" s="154"/>
      <c r="G17" s="40"/>
      <c r="H17" s="40" t="s">
        <v>45</v>
      </c>
      <c r="I17" s="40" t="s">
        <v>168</v>
      </c>
      <c r="J17" s="43" t="s">
        <v>46</v>
      </c>
      <c r="K17" s="44"/>
    </row>
    <row r="18" ht="14.25" customHeight="1" outlineLevel="1">
      <c r="A18" s="96">
        <v>2</v>
      </c>
      <c r="B18" s="97" t="s">
        <v>47</v>
      </c>
      <c r="C18" s="99" t="s">
        <v>57</v>
      </c>
      <c r="D18" s="99" t="s">
        <v>58</v>
      </c>
      <c r="E18" s="155">
        <v>300000000</v>
      </c>
      <c r="F18" s="48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45">
        <v>3</v>
      </c>
      <c r="B19" s="48" t="s">
        <v>59</v>
      </c>
      <c r="C19" s="46" t="s">
        <v>60</v>
      </c>
      <c r="D19" s="46" t="s">
        <v>61</v>
      </c>
      <c r="E19" s="47">
        <f>21431000-1800000-2200000-2200000</f>
        <v>15231000</v>
      </c>
      <c r="F19" s="48" t="s">
        <v>44</v>
      </c>
      <c r="G19" s="46"/>
      <c r="H19" s="46" t="s">
        <v>45</v>
      </c>
      <c r="I19" s="46"/>
      <c r="J19" s="49"/>
      <c r="K19" s="50"/>
    </row>
    <row r="20" ht="14.25" customHeight="1" outlineLevel="1">
      <c r="A20" s="45">
        <v>6</v>
      </c>
      <c r="B20" s="46"/>
      <c r="C20" s="46"/>
      <c r="D20" s="94"/>
      <c r="E20" s="101"/>
      <c r="F20" s="156"/>
      <c r="G20" s="46"/>
      <c r="H20" s="46"/>
      <c r="I20" s="46"/>
      <c r="J20" s="49"/>
      <c r="K20" s="50"/>
    </row>
    <row r="21" ht="14.25" customHeight="1" outlineLevel="1">
      <c r="A21" s="45">
        <v>7</v>
      </c>
      <c r="B21" s="46"/>
      <c r="C21" s="46"/>
      <c r="D21" s="46"/>
      <c r="E21" s="157"/>
      <c r="F21" s="48"/>
      <c r="G21" s="46"/>
      <c r="H21" s="46"/>
      <c r="I21" s="46"/>
      <c r="J21" s="49"/>
      <c r="K21" s="50"/>
    </row>
    <row r="22" ht="14.25" customHeight="1" outlineLevel="1">
      <c r="A22" s="96">
        <v>8</v>
      </c>
      <c r="B22" s="97" t="s">
        <v>47</v>
      </c>
      <c r="C22" s="99" t="s">
        <v>57</v>
      </c>
      <c r="D22" s="158" t="s">
        <v>58</v>
      </c>
      <c r="E22" s="159">
        <v>2000000</v>
      </c>
      <c r="F22" s="141" t="s">
        <v>44</v>
      </c>
      <c r="G22" s="46"/>
      <c r="H22" s="46" t="s">
        <v>45</v>
      </c>
      <c r="I22" s="46" t="s">
        <v>151</v>
      </c>
      <c r="J22" s="49" t="s">
        <v>46</v>
      </c>
      <c r="K22" s="50"/>
    </row>
    <row r="23" ht="14.25" customHeight="1" outlineLevel="1">
      <c r="A23" s="39">
        <v>9</v>
      </c>
      <c r="B23" s="48" t="s">
        <v>59</v>
      </c>
      <c r="C23" s="46" t="s">
        <v>60</v>
      </c>
      <c r="D23" s="160" t="s">
        <v>61</v>
      </c>
      <c r="E23" s="161">
        <v>2200000</v>
      </c>
      <c r="F23" s="141" t="s">
        <v>44</v>
      </c>
      <c r="G23" s="46"/>
      <c r="H23" s="46" t="s">
        <v>45</v>
      </c>
      <c r="I23" s="46" t="s">
        <v>151</v>
      </c>
      <c r="J23" s="49" t="s">
        <v>46</v>
      </c>
      <c r="K23" s="50"/>
    </row>
    <row r="24" ht="14.25" customHeight="1" outlineLevel="1">
      <c r="A24" s="45">
        <v>10</v>
      </c>
      <c r="B24" s="46" t="s">
        <v>152</v>
      </c>
      <c r="C24" s="46" t="s">
        <v>153</v>
      </c>
      <c r="D24" s="160">
        <v>2022</v>
      </c>
      <c r="E24" s="161">
        <v>2000000</v>
      </c>
      <c r="F24" s="162"/>
      <c r="G24" s="46"/>
      <c r="H24" s="46" t="s">
        <v>45</v>
      </c>
      <c r="I24" s="46" t="s">
        <v>151</v>
      </c>
      <c r="J24" s="49" t="s">
        <v>46</v>
      </c>
      <c r="K24" s="50"/>
    </row>
    <row r="25" ht="14.25" customHeight="1" outlineLevel="1">
      <c r="A25" s="45">
        <v>11</v>
      </c>
      <c r="B25" s="46" t="s">
        <v>152</v>
      </c>
      <c r="C25" s="46" t="s">
        <v>154</v>
      </c>
      <c r="D25" s="160">
        <v>202057</v>
      </c>
      <c r="E25" s="161">
        <v>2000000</v>
      </c>
      <c r="F25" s="141"/>
      <c r="G25" s="46"/>
      <c r="H25" s="46" t="s">
        <v>45</v>
      </c>
      <c r="I25" s="46" t="s">
        <v>151</v>
      </c>
      <c r="J25" s="49" t="s">
        <v>46</v>
      </c>
      <c r="K25" s="50"/>
    </row>
    <row r="26" ht="14.25" customHeight="1" outlineLevel="1">
      <c r="A26" s="45">
        <v>12</v>
      </c>
      <c r="B26" s="46"/>
      <c r="C26" s="46"/>
      <c r="D26" s="160"/>
      <c r="E26" s="163"/>
      <c r="F26" s="141"/>
      <c r="G26" s="46"/>
      <c r="H26" s="46"/>
      <c r="I26" s="46"/>
      <c r="J26" s="49"/>
      <c r="K26" s="50"/>
    </row>
    <row r="27" ht="14.25" customHeight="1" outlineLevel="1">
      <c r="A27" s="96">
        <v>13</v>
      </c>
      <c r="B27" s="97" t="s">
        <v>47</v>
      </c>
      <c r="C27" s="46" t="s">
        <v>48</v>
      </c>
      <c r="D27" s="46" t="s">
        <v>49</v>
      </c>
      <c r="E27" s="98">
        <v>833196</v>
      </c>
      <c r="F27" s="46" t="s">
        <v>169</v>
      </c>
      <c r="G27" s="46"/>
      <c r="H27" s="46" t="s">
        <v>51</v>
      </c>
      <c r="I27" s="46" t="s">
        <v>170</v>
      </c>
      <c r="J27" s="49" t="s">
        <v>46</v>
      </c>
      <c r="K27" s="50"/>
    </row>
    <row r="28" ht="14.25" customHeight="1" outlineLevel="1">
      <c r="A28" s="96">
        <v>14</v>
      </c>
      <c r="B28" s="97" t="s">
        <v>47</v>
      </c>
      <c r="C28" s="46" t="s">
        <v>48</v>
      </c>
      <c r="D28" s="46" t="s">
        <v>49</v>
      </c>
      <c r="E28" s="98">
        <v>846048</v>
      </c>
      <c r="F28" s="46" t="s">
        <v>171</v>
      </c>
      <c r="G28" s="46"/>
      <c r="H28" s="46" t="s">
        <v>51</v>
      </c>
      <c r="I28" s="46" t="s">
        <v>170</v>
      </c>
      <c r="J28" s="49" t="s">
        <v>46</v>
      </c>
      <c r="K28" s="50"/>
    </row>
    <row r="29" ht="14.25" customHeight="1" outlineLevel="1">
      <c r="A29" s="96">
        <v>15</v>
      </c>
      <c r="B29" s="97" t="s">
        <v>47</v>
      </c>
      <c r="C29" s="46" t="s">
        <v>48</v>
      </c>
      <c r="D29" s="46" t="s">
        <v>49</v>
      </c>
      <c r="E29" s="98">
        <v>417564</v>
      </c>
      <c r="F29" s="46" t="s">
        <v>172</v>
      </c>
      <c r="G29" s="46"/>
      <c r="H29" s="46" t="s">
        <v>51</v>
      </c>
      <c r="I29" s="46" t="s">
        <v>170</v>
      </c>
      <c r="J29" s="49" t="s">
        <v>46</v>
      </c>
      <c r="K29" s="50"/>
    </row>
    <row r="30" ht="14.25" customHeight="1" outlineLevel="1">
      <c r="A30" s="96">
        <v>16</v>
      </c>
      <c r="B30" s="97" t="s">
        <v>47</v>
      </c>
      <c r="C30" s="46" t="s">
        <v>48</v>
      </c>
      <c r="D30" s="46" t="s">
        <v>49</v>
      </c>
      <c r="E30" s="98">
        <v>1047816</v>
      </c>
      <c r="F30" s="46" t="s">
        <v>173</v>
      </c>
      <c r="G30" s="46"/>
      <c r="H30" s="46" t="s">
        <v>51</v>
      </c>
      <c r="I30" s="46" t="s">
        <v>170</v>
      </c>
      <c r="J30" s="49" t="s">
        <v>46</v>
      </c>
      <c r="K30" s="50"/>
    </row>
    <row r="31" ht="14.25" customHeight="1" outlineLevel="1">
      <c r="A31" s="45">
        <v>17</v>
      </c>
      <c r="B31" s="46"/>
      <c r="C31" s="46" t="s">
        <v>78</v>
      </c>
      <c r="D31" s="46"/>
      <c r="E31" s="98">
        <v>150000</v>
      </c>
      <c r="F31" s="48"/>
      <c r="G31" s="46"/>
      <c r="H31" s="46" t="s">
        <v>45</v>
      </c>
      <c r="I31" s="46"/>
      <c r="J31" s="49" t="s">
        <v>46</v>
      </c>
      <c r="K31" s="50"/>
    </row>
    <row r="32" ht="14.25" customHeight="1" outlineLevel="1">
      <c r="A32" s="115"/>
      <c r="B32" s="46" t="s">
        <v>152</v>
      </c>
      <c r="C32" s="46" t="s">
        <v>57</v>
      </c>
      <c r="D32" s="46"/>
      <c r="E32" s="98">
        <v>2000000</v>
      </c>
      <c r="F32" s="48"/>
      <c r="G32" s="46"/>
      <c r="H32" s="46"/>
      <c r="I32" s="46"/>
      <c r="J32" s="49" t="s">
        <v>46</v>
      </c>
      <c r="K32" s="50"/>
    </row>
    <row r="33" ht="14.25" customHeight="1" outlineLevel="1">
      <c r="A33" s="115"/>
      <c r="B33" s="46" t="s">
        <v>152</v>
      </c>
      <c r="C33" s="46" t="s">
        <v>81</v>
      </c>
      <c r="D33" s="46"/>
      <c r="E33" s="98">
        <v>2000000</v>
      </c>
      <c r="F33" s="48"/>
      <c r="G33" s="46"/>
      <c r="H33" s="46"/>
      <c r="I33" s="46"/>
      <c r="J33" s="49" t="s">
        <v>46</v>
      </c>
      <c r="K33" s="50"/>
    </row>
    <row r="34" ht="14.25" customHeight="1" outlineLevel="1">
      <c r="A34" s="115"/>
      <c r="B34" s="46" t="s">
        <v>152</v>
      </c>
      <c r="C34" s="46" t="s">
        <v>174</v>
      </c>
      <c r="D34" s="46"/>
      <c r="E34" s="98">
        <v>3000000</v>
      </c>
      <c r="F34" s="48"/>
      <c r="G34" s="46"/>
      <c r="H34" s="46"/>
      <c r="I34" s="46"/>
      <c r="J34" s="49" t="s">
        <v>46</v>
      </c>
      <c r="K34" s="50"/>
    </row>
    <row r="35" ht="14.25" customHeight="1" outlineLevel="1">
      <c r="A35" s="164"/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s="34" customFormat="1" ht="25.5" customHeight="1" outlineLevel="1">
      <c r="A36" s="165"/>
      <c r="B36" s="37" t="s">
        <v>23</v>
      </c>
      <c r="C36" s="37"/>
      <c r="D36" s="37"/>
      <c r="E36" s="37"/>
      <c r="F36" s="37"/>
      <c r="G36" s="37"/>
      <c r="H36" s="37"/>
      <c r="I36" s="37"/>
      <c r="J36" s="37"/>
      <c r="K36" s="38"/>
    </row>
    <row r="37" ht="14.25" customHeight="1" outlineLevel="1">
      <c r="A37" s="45">
        <v>1</v>
      </c>
      <c r="B37" s="46" t="s">
        <v>85</v>
      </c>
      <c r="C37" s="46" t="s">
        <v>86</v>
      </c>
      <c r="D37" s="46" t="s">
        <v>175</v>
      </c>
      <c r="E37" s="166">
        <v>40000</v>
      </c>
      <c r="F37" s="48" t="s">
        <v>88</v>
      </c>
      <c r="G37" s="46" t="s">
        <v>89</v>
      </c>
      <c r="H37" s="46" t="s">
        <v>45</v>
      </c>
      <c r="I37" s="46"/>
      <c r="J37" s="49" t="s">
        <v>46</v>
      </c>
      <c r="K37" s="50"/>
    </row>
    <row r="38" ht="14.25" customHeight="1" outlineLevel="1">
      <c r="A38" s="45">
        <v>2</v>
      </c>
      <c r="B38" s="46" t="s">
        <v>85</v>
      </c>
      <c r="C38" s="46" t="s">
        <v>176</v>
      </c>
      <c r="D38" s="46" t="s">
        <v>177</v>
      </c>
      <c r="E38" s="166">
        <v>198000</v>
      </c>
      <c r="F38" s="48" t="s">
        <v>88</v>
      </c>
      <c r="G38" s="46" t="s">
        <v>89</v>
      </c>
      <c r="H38" s="46" t="s">
        <v>45</v>
      </c>
      <c r="I38" s="46" t="s">
        <v>93</v>
      </c>
      <c r="J38" s="49" t="s">
        <v>46</v>
      </c>
      <c r="K38" s="50"/>
    </row>
    <row r="39" ht="14.25" customHeight="1" outlineLevel="1">
      <c r="A39" s="45">
        <v>3</v>
      </c>
      <c r="B39" s="46" t="s">
        <v>85</v>
      </c>
      <c r="C39" s="46" t="s">
        <v>178</v>
      </c>
      <c r="D39" s="46" t="s">
        <v>179</v>
      </c>
      <c r="E39" s="166">
        <f>45000+8500</f>
        <v>53500</v>
      </c>
      <c r="F39" s="48" t="s">
        <v>88</v>
      </c>
      <c r="G39" s="46" t="s">
        <v>89</v>
      </c>
      <c r="H39" s="46" t="s">
        <v>45</v>
      </c>
      <c r="J39" s="49" t="s">
        <v>46</v>
      </c>
      <c r="K39" s="50"/>
    </row>
    <row r="40" ht="14.25" customHeight="1" outlineLevel="1">
      <c r="A40" s="45">
        <v>4</v>
      </c>
      <c r="B40" s="46" t="s">
        <v>90</v>
      </c>
      <c r="C40" s="46" t="s">
        <v>180</v>
      </c>
      <c r="D40" s="46" t="s">
        <v>181</v>
      </c>
      <c r="E40" s="166">
        <v>540000</v>
      </c>
      <c r="F40" s="48" t="s">
        <v>88</v>
      </c>
      <c r="G40" s="46" t="s">
        <v>89</v>
      </c>
      <c r="H40" s="46" t="s">
        <v>45</v>
      </c>
      <c r="I40" s="46" t="s">
        <v>93</v>
      </c>
      <c r="J40" s="49" t="s">
        <v>46</v>
      </c>
      <c r="K40" s="50"/>
    </row>
    <row r="41" ht="14.25" customHeight="1" outlineLevel="1">
      <c r="A41" s="45">
        <v>7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8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39">
        <v>9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10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11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12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s="34" customFormat="1" ht="25.5" customHeight="1" outlineLevel="1">
      <c r="A50" s="35"/>
      <c r="B50" s="37" t="s">
        <v>24</v>
      </c>
      <c r="C50" s="37"/>
      <c r="D50" s="37"/>
      <c r="E50" s="37"/>
      <c r="F50" s="37"/>
      <c r="G50" s="37"/>
      <c r="H50" s="37"/>
      <c r="I50" s="37"/>
      <c r="J50" s="37"/>
      <c r="K50" s="38"/>
    </row>
    <row r="51" ht="14.25" customHeight="1" outlineLevel="1">
      <c r="A51" s="51">
        <v>1</v>
      </c>
      <c r="B51" s="52" t="s">
        <v>101</v>
      </c>
      <c r="C51" s="52" t="s">
        <v>182</v>
      </c>
      <c r="D51" s="52" t="s">
        <v>183</v>
      </c>
      <c r="E51" s="167">
        <v>50000</v>
      </c>
      <c r="F51" s="54" t="s">
        <v>184</v>
      </c>
      <c r="G51" s="46" t="s">
        <v>89</v>
      </c>
      <c r="H51" s="52" t="s">
        <v>45</v>
      </c>
      <c r="I51" s="52"/>
      <c r="J51" s="55" t="s">
        <v>46</v>
      </c>
      <c r="K51" s="56"/>
    </row>
    <row r="52" ht="14.25" customHeight="1" outlineLevel="1">
      <c r="A52" s="45">
        <v>2</v>
      </c>
      <c r="B52" s="46" t="s">
        <v>101</v>
      </c>
      <c r="C52" s="46" t="s">
        <v>185</v>
      </c>
      <c r="D52" s="46" t="s">
        <v>186</v>
      </c>
      <c r="E52" s="109">
        <v>3000</v>
      </c>
      <c r="F52" s="48" t="s">
        <v>187</v>
      </c>
      <c r="G52" s="46" t="s">
        <v>89</v>
      </c>
      <c r="H52" s="46" t="s">
        <v>45</v>
      </c>
      <c r="I52" s="46"/>
      <c r="J52" s="49" t="s">
        <v>46</v>
      </c>
      <c r="K52" s="50"/>
    </row>
    <row r="53" ht="28.5" outlineLevel="1">
      <c r="A53" s="45">
        <v>3</v>
      </c>
      <c r="B53" s="46" t="s">
        <v>141</v>
      </c>
      <c r="C53" s="46" t="s">
        <v>188</v>
      </c>
      <c r="D53" s="46" t="s">
        <v>189</v>
      </c>
      <c r="E53" s="98">
        <v>18000</v>
      </c>
      <c r="F53" s="48" t="s">
        <v>190</v>
      </c>
      <c r="G53" s="46" t="s">
        <v>89</v>
      </c>
      <c r="H53" s="46" t="s">
        <v>45</v>
      </c>
      <c r="I53" s="46"/>
      <c r="J53" s="49" t="s">
        <v>46</v>
      </c>
      <c r="K53" s="50"/>
    </row>
    <row r="54" ht="14.25" customHeight="1" outlineLevel="1">
      <c r="A54" s="45">
        <v>4</v>
      </c>
      <c r="B54" s="46" t="s">
        <v>141</v>
      </c>
      <c r="C54" s="46" t="s">
        <v>191</v>
      </c>
      <c r="D54" s="46" t="s">
        <v>192</v>
      </c>
      <c r="E54" s="98">
        <v>3200</v>
      </c>
      <c r="F54" s="48" t="s">
        <v>165</v>
      </c>
      <c r="G54" s="46" t="s">
        <v>89</v>
      </c>
      <c r="H54" s="46" t="s">
        <v>45</v>
      </c>
      <c r="I54" s="46"/>
      <c r="J54" s="49" t="s">
        <v>46</v>
      </c>
      <c r="K54" s="50"/>
    </row>
    <row r="55" ht="14.25" customHeight="1" outlineLevel="1">
      <c r="A55" s="45">
        <v>5</v>
      </c>
      <c r="B55" s="46" t="s">
        <v>141</v>
      </c>
      <c r="C55" s="46" t="s">
        <v>193</v>
      </c>
      <c r="D55" s="46" t="s">
        <v>194</v>
      </c>
      <c r="E55" s="98">
        <v>5400</v>
      </c>
      <c r="F55" s="48" t="s">
        <v>165</v>
      </c>
      <c r="G55" s="46" t="s">
        <v>89</v>
      </c>
      <c r="H55" s="46" t="s">
        <v>45</v>
      </c>
      <c r="I55" s="46" t="s">
        <v>195</v>
      </c>
      <c r="J55" s="49" t="s">
        <v>46</v>
      </c>
      <c r="K55" s="50"/>
    </row>
    <row r="56" ht="14.25" customHeight="1" outlineLevel="1">
      <c r="A56" s="45">
        <v>6</v>
      </c>
      <c r="B56" s="46" t="s">
        <v>141</v>
      </c>
      <c r="C56" s="46" t="s">
        <v>193</v>
      </c>
      <c r="D56" s="46" t="s">
        <v>196</v>
      </c>
      <c r="E56" s="98">
        <v>1558</v>
      </c>
      <c r="F56" s="48" t="s">
        <v>165</v>
      </c>
      <c r="G56" s="46" t="s">
        <v>89</v>
      </c>
      <c r="H56" s="46" t="s">
        <v>45</v>
      </c>
      <c r="I56" s="46" t="s">
        <v>195</v>
      </c>
      <c r="J56" s="49" t="s">
        <v>46</v>
      </c>
      <c r="K56" s="50"/>
    </row>
    <row r="57" ht="14.25" customHeight="1" outlineLevel="1">
      <c r="A57" s="45">
        <v>7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8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9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10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11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12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13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14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15</v>
      </c>
      <c r="B65" s="57"/>
      <c r="C65" s="57"/>
      <c r="D65" s="57"/>
      <c r="E65" s="58"/>
      <c r="F65" s="59"/>
      <c r="G65" s="57"/>
      <c r="H65" s="57"/>
      <c r="I65" s="57"/>
      <c r="J65" s="60"/>
      <c r="K65" s="61"/>
    </row>
    <row r="66" s="34" customFormat="1" ht="25.5" customHeight="1" outlineLevel="1">
      <c r="A66" s="35"/>
      <c r="B66" s="36" t="s">
        <v>25</v>
      </c>
      <c r="C66" s="37"/>
      <c r="D66" s="37"/>
      <c r="E66" s="37"/>
      <c r="F66" s="37"/>
      <c r="G66" s="37"/>
      <c r="H66" s="37"/>
      <c r="I66" s="37"/>
      <c r="J66" s="37"/>
      <c r="K66" s="38"/>
    </row>
    <row r="67" ht="28.5" outlineLevel="1">
      <c r="A67" s="45">
        <v>1</v>
      </c>
      <c r="B67" s="52" t="s">
        <v>197</v>
      </c>
      <c r="C67" s="52" t="s">
        <v>198</v>
      </c>
      <c r="D67" s="52" t="s">
        <v>199</v>
      </c>
      <c r="E67" s="107">
        <v>84965.800000000003</v>
      </c>
      <c r="F67" s="54" t="s">
        <v>200</v>
      </c>
      <c r="G67" s="46" t="s">
        <v>89</v>
      </c>
      <c r="H67" s="52" t="s">
        <v>51</v>
      </c>
      <c r="I67" s="52" t="s">
        <v>201</v>
      </c>
      <c r="J67" s="55"/>
      <c r="K67" s="56"/>
    </row>
    <row r="68" ht="14.25" customHeight="1" outlineLevel="1">
      <c r="A68" s="45">
        <v>2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3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4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5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6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7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8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9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10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11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12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13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14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15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s="34" customFormat="1" ht="25.5" customHeight="1" outlineLevel="1">
      <c r="A82" s="35"/>
      <c r="B82" s="36" t="s">
        <v>26</v>
      </c>
      <c r="C82" s="37"/>
      <c r="D82" s="37"/>
      <c r="E82" s="37"/>
      <c r="F82" s="37"/>
      <c r="G82" s="37"/>
      <c r="H82" s="37"/>
      <c r="I82" s="37"/>
      <c r="J82" s="37"/>
      <c r="K82" s="38"/>
    </row>
    <row r="83" ht="14.25" customHeight="1" outlineLevel="1">
      <c r="A83" s="51">
        <v>1</v>
      </c>
      <c r="B83" s="52" t="s">
        <v>123</v>
      </c>
      <c r="C83" s="52" t="s">
        <v>124</v>
      </c>
      <c r="D83" s="52" t="s">
        <v>125</v>
      </c>
      <c r="E83" s="107">
        <v>8600000</v>
      </c>
      <c r="F83" s="54" t="s">
        <v>126</v>
      </c>
      <c r="G83" s="52"/>
      <c r="H83" s="52"/>
      <c r="I83" s="52"/>
      <c r="J83" s="55" t="s">
        <v>46</v>
      </c>
      <c r="K83" s="56"/>
    </row>
    <row r="84" ht="14.25" customHeight="1" outlineLevel="1">
      <c r="A84" s="39">
        <v>2</v>
      </c>
      <c r="B84" s="40" t="s">
        <v>123</v>
      </c>
      <c r="C84" s="40" t="s">
        <v>124</v>
      </c>
      <c r="D84" s="168" t="s">
        <v>127</v>
      </c>
      <c r="E84" s="169">
        <v>5600000</v>
      </c>
      <c r="F84" s="42" t="s">
        <v>126</v>
      </c>
      <c r="G84" s="40"/>
      <c r="H84" s="40"/>
      <c r="I84" s="40"/>
      <c r="J84" s="43" t="s">
        <v>46</v>
      </c>
      <c r="K84" s="44"/>
    </row>
    <row r="85" ht="14.25" customHeight="1" outlineLevel="1">
      <c r="A85" s="39">
        <v>3</v>
      </c>
      <c r="B85" s="40"/>
      <c r="C85" s="40"/>
      <c r="D85" s="52" t="s">
        <v>125</v>
      </c>
      <c r="E85" s="107">
        <v>1300000</v>
      </c>
      <c r="F85" s="42"/>
      <c r="G85" s="40"/>
      <c r="H85" s="40"/>
      <c r="I85" s="40"/>
      <c r="J85" s="43" t="s">
        <v>46</v>
      </c>
      <c r="K85" s="44"/>
    </row>
    <row r="86" ht="14.25" customHeight="1" outlineLevel="1">
      <c r="A86" s="45">
        <v>4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5" customHeight="1" outlineLevel="1">
      <c r="A87" s="62">
        <v>5</v>
      </c>
      <c r="B87" s="57"/>
      <c r="C87" s="57"/>
      <c r="D87" s="57"/>
      <c r="E87" s="58"/>
      <c r="F87" s="59"/>
      <c r="G87" s="57"/>
      <c r="H87" s="57"/>
      <c r="I87" s="57"/>
      <c r="J87" s="60"/>
      <c r="K87" s="61"/>
    </row>
    <row r="88" ht="23.100000000000001" customHeight="1">
      <c r="A88" s="63" t="s">
        <v>27</v>
      </c>
      <c r="B88" s="64"/>
      <c r="C88" s="64"/>
      <c r="D88" s="64"/>
      <c r="E88" s="65">
        <f>SUM(E16:E87)</f>
        <v>353223247.80000001</v>
      </c>
    </row>
    <row r="89" ht="23.100000000000001" customHeight="1">
      <c r="A89" s="63" t="s">
        <v>28</v>
      </c>
      <c r="B89" s="64"/>
      <c r="C89" s="64"/>
      <c r="D89" s="64"/>
      <c r="E89" s="65">
        <f>E4-E88</f>
        <v>-352986084.87</v>
      </c>
      <c r="F89" s="66"/>
    </row>
    <row r="90" ht="30.75" customHeight="1">
      <c r="A90" s="66"/>
      <c r="B90" s="66"/>
      <c r="C90" s="66"/>
      <c r="D90" s="66"/>
      <c r="E90" s="66"/>
      <c r="F90" s="66"/>
    </row>
    <row r="91" ht="30" customHeight="1">
      <c r="A91" s="9" t="s">
        <v>128</v>
      </c>
      <c r="B91" s="10"/>
      <c r="C91" s="10"/>
      <c r="D91" s="11"/>
      <c r="E91" s="170">
        <f>SUM(E92:E92)</f>
        <v>1251836.8</v>
      </c>
      <c r="F91" s="136" t="s">
        <v>39</v>
      </c>
      <c r="G91" s="68" t="s">
        <v>30</v>
      </c>
      <c r="H91" s="13"/>
      <c r="I91" s="13"/>
    </row>
    <row r="92" ht="15" customHeight="1">
      <c r="A92" s="69" t="s">
        <v>31</v>
      </c>
      <c r="B92" s="70"/>
      <c r="C92" s="70"/>
      <c r="D92" s="71"/>
      <c r="E92" s="72">
        <v>1251836.8</v>
      </c>
      <c r="F92" s="13"/>
      <c r="G92" s="13"/>
      <c r="H92" s="13"/>
      <c r="I92" s="13"/>
    </row>
    <row r="93" ht="4.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25.5" customHeight="1" outlineLevel="1">
      <c r="A94" s="31" t="s">
        <v>10</v>
      </c>
      <c r="B94" s="31" t="s">
        <v>11</v>
      </c>
      <c r="C94" s="31" t="s">
        <v>12</v>
      </c>
      <c r="D94" s="31" t="s">
        <v>13</v>
      </c>
      <c r="E94" s="32" t="s">
        <v>14</v>
      </c>
      <c r="F94" s="31" t="s">
        <v>15</v>
      </c>
      <c r="G94" s="31" t="s">
        <v>16</v>
      </c>
      <c r="H94" s="33" t="s">
        <v>17</v>
      </c>
      <c r="I94" s="31" t="s">
        <v>18</v>
      </c>
      <c r="J94" s="31" t="s">
        <v>19</v>
      </c>
      <c r="K94" s="31" t="s">
        <v>32</v>
      </c>
    </row>
    <row r="95" s="34" customFormat="1" ht="25.5" customHeight="1" outlineLevel="1">
      <c r="A95" s="35"/>
      <c r="B95" s="37" t="s">
        <v>33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14.25" customHeight="1" outlineLevel="1">
      <c r="A96" s="39">
        <v>1</v>
      </c>
      <c r="B96" s="171" t="s">
        <v>202</v>
      </c>
      <c r="C96" s="171" t="s">
        <v>203</v>
      </c>
      <c r="D96" s="171" t="s">
        <v>204</v>
      </c>
      <c r="E96" s="107">
        <v>17400</v>
      </c>
      <c r="F96" s="54" t="s">
        <v>205</v>
      </c>
      <c r="G96" s="46" t="s">
        <v>89</v>
      </c>
      <c r="H96" s="52" t="s">
        <v>45</v>
      </c>
      <c r="I96" s="52"/>
      <c r="J96" s="55" t="s">
        <v>46</v>
      </c>
      <c r="K96" s="56"/>
    </row>
    <row r="97" ht="14.25" customHeight="1" outlineLevel="1">
      <c r="A97" s="39">
        <v>2</v>
      </c>
      <c r="B97" s="40" t="s">
        <v>202</v>
      </c>
      <c r="C97" s="40" t="s">
        <v>203</v>
      </c>
      <c r="D97" s="40" t="s">
        <v>206</v>
      </c>
      <c r="E97" s="172">
        <v>3800</v>
      </c>
      <c r="F97" s="48" t="s">
        <v>207</v>
      </c>
      <c r="G97" s="46" t="s">
        <v>89</v>
      </c>
      <c r="H97" s="46" t="s">
        <v>45</v>
      </c>
      <c r="I97" s="46"/>
      <c r="J97" s="49" t="s">
        <v>46</v>
      </c>
      <c r="K97" s="50"/>
    </row>
    <row r="98" ht="14.25" customHeight="1" outlineLevel="1">
      <c r="A98" s="39">
        <v>3</v>
      </c>
      <c r="B98" s="46" t="s">
        <v>101</v>
      </c>
      <c r="C98" s="46" t="s">
        <v>208</v>
      </c>
      <c r="D98" s="46" t="s">
        <v>209</v>
      </c>
      <c r="E98" s="172">
        <v>34851</v>
      </c>
      <c r="F98" s="48" t="s">
        <v>210</v>
      </c>
      <c r="G98" s="46" t="s">
        <v>89</v>
      </c>
      <c r="H98" s="46" t="s">
        <v>45</v>
      </c>
      <c r="I98" s="46"/>
      <c r="J98" s="49" t="s">
        <v>46</v>
      </c>
      <c r="K98" s="50"/>
    </row>
    <row r="99" ht="14.25" customHeight="1" outlineLevel="1">
      <c r="A99" s="39">
        <v>4</v>
      </c>
      <c r="B99" s="46" t="s">
        <v>101</v>
      </c>
      <c r="C99" s="46" t="s">
        <v>182</v>
      </c>
      <c r="D99" s="46" t="s">
        <v>211</v>
      </c>
      <c r="E99" s="172">
        <v>150000</v>
      </c>
      <c r="F99" s="48" t="s">
        <v>184</v>
      </c>
      <c r="G99" s="46" t="s">
        <v>89</v>
      </c>
      <c r="H99" s="46" t="s">
        <v>45</v>
      </c>
      <c r="I99" s="46"/>
      <c r="J99" s="49" t="s">
        <v>46</v>
      </c>
      <c r="K99" s="50"/>
    </row>
    <row r="100" ht="14.25" customHeight="1" outlineLevel="1">
      <c r="A100" s="39">
        <v>5</v>
      </c>
      <c r="B100" s="46" t="s">
        <v>101</v>
      </c>
      <c r="C100" s="46" t="s">
        <v>129</v>
      </c>
      <c r="D100" s="46" t="s">
        <v>212</v>
      </c>
      <c r="E100" s="172">
        <v>5720</v>
      </c>
      <c r="F100" s="48" t="s">
        <v>131</v>
      </c>
      <c r="G100" s="46" t="s">
        <v>89</v>
      </c>
      <c r="H100" s="46" t="s">
        <v>45</v>
      </c>
      <c r="I100" s="46"/>
      <c r="J100" s="49" t="s">
        <v>46</v>
      </c>
      <c r="K100" s="50"/>
    </row>
    <row r="101" ht="14.25" customHeight="1" outlineLevel="1">
      <c r="A101" s="39">
        <v>6</v>
      </c>
      <c r="B101" s="46" t="s">
        <v>141</v>
      </c>
      <c r="C101" s="46" t="s">
        <v>213</v>
      </c>
      <c r="D101" s="46" t="s">
        <v>214</v>
      </c>
      <c r="E101" s="172">
        <v>6000</v>
      </c>
      <c r="F101" s="48" t="s">
        <v>165</v>
      </c>
      <c r="G101" s="46" t="s">
        <v>89</v>
      </c>
      <c r="H101" s="46" t="s">
        <v>45</v>
      </c>
      <c r="I101" s="46"/>
      <c r="J101" s="49" t="s">
        <v>46</v>
      </c>
      <c r="K101" s="50"/>
    </row>
    <row r="102" ht="14.25" customHeight="1" outlineLevel="1">
      <c r="A102" s="39">
        <v>7</v>
      </c>
      <c r="B102" s="46" t="s">
        <v>141</v>
      </c>
      <c r="C102" s="46" t="s">
        <v>215</v>
      </c>
      <c r="D102" s="46" t="s">
        <v>216</v>
      </c>
      <c r="E102" s="98">
        <v>1052.78</v>
      </c>
      <c r="F102" s="48" t="s">
        <v>165</v>
      </c>
      <c r="G102" s="46" t="s">
        <v>89</v>
      </c>
      <c r="H102" s="46" t="s">
        <v>45</v>
      </c>
      <c r="I102" s="46"/>
      <c r="J102" s="49" t="s">
        <v>46</v>
      </c>
      <c r="K102" s="50"/>
    </row>
    <row r="103" ht="14.25" customHeight="1" outlineLevel="1">
      <c r="A103" s="39">
        <v>8</v>
      </c>
      <c r="B103" s="46" t="s">
        <v>141</v>
      </c>
      <c r="C103" s="46" t="s">
        <v>215</v>
      </c>
      <c r="D103" s="46" t="s">
        <v>217</v>
      </c>
      <c r="E103" s="98">
        <v>1590.2</v>
      </c>
      <c r="F103" s="48" t="s">
        <v>165</v>
      </c>
      <c r="G103" s="46" t="s">
        <v>89</v>
      </c>
      <c r="H103" s="46" t="s">
        <v>45</v>
      </c>
      <c r="I103" s="46"/>
      <c r="J103" s="49" t="s">
        <v>46</v>
      </c>
      <c r="K103" s="50"/>
    </row>
    <row r="104" ht="14.25" customHeight="1" outlineLevel="1">
      <c r="A104" s="39">
        <v>9</v>
      </c>
      <c r="B104" s="46" t="s">
        <v>141</v>
      </c>
      <c r="C104" s="46" t="s">
        <v>215</v>
      </c>
      <c r="D104" s="46" t="s">
        <v>218</v>
      </c>
      <c r="E104" s="98">
        <v>8250</v>
      </c>
      <c r="F104" s="48" t="s">
        <v>165</v>
      </c>
      <c r="G104" s="46" t="s">
        <v>89</v>
      </c>
      <c r="H104" s="46" t="s">
        <v>45</v>
      </c>
      <c r="I104" s="46"/>
      <c r="J104" s="49" t="s">
        <v>46</v>
      </c>
      <c r="K104" s="50"/>
    </row>
    <row r="105" ht="14.25" customHeight="1" outlineLevel="1">
      <c r="A105" s="39">
        <v>10</v>
      </c>
      <c r="B105" s="46" t="s">
        <v>141</v>
      </c>
      <c r="C105" s="46" t="s">
        <v>219</v>
      </c>
      <c r="D105" s="46" t="s">
        <v>220</v>
      </c>
      <c r="E105" s="98">
        <v>8641.6599999999999</v>
      </c>
      <c r="F105" s="48" t="s">
        <v>165</v>
      </c>
      <c r="G105" s="46" t="s">
        <v>89</v>
      </c>
      <c r="H105" s="46" t="s">
        <v>45</v>
      </c>
      <c r="I105" s="46"/>
      <c r="J105" s="49"/>
      <c r="K105" s="50"/>
    </row>
    <row r="106" ht="14.25" customHeight="1" outlineLevel="1">
      <c r="A106" s="39">
        <v>11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12</v>
      </c>
      <c r="B107" s="46"/>
      <c r="C107" s="46" t="s">
        <v>221</v>
      </c>
      <c r="D107" s="46"/>
      <c r="E107" s="98">
        <v>6000</v>
      </c>
      <c r="F107" s="48"/>
      <c r="G107" s="46"/>
      <c r="H107" s="46"/>
      <c r="I107" s="46" t="s">
        <v>222</v>
      </c>
      <c r="J107" s="49" t="s">
        <v>46</v>
      </c>
      <c r="K107" s="50"/>
    </row>
    <row r="108" ht="14.25" customHeight="1" outlineLevel="1">
      <c r="A108" s="39">
        <v>13</v>
      </c>
      <c r="B108" s="46"/>
      <c r="C108" s="46"/>
      <c r="D108" s="46"/>
      <c r="E108" s="47">
        <v>100000</v>
      </c>
      <c r="F108" s="48"/>
      <c r="G108" s="46"/>
      <c r="H108" s="46"/>
      <c r="I108" s="46"/>
      <c r="J108" s="49"/>
      <c r="K108" s="50"/>
    </row>
    <row r="109" ht="14.25" customHeight="1" outlineLevel="1">
      <c r="A109" s="39">
        <v>14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15</v>
      </c>
      <c r="B110" s="57"/>
      <c r="C110" s="57"/>
      <c r="D110" s="57"/>
      <c r="E110" s="58"/>
      <c r="F110" s="59"/>
      <c r="G110" s="57"/>
      <c r="H110" s="57"/>
      <c r="I110" s="57"/>
      <c r="J110" s="60"/>
      <c r="K110" s="61"/>
    </row>
    <row r="111" s="34" customFormat="1" ht="25.5" customHeight="1" outlineLevel="1">
      <c r="A111" s="35"/>
      <c r="B111" s="37" t="s">
        <v>25</v>
      </c>
      <c r="C111" s="37"/>
      <c r="D111" s="37"/>
      <c r="E111" s="37"/>
      <c r="F111" s="37"/>
      <c r="G111" s="37"/>
      <c r="H111" s="37"/>
      <c r="I111" s="37"/>
      <c r="J111" s="37"/>
      <c r="K111" s="38"/>
    </row>
    <row r="112" ht="30" outlineLevel="1">
      <c r="A112" s="127">
        <v>1</v>
      </c>
      <c r="B112" s="110" t="s">
        <v>223</v>
      </c>
      <c r="C112" s="110" t="s">
        <v>117</v>
      </c>
      <c r="D112" s="110" t="s">
        <v>118</v>
      </c>
      <c r="E112" s="173">
        <v>555000</v>
      </c>
      <c r="F112" s="174" t="s">
        <v>224</v>
      </c>
      <c r="G112" s="48" t="s">
        <v>89</v>
      </c>
      <c r="H112" s="175" t="s">
        <v>225</v>
      </c>
      <c r="I112" s="176" t="s">
        <v>226</v>
      </c>
      <c r="J112" s="177" t="s">
        <v>46</v>
      </c>
      <c r="K112" s="56"/>
    </row>
    <row r="113" ht="14.25" customHeight="1" outlineLevel="1">
      <c r="A113" s="45">
        <v>2</v>
      </c>
      <c r="B113" s="40"/>
      <c r="C113" s="40"/>
      <c r="D113" s="40"/>
      <c r="E113" s="178"/>
      <c r="F113" s="42"/>
      <c r="G113" s="40"/>
      <c r="H113" s="40"/>
      <c r="I113" s="40"/>
      <c r="J113" s="49"/>
      <c r="K113" s="50"/>
    </row>
    <row r="114" ht="14.25" customHeight="1" outlineLevel="1">
      <c r="A114" s="45">
        <v>3</v>
      </c>
      <c r="B114" s="46"/>
      <c r="C114" s="46"/>
      <c r="D114" s="46"/>
      <c r="E114" s="178"/>
      <c r="F114" s="48"/>
      <c r="G114" s="46"/>
      <c r="H114" s="46"/>
      <c r="I114" s="46"/>
      <c r="J114" s="49"/>
      <c r="K114" s="50"/>
    </row>
    <row r="115" ht="14.25" customHeight="1" outlineLevel="1">
      <c r="A115" s="45">
        <v>4</v>
      </c>
      <c r="B115" s="46"/>
      <c r="C115" s="46"/>
      <c r="D115" s="46"/>
      <c r="E115" s="179" t="s">
        <v>227</v>
      </c>
      <c r="F115" s="48"/>
      <c r="G115" s="46"/>
      <c r="H115" s="46"/>
      <c r="I115" s="46"/>
      <c r="J115" s="49"/>
      <c r="K115" s="50"/>
    </row>
    <row r="116" ht="14.25" customHeight="1" outlineLevel="1">
      <c r="A116" s="45">
        <v>5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6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7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8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9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10</v>
      </c>
      <c r="B121" s="57"/>
      <c r="C121" s="57"/>
      <c r="D121" s="57"/>
      <c r="E121" s="58"/>
      <c r="F121" s="59"/>
      <c r="G121" s="57"/>
      <c r="H121" s="57"/>
      <c r="I121" s="57"/>
      <c r="J121" s="60"/>
      <c r="K121" s="61"/>
    </row>
    <row r="122" ht="23.100000000000001" customHeight="1">
      <c r="A122" s="63" t="s">
        <v>34</v>
      </c>
      <c r="B122" s="64"/>
      <c r="C122" s="64"/>
      <c r="D122" s="73"/>
      <c r="E122" s="65">
        <f>SUM(E95:E121)</f>
        <v>898305.64000000001</v>
      </c>
    </row>
    <row r="123" ht="23.100000000000001" customHeight="1">
      <c r="A123" s="63" t="s">
        <v>28</v>
      </c>
      <c r="B123" s="64"/>
      <c r="C123" s="64"/>
      <c r="D123" s="73"/>
      <c r="E123" s="65">
        <f>E91-E122</f>
        <v>353531.16000000003</v>
      </c>
      <c r="F123" s="66"/>
    </row>
    <row r="124" ht="24.75" customHeight="1">
      <c r="E124" s="1"/>
    </row>
    <row r="125" ht="30" customHeight="1">
      <c r="A125" s="74" t="s">
        <v>35</v>
      </c>
      <c r="B125" s="75"/>
      <c r="C125" s="75"/>
      <c r="D125" s="76"/>
      <c r="E125" s="77">
        <f>SUM(E126:E126)</f>
        <v>259104</v>
      </c>
      <c r="F125" s="13"/>
      <c r="G125" s="13"/>
      <c r="H125" s="13"/>
      <c r="I125" s="13"/>
    </row>
    <row r="126" ht="15" customHeight="1">
      <c r="A126" s="69" t="s">
        <v>36</v>
      </c>
      <c r="B126" s="70"/>
      <c r="C126" s="70"/>
      <c r="D126" s="71"/>
      <c r="E126" s="72">
        <v>259104</v>
      </c>
      <c r="F126" s="13"/>
      <c r="G126" s="13"/>
      <c r="H126" s="13"/>
      <c r="I126" s="13"/>
    </row>
    <row r="127" ht="5.2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25.5" customHeight="1" outlineLevel="1">
      <c r="A128" s="31" t="s">
        <v>10</v>
      </c>
      <c r="B128" s="31" t="s">
        <v>11</v>
      </c>
      <c r="C128" s="31" t="s">
        <v>12</v>
      </c>
      <c r="D128" s="31" t="s">
        <v>13</v>
      </c>
      <c r="E128" s="32" t="s">
        <v>14</v>
      </c>
      <c r="F128" s="31" t="s">
        <v>15</v>
      </c>
      <c r="G128" s="31" t="s">
        <v>16</v>
      </c>
      <c r="H128" s="33" t="s">
        <v>17</v>
      </c>
      <c r="I128" s="31" t="s">
        <v>18</v>
      </c>
      <c r="J128" s="31" t="s">
        <v>19</v>
      </c>
      <c r="K128" s="31" t="s">
        <v>32</v>
      </c>
    </row>
    <row r="129" s="34" customFormat="1" ht="18.75" customHeight="1" outlineLevel="1">
      <c r="A129" s="78"/>
      <c r="B129" s="79" t="s">
        <v>37</v>
      </c>
      <c r="C129" s="80"/>
      <c r="D129" s="81"/>
      <c r="E129" s="82"/>
      <c r="F129" s="79"/>
      <c r="G129" s="79"/>
      <c r="H129" s="79"/>
      <c r="I129" s="79"/>
      <c r="J129" s="79"/>
      <c r="K129" s="83"/>
    </row>
    <row r="130" ht="14.25" customHeight="1" outlineLevel="1">
      <c r="A130" s="51">
        <v>1</v>
      </c>
      <c r="B130" s="52"/>
      <c r="C130" s="52"/>
      <c r="D130" s="52"/>
      <c r="E130" s="53"/>
      <c r="F130" s="54"/>
      <c r="G130" s="52"/>
      <c r="H130" s="52"/>
      <c r="I130" s="52"/>
      <c r="J130" s="55"/>
      <c r="K130" s="56"/>
    </row>
    <row r="131" ht="14.25" customHeight="1" outlineLevel="1">
      <c r="A131" s="45">
        <v>2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3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4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5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6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7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8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9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10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11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12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13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14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62">
        <v>15</v>
      </c>
      <c r="B144" s="57"/>
      <c r="C144" s="57"/>
      <c r="D144" s="57"/>
      <c r="E144" s="58"/>
      <c r="F144" s="59"/>
      <c r="G144" s="57"/>
      <c r="H144" s="57"/>
      <c r="I144" s="57"/>
      <c r="J144" s="60"/>
      <c r="K144" s="61"/>
    </row>
    <row r="145" ht="23.100000000000001" customHeight="1">
      <c r="A145" s="84" t="s">
        <v>38</v>
      </c>
      <c r="B145" s="85"/>
      <c r="C145" s="85"/>
      <c r="D145" s="86"/>
      <c r="E145" s="87">
        <f>SUM(E129:E144)</f>
        <v>0</v>
      </c>
    </row>
    <row r="146" ht="23.100000000000001" customHeight="1">
      <c r="A146" s="84" t="s">
        <v>28</v>
      </c>
      <c r="B146" s="85"/>
      <c r="C146" s="85"/>
      <c r="D146" s="86"/>
      <c r="E146" s="87">
        <f>E125-E145</f>
        <v>259104</v>
      </c>
      <c r="F146" s="66"/>
    </row>
    <row r="147" ht="14.25">
      <c r="E147" s="1"/>
    </row>
    <row r="148" ht="14.25">
      <c r="E148" s="1"/>
    </row>
    <row r="204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8:D88"/>
    <mergeCell ref="A89:D89"/>
    <mergeCell ref="A91:D91"/>
    <mergeCell ref="A92:D92"/>
    <mergeCell ref="A122:D122"/>
    <mergeCell ref="A123:D123"/>
    <mergeCell ref="A125:D125"/>
    <mergeCell ref="A126:D126"/>
    <mergeCell ref="A145:D145"/>
    <mergeCell ref="A146:D14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D800FB-00C7-44B2-BF9C-002D00E10017}" type="list" allowBlank="1" errorStyle="stop" imeMode="noControl" operator="between" showDropDown="0" showErrorMessage="1" showInputMessage="1">
          <x14:formula1>
            <xm:f>ДаНет</xm:f>
          </x14:formula1>
          <xm:sqref>H68:H81 H51:H65 H130:H144 H83:H87 H96:H110 H113:H121 H17:H21 H26:H27 H31:H35 H37:H38 H40:H49 H39 H28 H29 H30</xm:sqref>
        </x14:dataValidation>
        <x14:dataValidation xr:uid="{007A0024-004C-42F2-9695-00ED00620047}" type="list" allowBlank="1" errorStyle="stop" imeMode="noControl" operator="between" showDropDown="0" showErrorMessage="1" showInputMessage="1">
          <x14:formula1>
            <xm:f>ДаНет</xm:f>
          </x14:formula1>
          <xm:sqref>H67</xm:sqref>
        </x14:dataValidation>
        <x14:dataValidation xr:uid="{00B300FF-0015-40E0-A6B9-008D004100CE}" type="list" allowBlank="1" errorStyle="stop" imeMode="noControl" operator="between" showDropDown="0" showErrorMessage="1" showInputMessage="1">
          <x14:formula1>
            <xm:f>ДаНет</xm:f>
          </x14:formula1>
          <xm:sqref>H22:H25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5">
    <outlinePr applyStyles="0" summaryBelow="1" summaryRight="1" showOutlineSymbols="1"/>
    <pageSetUpPr autoPageBreaks="1" fitToPage="0"/>
  </sheetPr>
  <sheetViews>
    <sheetView showGridLines="0" showRuler="1" topLeftCell="A2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43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'04'!C2+1</f>
        <v>46086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233348.59000000003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121774.75999999999</v>
      </c>
      <c r="F5" s="89">
        <f>E17+E68+E84+E85</f>
        <v>4392480.7000000002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3800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17693.610000000001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 t="s">
        <v>228</v>
      </c>
      <c r="C17" s="40" t="s">
        <v>229</v>
      </c>
      <c r="D17" s="40" t="s">
        <v>230</v>
      </c>
      <c r="E17" s="95">
        <v>11856.76</v>
      </c>
      <c r="F17" s="180" t="s">
        <v>231</v>
      </c>
      <c r="G17" s="40"/>
      <c r="H17" s="40" t="s">
        <v>45</v>
      </c>
      <c r="I17" s="40" t="s">
        <v>232</v>
      </c>
      <c r="J17" s="43" t="s">
        <v>46</v>
      </c>
      <c r="K17" s="44"/>
    </row>
    <row r="18" ht="25.5" customHeight="1" outlineLevel="1">
      <c r="A18" s="45">
        <v>2</v>
      </c>
      <c r="B18" s="181" t="s">
        <v>228</v>
      </c>
      <c r="C18" s="182" t="s">
        <v>233</v>
      </c>
      <c r="D18" s="183" t="s">
        <v>234</v>
      </c>
      <c r="E18" s="184">
        <v>25961</v>
      </c>
      <c r="F18" s="185" t="s">
        <v>231</v>
      </c>
      <c r="G18" s="183"/>
      <c r="H18" s="183" t="s">
        <v>45</v>
      </c>
      <c r="I18" s="183" t="s">
        <v>232</v>
      </c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157"/>
      <c r="F20" s="48"/>
      <c r="G20" s="46"/>
      <c r="H20" s="46"/>
      <c r="I20" s="46"/>
      <c r="J20" s="49"/>
      <c r="K20" s="50"/>
    </row>
    <row r="21" ht="14.25" customHeight="1" outlineLevel="1">
      <c r="A21" s="96">
        <v>5</v>
      </c>
      <c r="B21" s="97" t="s">
        <v>47</v>
      </c>
      <c r="C21" s="99" t="s">
        <v>57</v>
      </c>
      <c r="D21" s="186" t="s">
        <v>58</v>
      </c>
      <c r="E21" s="159">
        <v>2000000</v>
      </c>
      <c r="F21" s="141" t="s">
        <v>44</v>
      </c>
      <c r="G21" s="46"/>
      <c r="H21" s="46" t="s">
        <v>45</v>
      </c>
      <c r="I21" s="46" t="s">
        <v>151</v>
      </c>
      <c r="J21" s="49" t="s">
        <v>46</v>
      </c>
      <c r="K21" s="50"/>
    </row>
    <row r="22" ht="14.25" customHeight="1" outlineLevel="1">
      <c r="A22" s="45">
        <v>6</v>
      </c>
      <c r="B22" s="48" t="s">
        <v>59</v>
      </c>
      <c r="C22" s="46" t="s">
        <v>60</v>
      </c>
      <c r="D22" s="187" t="s">
        <v>61</v>
      </c>
      <c r="E22" s="161">
        <v>4500000</v>
      </c>
      <c r="F22" s="141" t="s">
        <v>44</v>
      </c>
      <c r="G22" s="46"/>
      <c r="H22" s="46" t="s">
        <v>45</v>
      </c>
      <c r="I22" s="46" t="s">
        <v>151</v>
      </c>
      <c r="J22" s="49" t="s">
        <v>46</v>
      </c>
      <c r="K22" s="50"/>
    </row>
    <row r="23" ht="14.25" customHeight="1" outlineLevel="1">
      <c r="A23" s="45">
        <v>7</v>
      </c>
      <c r="B23" s="46" t="s">
        <v>152</v>
      </c>
      <c r="C23" s="46" t="s">
        <v>153</v>
      </c>
      <c r="D23" s="187">
        <v>2022</v>
      </c>
      <c r="E23" s="161">
        <v>7000000</v>
      </c>
      <c r="F23" s="162"/>
      <c r="G23" s="46"/>
      <c r="H23" s="46" t="s">
        <v>45</v>
      </c>
      <c r="I23" s="46" t="s">
        <v>151</v>
      </c>
      <c r="J23" s="49" t="s">
        <v>46</v>
      </c>
      <c r="K23" s="50"/>
    </row>
    <row r="24" ht="14.25" customHeight="1" outlineLevel="1">
      <c r="A24" s="45">
        <v>8</v>
      </c>
      <c r="B24" s="46" t="s">
        <v>152</v>
      </c>
      <c r="C24" s="46" t="s">
        <v>154</v>
      </c>
      <c r="D24" s="187">
        <v>202057</v>
      </c>
      <c r="E24" s="161">
        <v>2000000</v>
      </c>
      <c r="F24" s="141"/>
      <c r="G24" s="46"/>
      <c r="H24" s="46" t="s">
        <v>45</v>
      </c>
      <c r="I24" s="46" t="s">
        <v>151</v>
      </c>
      <c r="J24" s="49" t="s">
        <v>46</v>
      </c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8" t="s">
        <v>59</v>
      </c>
      <c r="C26" s="46" t="s">
        <v>60</v>
      </c>
      <c r="D26" s="187" t="s">
        <v>61</v>
      </c>
      <c r="E26" s="188">
        <v>10730000</v>
      </c>
      <c r="F26" s="141" t="s">
        <v>44</v>
      </c>
      <c r="G26" s="46"/>
      <c r="H26" s="46" t="s">
        <v>45</v>
      </c>
      <c r="I26" s="46"/>
      <c r="J26" s="49"/>
      <c r="K26" s="50"/>
    </row>
    <row r="27" ht="14.25" customHeight="1" outlineLevel="1">
      <c r="A27" s="96">
        <v>11</v>
      </c>
      <c r="B27" s="97" t="s">
        <v>47</v>
      </c>
      <c r="C27" s="99" t="s">
        <v>57</v>
      </c>
      <c r="D27" s="186" t="s">
        <v>58</v>
      </c>
      <c r="E27" s="189">
        <v>296000000</v>
      </c>
      <c r="F27" s="141" t="s">
        <v>44</v>
      </c>
      <c r="G27" s="46"/>
      <c r="H27" s="46" t="s">
        <v>45</v>
      </c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96">
        <v>13</v>
      </c>
      <c r="B29" s="97" t="s">
        <v>47</v>
      </c>
      <c r="C29" s="46" t="s">
        <v>48</v>
      </c>
      <c r="D29" s="46" t="s">
        <v>49</v>
      </c>
      <c r="E29" s="109">
        <v>1780495</v>
      </c>
      <c r="F29" s="48" t="s">
        <v>235</v>
      </c>
      <c r="G29" s="46"/>
      <c r="H29" s="46" t="s">
        <v>51</v>
      </c>
      <c r="I29" s="46" t="s">
        <v>52</v>
      </c>
      <c r="J29" s="49" t="s">
        <v>46</v>
      </c>
      <c r="K29" s="50"/>
    </row>
    <row r="30" ht="14.25" customHeight="1" outlineLevel="1">
      <c r="A30" s="96">
        <v>14</v>
      </c>
      <c r="B30" s="97" t="s">
        <v>47</v>
      </c>
      <c r="C30" s="46" t="s">
        <v>48</v>
      </c>
      <c r="D30" s="46" t="s">
        <v>49</v>
      </c>
      <c r="E30" s="109">
        <v>1177250</v>
      </c>
      <c r="F30" s="48" t="s">
        <v>236</v>
      </c>
      <c r="G30" s="46"/>
      <c r="H30" s="46" t="s">
        <v>51</v>
      </c>
      <c r="I30" s="46" t="s">
        <v>52</v>
      </c>
      <c r="J30" s="49" t="s">
        <v>46</v>
      </c>
      <c r="K30" s="50"/>
    </row>
    <row r="31" ht="14.25" customHeight="1" outlineLevel="1">
      <c r="A31" s="96">
        <v>15</v>
      </c>
      <c r="B31" s="190" t="s">
        <v>47</v>
      </c>
      <c r="C31" s="46" t="s">
        <v>48</v>
      </c>
      <c r="D31" s="46" t="s">
        <v>49</v>
      </c>
      <c r="E31" s="191">
        <v>1190000</v>
      </c>
      <c r="F31" s="48" t="s">
        <v>237</v>
      </c>
      <c r="G31" s="46"/>
      <c r="H31" s="46" t="s">
        <v>51</v>
      </c>
      <c r="I31" s="46" t="s">
        <v>52</v>
      </c>
      <c r="J31" s="49"/>
      <c r="K31" s="50"/>
    </row>
    <row r="32" ht="14.25" customHeight="1" outlineLevel="1">
      <c r="A32" s="96">
        <v>16</v>
      </c>
      <c r="B32" s="93" t="s">
        <v>41</v>
      </c>
      <c r="C32" s="46" t="s">
        <v>42</v>
      </c>
      <c r="D32" s="94" t="s">
        <v>43</v>
      </c>
      <c r="E32" s="192">
        <v>5000000</v>
      </c>
      <c r="F32" s="48" t="s">
        <v>44</v>
      </c>
      <c r="G32" s="46"/>
      <c r="H32" s="46"/>
      <c r="I32" s="46"/>
      <c r="J32" s="49" t="s">
        <v>46</v>
      </c>
      <c r="K32" s="50"/>
    </row>
    <row r="33" ht="14.25" customHeight="1" outlineLevel="1">
      <c r="A33" s="96">
        <v>17</v>
      </c>
      <c r="B33" s="97" t="s">
        <v>47</v>
      </c>
      <c r="C33" s="99" t="s">
        <v>57</v>
      </c>
      <c r="D33" s="186" t="s">
        <v>58</v>
      </c>
      <c r="E33" s="159">
        <v>3000000</v>
      </c>
      <c r="F33" s="141" t="s">
        <v>44</v>
      </c>
      <c r="G33" s="46"/>
      <c r="H33" s="46"/>
      <c r="I33" s="46"/>
      <c r="J33" s="49" t="s">
        <v>46</v>
      </c>
      <c r="K33" s="50"/>
    </row>
    <row r="34" ht="14.25" customHeight="1" outlineLevel="1">
      <c r="A34" s="45">
        <v>18</v>
      </c>
      <c r="B34" s="46" t="s">
        <v>152</v>
      </c>
      <c r="C34" s="46" t="s">
        <v>154</v>
      </c>
      <c r="D34" s="187">
        <v>202057</v>
      </c>
      <c r="E34" s="161">
        <v>3000000</v>
      </c>
      <c r="F34" s="141"/>
      <c r="G34" s="46"/>
      <c r="H34" s="46"/>
      <c r="I34" s="46"/>
      <c r="J34" s="49" t="s">
        <v>46</v>
      </c>
      <c r="K34" s="50"/>
    </row>
    <row r="35" s="34" customFormat="1" ht="25.5" customHeight="1" outlineLevel="1">
      <c r="A35" s="35"/>
      <c r="B35" s="37" t="s">
        <v>23</v>
      </c>
      <c r="C35" s="37"/>
      <c r="D35" s="193"/>
      <c r="E35" s="193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30" outlineLevel="1">
      <c r="A68" s="45">
        <v>1</v>
      </c>
      <c r="B68" s="194" t="s">
        <v>157</v>
      </c>
      <c r="C68" s="194" t="s">
        <v>238</v>
      </c>
      <c r="D68" s="194" t="s">
        <v>239</v>
      </c>
      <c r="E68" s="192">
        <v>30623.939999999999</v>
      </c>
      <c r="F68" s="195" t="s">
        <v>240</v>
      </c>
      <c r="G68" s="196" t="s">
        <v>89</v>
      </c>
      <c r="H68" s="196"/>
      <c r="I68" s="196"/>
      <c r="J68" s="55" t="s">
        <v>46</v>
      </c>
      <c r="K68" s="56"/>
    </row>
    <row r="69" ht="14.25" customHeight="1" outlineLevel="1">
      <c r="A69" s="96">
        <v>2</v>
      </c>
      <c r="B69" s="140"/>
      <c r="C69" s="140"/>
      <c r="D69" s="140"/>
      <c r="E69" s="140"/>
      <c r="F69" s="140"/>
      <c r="G69" s="140"/>
      <c r="H69" s="140"/>
      <c r="I69" s="140"/>
      <c r="J69" s="197"/>
      <c r="K69" s="50"/>
    </row>
    <row r="70" ht="14.25" customHeight="1" outlineLevel="1">
      <c r="A70" s="45">
        <v>3</v>
      </c>
      <c r="B70" s="40"/>
      <c r="C70" s="40"/>
      <c r="D70" s="40"/>
      <c r="E70" s="41"/>
      <c r="F70" s="42"/>
      <c r="G70" s="40"/>
      <c r="H70" s="40"/>
      <c r="I70" s="40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 t="s">
        <v>123</v>
      </c>
      <c r="C84" s="52" t="s">
        <v>124</v>
      </c>
      <c r="D84" s="52" t="s">
        <v>125</v>
      </c>
      <c r="E84" s="107">
        <v>1650000</v>
      </c>
      <c r="F84" s="54" t="s">
        <v>126</v>
      </c>
      <c r="G84" s="52"/>
      <c r="H84" s="52"/>
      <c r="I84" s="52"/>
      <c r="J84" s="55" t="s">
        <v>46</v>
      </c>
      <c r="K84" s="56"/>
    </row>
    <row r="85" ht="14.25" customHeight="1" outlineLevel="1">
      <c r="A85" s="39">
        <v>2</v>
      </c>
      <c r="B85" s="40" t="s">
        <v>123</v>
      </c>
      <c r="C85" s="40" t="s">
        <v>124</v>
      </c>
      <c r="D85" s="40" t="s">
        <v>127</v>
      </c>
      <c r="E85" s="95">
        <v>2700000</v>
      </c>
      <c r="F85" s="42" t="s">
        <v>126</v>
      </c>
      <c r="G85" s="40"/>
      <c r="H85" s="40"/>
      <c r="I85" s="40"/>
      <c r="J85" s="43" t="s">
        <v>46</v>
      </c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341796186.69999999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-341562838.11000001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170">
        <f>SUM(E93:E93)</f>
        <v>451171.15999999997</v>
      </c>
      <c r="F92" s="136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451171.15999999997</v>
      </c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127">
        <v>1</v>
      </c>
      <c r="B113" s="198" t="s">
        <v>223</v>
      </c>
      <c r="C113" s="199" t="s">
        <v>241</v>
      </c>
      <c r="D113" s="200" t="s">
        <v>239</v>
      </c>
      <c r="E113" s="201">
        <v>15879.48</v>
      </c>
      <c r="F113" s="54" t="s">
        <v>242</v>
      </c>
      <c r="G113" s="46" t="s">
        <v>89</v>
      </c>
      <c r="H113" s="52"/>
      <c r="I113" s="52"/>
      <c r="J113" s="55" t="s">
        <v>46</v>
      </c>
      <c r="K113" s="56"/>
    </row>
    <row r="114" ht="14.25" customHeight="1" outlineLevel="1">
      <c r="A114" s="45">
        <v>2</v>
      </c>
      <c r="B114" s="40" t="s">
        <v>223</v>
      </c>
      <c r="C114" s="40" t="s">
        <v>241</v>
      </c>
      <c r="D114" s="40" t="s">
        <v>239</v>
      </c>
      <c r="E114" s="98">
        <v>10691.32</v>
      </c>
      <c r="F114" s="48" t="s">
        <v>243</v>
      </c>
      <c r="G114" s="46" t="s">
        <v>89</v>
      </c>
      <c r="H114" s="46"/>
      <c r="I114" s="46"/>
      <c r="J114" s="49" t="s">
        <v>46</v>
      </c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126570.79999999999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324600.35999999999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259104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259104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259104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500F8-0017-46AE-8AEC-005C00840011}" type="list" allowBlank="1" errorStyle="stop" imeMode="noControl" operator="between" showDropDown="0" showErrorMessage="1" showInputMessage="1">
          <x14:formula1>
            <xm:f>ДаНет</xm:f>
          </x14:formula1>
          <xm:sqref>H68 H70:H82 H52:H66 H131:H145 H84:H88 H97:H111 H113:H122 H17:H20 H25:H34 H36:H50</xm:sqref>
        </x14:dataValidation>
        <x14:dataValidation xr:uid="{00340083-00B8-48ED-9ED2-00BD002500F9}" type="list" allowBlank="1" errorStyle="stop" imeMode="noControl" operator="between" showDropDown="0" showErrorMessage="1" showInputMessage="1">
          <x14:formula1>
            <xm:f>ДаНет</xm:f>
          </x14:formula1>
          <xm:sqref>H21:H23</xm:sqref>
        </x14:dataValidation>
        <x14:dataValidation xr:uid="{008B0087-008D-4CBD-96A4-00680071001A}" type="list" allowBlank="1" errorStyle="stop" imeMode="noControl" operator="between" showDropDown="0" showErrorMessage="1" showInputMessage="1">
          <x14:formula1>
            <xm:f>ДаНет</xm:f>
          </x14:formula1>
          <xm:sqref>H24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6"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5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7.5742187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'05'!C2+1</f>
        <v>46087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321819.62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222102.54999999999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3800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5836.8500000000004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92">
        <v>1</v>
      </c>
      <c r="B17" s="97" t="s">
        <v>47</v>
      </c>
      <c r="C17" s="46" t="s">
        <v>48</v>
      </c>
      <c r="D17" s="160" t="s">
        <v>49</v>
      </c>
      <c r="E17" s="202">
        <v>378335</v>
      </c>
      <c r="F17" s="115" t="s">
        <v>244</v>
      </c>
      <c r="G17" s="40"/>
      <c r="H17" s="40" t="s">
        <v>51</v>
      </c>
      <c r="I17" s="40" t="s">
        <v>170</v>
      </c>
      <c r="J17" s="43" t="s">
        <v>46</v>
      </c>
      <c r="K17" s="44"/>
    </row>
    <row r="18" ht="14.25" customHeight="1" outlineLevel="1">
      <c r="A18" s="45">
        <v>2</v>
      </c>
      <c r="B18" s="97" t="s">
        <v>47</v>
      </c>
      <c r="C18" s="46" t="s">
        <v>48</v>
      </c>
      <c r="D18" s="160" t="s">
        <v>49</v>
      </c>
      <c r="E18" s="203">
        <v>892245</v>
      </c>
      <c r="F18" s="115" t="s">
        <v>245</v>
      </c>
      <c r="G18" s="46"/>
      <c r="H18" s="46" t="s">
        <v>51</v>
      </c>
      <c r="I18" s="46" t="s">
        <v>170</v>
      </c>
      <c r="J18" s="49" t="s">
        <v>46</v>
      </c>
      <c r="K18" s="50"/>
    </row>
    <row r="19" ht="14.25" customHeight="1" outlineLevel="1">
      <c r="A19" s="96">
        <v>3</v>
      </c>
      <c r="B19" s="97" t="s">
        <v>47</v>
      </c>
      <c r="C19" s="46" t="s">
        <v>48</v>
      </c>
      <c r="D19" s="160" t="s">
        <v>49</v>
      </c>
      <c r="E19" s="203">
        <v>890715</v>
      </c>
      <c r="F19" s="115" t="s">
        <v>246</v>
      </c>
      <c r="G19" s="46"/>
      <c r="H19" s="46" t="s">
        <v>51</v>
      </c>
      <c r="I19" s="46" t="s">
        <v>170</v>
      </c>
      <c r="J19" s="49" t="s">
        <v>46</v>
      </c>
      <c r="K19" s="50"/>
    </row>
    <row r="20" ht="14.25" customHeight="1" outlineLevel="1">
      <c r="A20" s="96">
        <v>4</v>
      </c>
      <c r="B20" s="97" t="s">
        <v>47</v>
      </c>
      <c r="C20" s="46" t="s">
        <v>48</v>
      </c>
      <c r="D20" s="160" t="s">
        <v>49</v>
      </c>
      <c r="E20" s="203">
        <v>1742330</v>
      </c>
      <c r="F20" s="115" t="s">
        <v>247</v>
      </c>
      <c r="G20" s="46"/>
      <c r="H20" s="46" t="s">
        <v>51</v>
      </c>
      <c r="I20" s="46" t="s">
        <v>170</v>
      </c>
      <c r="J20" s="49" t="s">
        <v>46</v>
      </c>
      <c r="K20" s="50"/>
    </row>
    <row r="21" ht="14.25" customHeight="1" outlineLevel="1">
      <c r="A21" s="96">
        <v>5</v>
      </c>
      <c r="B21" s="97" t="s">
        <v>47</v>
      </c>
      <c r="C21" s="46" t="s">
        <v>48</v>
      </c>
      <c r="D21" s="160" t="s">
        <v>49</v>
      </c>
      <c r="E21" s="203">
        <v>1529150</v>
      </c>
      <c r="F21" s="115" t="s">
        <v>248</v>
      </c>
      <c r="G21" s="46"/>
      <c r="H21" s="46" t="s">
        <v>51</v>
      </c>
      <c r="I21" s="46" t="s">
        <v>170</v>
      </c>
      <c r="J21" s="49" t="s">
        <v>46</v>
      </c>
      <c r="K21" s="50"/>
    </row>
    <row r="22" ht="14.25" customHeight="1" outlineLevel="1">
      <c r="A22" s="96">
        <v>6</v>
      </c>
      <c r="B22" s="97" t="s">
        <v>47</v>
      </c>
      <c r="C22" s="99" t="s">
        <v>57</v>
      </c>
      <c r="D22" s="186" t="s">
        <v>58</v>
      </c>
      <c r="E22" s="159">
        <v>4000000</v>
      </c>
      <c r="F22" s="141" t="s">
        <v>44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45">
        <v>7</v>
      </c>
      <c r="B23" s="48"/>
      <c r="C23" s="46"/>
      <c r="D23" s="187"/>
      <c r="E23" s="204"/>
      <c r="F23" s="141"/>
      <c r="G23" s="46"/>
      <c r="H23" s="46" t="s">
        <v>45</v>
      </c>
      <c r="I23" s="46"/>
      <c r="J23" s="49"/>
      <c r="K23" s="50"/>
    </row>
    <row r="24" ht="14.25" customHeight="1" outlineLevel="1">
      <c r="A24" s="45">
        <v>8</v>
      </c>
      <c r="B24" s="46" t="s">
        <v>152</v>
      </c>
      <c r="C24" s="46" t="s">
        <v>153</v>
      </c>
      <c r="D24" s="187">
        <v>2022</v>
      </c>
      <c r="E24" s="204"/>
      <c r="F24" s="162"/>
      <c r="G24" s="46"/>
      <c r="H24" s="46" t="s">
        <v>45</v>
      </c>
      <c r="I24" s="46"/>
      <c r="J24" s="49"/>
      <c r="K24" s="50"/>
    </row>
    <row r="25" ht="14.25" customHeight="1" outlineLevel="1">
      <c r="A25" s="45">
        <v>9</v>
      </c>
      <c r="B25" s="46" t="s">
        <v>152</v>
      </c>
      <c r="C25" s="46" t="s">
        <v>154</v>
      </c>
      <c r="D25" s="187">
        <v>202057</v>
      </c>
      <c r="E25" s="161">
        <v>10000000</v>
      </c>
      <c r="F25" s="141"/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96">
        <v>10</v>
      </c>
      <c r="B26" s="97" t="s">
        <v>47</v>
      </c>
      <c r="C26" s="46" t="s">
        <v>249</v>
      </c>
      <c r="D26" s="46" t="s">
        <v>250</v>
      </c>
      <c r="E26" s="98">
        <v>1136000</v>
      </c>
      <c r="F26" s="48" t="s">
        <v>44</v>
      </c>
      <c r="G26" s="46"/>
      <c r="H26" s="46" t="s">
        <v>45</v>
      </c>
      <c r="I26" s="46"/>
      <c r="J26" s="49" t="s">
        <v>46</v>
      </c>
      <c r="K26" s="50"/>
    </row>
    <row r="27" ht="14.25" customHeight="1" outlineLevel="1">
      <c r="A27" s="45">
        <v>11</v>
      </c>
      <c r="B27" s="46"/>
      <c r="C27" s="46"/>
      <c r="D27" s="46"/>
      <c r="E27" s="101"/>
      <c r="F27" s="48"/>
      <c r="G27" s="46"/>
      <c r="H27" s="46"/>
      <c r="I27" s="46"/>
      <c r="J27" s="49"/>
      <c r="K27" s="50"/>
    </row>
    <row r="28" ht="14.25" customHeight="1" outlineLevel="1">
      <c r="A28" s="96">
        <v>12</v>
      </c>
      <c r="B28" s="97" t="s">
        <v>47</v>
      </c>
      <c r="C28" s="46" t="s">
        <v>48</v>
      </c>
      <c r="D28" s="46" t="s">
        <v>49</v>
      </c>
      <c r="E28" s="205"/>
      <c r="F28" s="48"/>
      <c r="G28" s="46"/>
      <c r="H28" s="46" t="s">
        <v>51</v>
      </c>
      <c r="I28" s="46" t="s">
        <v>170</v>
      </c>
      <c r="J28" s="49"/>
      <c r="K28" s="50"/>
    </row>
    <row r="29" ht="14.25" customHeight="1" outlineLevel="1">
      <c r="A29" s="96">
        <v>13</v>
      </c>
      <c r="B29" s="93" t="s">
        <v>41</v>
      </c>
      <c r="C29" s="46" t="s">
        <v>42</v>
      </c>
      <c r="D29" s="94" t="s">
        <v>43</v>
      </c>
      <c r="E29" s="206">
        <v>5000000</v>
      </c>
      <c r="F29" s="48" t="s">
        <v>44</v>
      </c>
      <c r="G29" s="46"/>
      <c r="H29" s="46" t="s">
        <v>45</v>
      </c>
      <c r="I29" s="46"/>
      <c r="J29" s="49" t="s">
        <v>46</v>
      </c>
      <c r="K29" s="50"/>
    </row>
    <row r="30" ht="14.25" customHeight="1" outlineLevel="1">
      <c r="A30" s="45">
        <v>14</v>
      </c>
      <c r="B30" s="46"/>
      <c r="C30" s="46"/>
      <c r="D30" s="46"/>
      <c r="E30" s="101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195" t="s">
        <v>59</v>
      </c>
      <c r="C31" s="46" t="s">
        <v>60</v>
      </c>
      <c r="D31" s="187" t="s">
        <v>61</v>
      </c>
      <c r="E31" s="161">
        <v>4350000</v>
      </c>
      <c r="F31" s="141" t="s">
        <v>44</v>
      </c>
      <c r="G31" s="46"/>
      <c r="H31" s="46" t="s">
        <v>45</v>
      </c>
      <c r="I31" s="46" t="s">
        <v>151</v>
      </c>
      <c r="J31" s="49" t="s">
        <v>46</v>
      </c>
      <c r="K31" s="50"/>
    </row>
    <row r="32" ht="14.25" customHeight="1" outlineLevel="1">
      <c r="A32" s="96">
        <v>16</v>
      </c>
      <c r="B32" s="93" t="s">
        <v>41</v>
      </c>
      <c r="C32" s="46" t="s">
        <v>82</v>
      </c>
      <c r="D32" s="46" t="s">
        <v>83</v>
      </c>
      <c r="E32" s="207">
        <v>505438</v>
      </c>
      <c r="F32" s="141" t="s">
        <v>44</v>
      </c>
      <c r="G32" s="46"/>
      <c r="H32" s="46"/>
      <c r="I32" s="46" t="s">
        <v>84</v>
      </c>
      <c r="J32" s="49"/>
      <c r="K32" s="50"/>
    </row>
    <row r="33" s="34" customFormat="1" ht="25.5" customHeight="1" outlineLevel="1">
      <c r="A33" s="35"/>
      <c r="B33" s="193" t="s">
        <v>23</v>
      </c>
      <c r="C33" s="37"/>
      <c r="D33" s="37"/>
      <c r="E33" s="37"/>
      <c r="F33" s="37"/>
      <c r="G33" s="37"/>
      <c r="H33" s="37"/>
      <c r="I33" s="37"/>
      <c r="J33" s="37"/>
      <c r="K33" s="38"/>
    </row>
    <row r="34" ht="14.25" customHeight="1" outlineLevel="1">
      <c r="A34" s="39">
        <v>1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ht="14.25" customHeight="1" outlineLevel="1">
      <c r="A35" s="45">
        <v>2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3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4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5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6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7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8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39">
        <v>9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10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11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12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13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14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15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s="34" customFormat="1" ht="25.5" customHeight="1" outlineLevel="1">
      <c r="A49" s="35"/>
      <c r="B49" s="37" t="s">
        <v>24</v>
      </c>
      <c r="C49" s="37"/>
      <c r="D49" s="37"/>
      <c r="E49" s="37"/>
      <c r="F49" s="37"/>
      <c r="G49" s="37"/>
      <c r="H49" s="37"/>
      <c r="I49" s="37"/>
      <c r="J49" s="37"/>
      <c r="K49" s="38"/>
    </row>
    <row r="50" ht="14.25" customHeight="1" outlineLevel="1">
      <c r="A50" s="51">
        <v>1</v>
      </c>
      <c r="B50" s="52"/>
      <c r="C50" s="52"/>
      <c r="D50" s="52"/>
      <c r="E50" s="53"/>
      <c r="F50" s="54"/>
      <c r="G50" s="52"/>
      <c r="H50" s="52"/>
      <c r="I50" s="52"/>
      <c r="J50" s="55"/>
      <c r="K50" s="56"/>
    </row>
    <row r="51" ht="14.25" customHeight="1" outlineLevel="1">
      <c r="A51" s="45">
        <v>2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3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4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5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6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7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8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9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10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11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12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13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14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15</v>
      </c>
      <c r="B64" s="57"/>
      <c r="C64" s="57"/>
      <c r="D64" s="57"/>
      <c r="E64" s="58"/>
      <c r="F64" s="59"/>
      <c r="G64" s="57"/>
      <c r="H64" s="57"/>
      <c r="I64" s="57"/>
      <c r="J64" s="60"/>
      <c r="K64" s="61"/>
    </row>
    <row r="65" s="34" customFormat="1" ht="25.5" customHeight="1" outlineLevel="1">
      <c r="A65" s="35"/>
      <c r="B65" s="36" t="s">
        <v>25</v>
      </c>
      <c r="C65" s="37"/>
      <c r="D65" s="37"/>
      <c r="E65" s="37"/>
      <c r="F65" s="37"/>
      <c r="G65" s="37"/>
      <c r="H65" s="37"/>
      <c r="I65" s="37"/>
      <c r="J65" s="37"/>
      <c r="K65" s="38"/>
    </row>
    <row r="66" ht="14.25" customHeight="1" outlineLevel="1">
      <c r="A66" s="45">
        <v>1</v>
      </c>
      <c r="B66" s="52"/>
      <c r="C66" s="52"/>
      <c r="D66" s="52"/>
      <c r="E66" s="53"/>
      <c r="F66" s="54"/>
      <c r="G66" s="52"/>
      <c r="H66" s="52"/>
      <c r="I66" s="52"/>
      <c r="J66" s="55"/>
      <c r="K66" s="56"/>
    </row>
    <row r="67" ht="14.25" customHeight="1" outlineLevel="1">
      <c r="A67" s="45">
        <v>2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3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4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5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6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7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8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9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10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11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12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13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14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15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s="34" customFormat="1" ht="25.5" customHeight="1" outlineLevel="1">
      <c r="A81" s="35"/>
      <c r="B81" s="36" t="s">
        <v>26</v>
      </c>
      <c r="C81" s="37"/>
      <c r="D81" s="37"/>
      <c r="E81" s="37"/>
      <c r="F81" s="37"/>
      <c r="G81" s="37"/>
      <c r="H81" s="37"/>
      <c r="I81" s="37"/>
      <c r="J81" s="37"/>
      <c r="K81" s="38"/>
    </row>
    <row r="82" ht="14.25" customHeight="1" outlineLevel="1">
      <c r="A82" s="51">
        <v>1</v>
      </c>
      <c r="B82" s="52" t="s">
        <v>123</v>
      </c>
      <c r="C82" s="52" t="s">
        <v>124</v>
      </c>
      <c r="D82" s="52" t="s">
        <v>127</v>
      </c>
      <c r="E82" s="107">
        <v>2700000</v>
      </c>
      <c r="F82" s="54" t="s">
        <v>126</v>
      </c>
      <c r="G82" s="52"/>
      <c r="H82" s="52"/>
      <c r="I82" s="52"/>
      <c r="J82" s="55" t="s">
        <v>46</v>
      </c>
      <c r="K82" s="56"/>
    </row>
    <row r="83" ht="14.25" customHeight="1" outlineLevel="1">
      <c r="A83" s="39">
        <v>2</v>
      </c>
      <c r="B83" s="40"/>
      <c r="C83" s="40"/>
      <c r="D83" s="40"/>
      <c r="E83" s="41"/>
      <c r="F83" s="42"/>
      <c r="G83" s="40"/>
      <c r="H83" s="40"/>
      <c r="I83" s="40"/>
      <c r="J83" s="43"/>
      <c r="K83" s="44"/>
    </row>
    <row r="84" ht="14.25" customHeight="1" outlineLevel="1">
      <c r="A84" s="39">
        <v>3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45">
        <v>4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</row>
    <row r="86" ht="15" customHeight="1" outlineLevel="1">
      <c r="A86" s="62">
        <v>5</v>
      </c>
      <c r="B86" s="57"/>
      <c r="C86" s="57"/>
      <c r="D86" s="57"/>
      <c r="E86" s="58"/>
      <c r="F86" s="59"/>
      <c r="G86" s="57"/>
      <c r="H86" s="57"/>
      <c r="I86" s="57"/>
      <c r="J86" s="60"/>
      <c r="K86" s="61"/>
    </row>
    <row r="87" ht="23.100000000000001" customHeight="1">
      <c r="A87" s="63" t="s">
        <v>27</v>
      </c>
      <c r="B87" s="64"/>
      <c r="C87" s="64"/>
      <c r="D87" s="64"/>
      <c r="E87" s="65">
        <f>SUM(E16:E86)</f>
        <v>33124213</v>
      </c>
    </row>
    <row r="88" ht="23.100000000000001" customHeight="1">
      <c r="A88" s="63" t="s">
        <v>28</v>
      </c>
      <c r="B88" s="64"/>
      <c r="C88" s="64"/>
      <c r="D88" s="64"/>
      <c r="E88" s="65">
        <f>E4-E87</f>
        <v>-32802393.379999999</v>
      </c>
      <c r="F88" s="66"/>
    </row>
    <row r="89" ht="30.75" customHeight="1">
      <c r="A89" s="66"/>
      <c r="B89" s="66"/>
      <c r="C89" s="66"/>
      <c r="D89" s="66"/>
      <c r="E89" s="66"/>
      <c r="F89" s="66"/>
    </row>
    <row r="90" ht="30" customHeight="1">
      <c r="A90" s="9" t="s">
        <v>128</v>
      </c>
      <c r="B90" s="10"/>
      <c r="C90" s="10"/>
      <c r="D90" s="11"/>
      <c r="E90" s="170">
        <f>SUM(E91:E91)</f>
        <v>424600.35999999999</v>
      </c>
      <c r="F90" s="136" t="s">
        <v>39</v>
      </c>
      <c r="G90" s="68" t="s">
        <v>30</v>
      </c>
      <c r="H90" s="13"/>
      <c r="I90" s="13"/>
    </row>
    <row r="91" ht="15" customHeight="1">
      <c r="A91" s="69" t="s">
        <v>31</v>
      </c>
      <c r="B91" s="70"/>
      <c r="C91" s="70"/>
      <c r="D91" s="71"/>
      <c r="E91" s="72">
        <v>424600.35999999999</v>
      </c>
      <c r="F91" s="13"/>
      <c r="G91" s="13"/>
      <c r="H91" s="13"/>
      <c r="I91" s="13"/>
    </row>
    <row r="92" ht="4.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25.5" customHeight="1" outlineLevel="1">
      <c r="A93" s="31" t="s">
        <v>10</v>
      </c>
      <c r="B93" s="31" t="s">
        <v>11</v>
      </c>
      <c r="C93" s="31" t="s">
        <v>12</v>
      </c>
      <c r="D93" s="31" t="s">
        <v>13</v>
      </c>
      <c r="E93" s="32" t="s">
        <v>14</v>
      </c>
      <c r="F93" s="31" t="s">
        <v>15</v>
      </c>
      <c r="G93" s="31" t="s">
        <v>16</v>
      </c>
      <c r="H93" s="33" t="s">
        <v>17</v>
      </c>
      <c r="I93" s="31" t="s">
        <v>18</v>
      </c>
      <c r="J93" s="31" t="s">
        <v>19</v>
      </c>
      <c r="K93" s="31" t="s">
        <v>32</v>
      </c>
    </row>
    <row r="94" s="34" customFormat="1" ht="25.5" customHeight="1" outlineLevel="1">
      <c r="A94" s="35"/>
      <c r="B94" s="37" t="s">
        <v>33</v>
      </c>
      <c r="C94" s="37"/>
      <c r="D94" s="37"/>
      <c r="E94" s="37"/>
      <c r="F94" s="37"/>
      <c r="G94" s="37"/>
      <c r="H94" s="37"/>
      <c r="I94" s="37"/>
      <c r="J94" s="37"/>
      <c r="K94" s="38"/>
    </row>
    <row r="95" ht="14.25" customHeight="1" outlineLevel="1">
      <c r="A95" s="39">
        <v>1</v>
      </c>
      <c r="B95" s="52"/>
      <c r="C95" s="52"/>
      <c r="D95" s="52"/>
      <c r="E95" s="53"/>
      <c r="F95" s="54"/>
      <c r="G95" s="52"/>
      <c r="H95" s="52"/>
      <c r="I95" s="52"/>
      <c r="J95" s="55"/>
      <c r="K95" s="56"/>
    </row>
    <row r="96" ht="14.25" customHeight="1" outlineLevel="1">
      <c r="A96" s="39">
        <v>2</v>
      </c>
      <c r="B96" s="46"/>
      <c r="C96" s="46"/>
      <c r="D96" s="46"/>
      <c r="E96" s="47"/>
      <c r="F96" s="48"/>
      <c r="G96" s="46"/>
      <c r="H96" s="46"/>
      <c r="I96" s="46"/>
      <c r="J96" s="49"/>
      <c r="K96" s="50"/>
    </row>
    <row r="97" ht="14.25" customHeight="1" outlineLevel="1">
      <c r="A97" s="39">
        <v>3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4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5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6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7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8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9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10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11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12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13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14</v>
      </c>
      <c r="B108" s="46"/>
      <c r="C108" s="46"/>
      <c r="D108" s="46"/>
      <c r="E108" s="47">
        <v>100000</v>
      </c>
      <c r="F108" s="48"/>
      <c r="G108" s="46"/>
      <c r="H108" s="46"/>
      <c r="I108" s="46"/>
      <c r="J108" s="49"/>
      <c r="K108" s="50"/>
    </row>
    <row r="109" ht="14.25" customHeight="1" outlineLevel="1">
      <c r="A109" s="39">
        <v>15</v>
      </c>
      <c r="B109" s="57"/>
      <c r="C109" s="57"/>
      <c r="D109" s="57"/>
      <c r="E109" s="58"/>
      <c r="F109" s="59"/>
      <c r="G109" s="57"/>
      <c r="H109" s="57"/>
      <c r="I109" s="57"/>
      <c r="J109" s="60"/>
      <c r="K109" s="61"/>
    </row>
    <row r="110" s="34" customFormat="1" ht="25.5" customHeight="1" outlineLevel="1">
      <c r="A110" s="35"/>
      <c r="B110" s="37" t="s">
        <v>25</v>
      </c>
      <c r="C110" s="37"/>
      <c r="D110" s="37"/>
      <c r="E110" s="37"/>
      <c r="F110" s="37"/>
      <c r="G110" s="37"/>
      <c r="H110" s="37"/>
      <c r="I110" s="37"/>
      <c r="J110" s="37"/>
      <c r="K110" s="38"/>
    </row>
    <row r="111" ht="14.25" customHeight="1" outlineLevel="1">
      <c r="A111" s="127">
        <v>1</v>
      </c>
      <c r="B111" s="198" t="s">
        <v>223</v>
      </c>
      <c r="C111" s="199" t="s">
        <v>241</v>
      </c>
      <c r="D111" s="200" t="s">
        <v>239</v>
      </c>
      <c r="E111" s="201">
        <v>91635.740000000005</v>
      </c>
      <c r="F111" s="54" t="s">
        <v>251</v>
      </c>
      <c r="G111" s="52" t="s">
        <v>89</v>
      </c>
      <c r="H111" s="52"/>
      <c r="I111" s="52"/>
      <c r="J111" s="55" t="s">
        <v>46</v>
      </c>
      <c r="K111" s="56"/>
    </row>
    <row r="112" ht="14.25" customHeight="1" outlineLevel="1">
      <c r="A112" s="45">
        <v>2</v>
      </c>
      <c r="B112" s="40"/>
      <c r="C112" s="40"/>
      <c r="D112" s="40"/>
      <c r="E112" s="47"/>
      <c r="F112" s="48"/>
      <c r="G112" s="46"/>
      <c r="H112" s="46"/>
      <c r="I112" s="46"/>
      <c r="J112" s="49"/>
      <c r="K112" s="50"/>
    </row>
    <row r="113" ht="14.25" customHeight="1" outlineLevel="1">
      <c r="A113" s="45">
        <v>3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4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5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6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7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8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9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10</v>
      </c>
      <c r="B120" s="57"/>
      <c r="C120" s="57"/>
      <c r="D120" s="57"/>
      <c r="E120" s="58"/>
      <c r="F120" s="59"/>
      <c r="G120" s="57"/>
      <c r="H120" s="57"/>
      <c r="I120" s="57"/>
      <c r="J120" s="60"/>
      <c r="K120" s="61"/>
    </row>
    <row r="121" ht="23.100000000000001" customHeight="1">
      <c r="A121" s="63" t="s">
        <v>34</v>
      </c>
      <c r="B121" s="64"/>
      <c r="C121" s="64"/>
      <c r="D121" s="73"/>
      <c r="E121" s="65">
        <f>SUM(E94:E120)</f>
        <v>191635.73999999999</v>
      </c>
    </row>
    <row r="122" ht="23.100000000000001" customHeight="1">
      <c r="A122" s="63" t="s">
        <v>28</v>
      </c>
      <c r="B122" s="64"/>
      <c r="C122" s="64"/>
      <c r="D122" s="73"/>
      <c r="E122" s="65">
        <f>E90-E121</f>
        <v>232964.62</v>
      </c>
      <c r="F122" s="66"/>
    </row>
    <row r="123" ht="24.75" customHeight="1">
      <c r="E123" s="1"/>
    </row>
    <row r="124" ht="30" customHeight="1">
      <c r="A124" s="74" t="s">
        <v>35</v>
      </c>
      <c r="B124" s="75"/>
      <c r="C124" s="75"/>
      <c r="D124" s="76"/>
      <c r="E124" s="77">
        <f>SUM(E125:E125)</f>
        <v>259104</v>
      </c>
      <c r="F124" s="13"/>
      <c r="G124" s="13"/>
      <c r="H124" s="13"/>
      <c r="I124" s="13"/>
    </row>
    <row r="125" ht="15" customHeight="1">
      <c r="A125" s="69" t="s">
        <v>36</v>
      </c>
      <c r="B125" s="70"/>
      <c r="C125" s="70"/>
      <c r="D125" s="71"/>
      <c r="E125" s="72">
        <v>259104</v>
      </c>
      <c r="F125" s="13"/>
      <c r="G125" s="13"/>
      <c r="H125" s="13"/>
      <c r="I125" s="13"/>
    </row>
    <row r="126" ht="5.2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25.5" customHeight="1" outlineLevel="1">
      <c r="A127" s="31" t="s">
        <v>10</v>
      </c>
      <c r="B127" s="31" t="s">
        <v>11</v>
      </c>
      <c r="C127" s="31" t="s">
        <v>12</v>
      </c>
      <c r="D127" s="31" t="s">
        <v>13</v>
      </c>
      <c r="E127" s="32" t="s">
        <v>14</v>
      </c>
      <c r="F127" s="31" t="s">
        <v>15</v>
      </c>
      <c r="G127" s="31" t="s">
        <v>16</v>
      </c>
      <c r="H127" s="33" t="s">
        <v>17</v>
      </c>
      <c r="I127" s="31" t="s">
        <v>18</v>
      </c>
      <c r="J127" s="31" t="s">
        <v>19</v>
      </c>
      <c r="K127" s="31" t="s">
        <v>32</v>
      </c>
    </row>
    <row r="128" s="34" customFormat="1" ht="18.75" customHeight="1" outlineLevel="1">
      <c r="A128" s="78"/>
      <c r="B128" s="79" t="s">
        <v>37</v>
      </c>
      <c r="C128" s="80"/>
      <c r="D128" s="81"/>
      <c r="E128" s="82"/>
      <c r="F128" s="79"/>
      <c r="G128" s="79"/>
      <c r="H128" s="79"/>
      <c r="I128" s="79"/>
      <c r="J128" s="79"/>
      <c r="K128" s="83"/>
    </row>
    <row r="129" ht="14.25" customHeight="1" outlineLevel="1">
      <c r="A129" s="51">
        <v>1</v>
      </c>
      <c r="B129" s="52"/>
      <c r="C129" s="52"/>
      <c r="D129" s="52"/>
      <c r="E129" s="53"/>
      <c r="F129" s="54"/>
      <c r="G129" s="52"/>
      <c r="H129" s="52"/>
      <c r="I129" s="52"/>
      <c r="J129" s="55"/>
      <c r="K129" s="56"/>
    </row>
    <row r="130" ht="14.25" customHeight="1" outlineLevel="1">
      <c r="A130" s="45">
        <v>2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3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4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5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6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7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8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9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10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11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12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13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14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62">
        <v>15</v>
      </c>
      <c r="B143" s="57"/>
      <c r="C143" s="57"/>
      <c r="D143" s="57"/>
      <c r="E143" s="58"/>
      <c r="F143" s="59"/>
      <c r="G143" s="57"/>
      <c r="H143" s="57"/>
      <c r="I143" s="57"/>
      <c r="J143" s="60"/>
      <c r="K143" s="61"/>
    </row>
    <row r="144" ht="23.100000000000001" customHeight="1">
      <c r="A144" s="84" t="s">
        <v>38</v>
      </c>
      <c r="B144" s="85"/>
      <c r="C144" s="85"/>
      <c r="D144" s="86"/>
      <c r="E144" s="87">
        <f>SUM(E128:E143)</f>
        <v>0</v>
      </c>
    </row>
    <row r="145" ht="23.100000000000001" customHeight="1">
      <c r="A145" s="84" t="s">
        <v>28</v>
      </c>
      <c r="B145" s="85"/>
      <c r="C145" s="85"/>
      <c r="D145" s="86"/>
      <c r="E145" s="87">
        <f>E124-E144</f>
        <v>259104</v>
      </c>
      <c r="F145" s="66"/>
    </row>
    <row r="146" ht="14.25">
      <c r="E146" s="1"/>
    </row>
    <row r="147" ht="14.25">
      <c r="E147" s="1"/>
    </row>
    <row r="148" ht="14.25">
      <c r="E148" s="1"/>
    </row>
    <row r="149" ht="14.25">
      <c r="E149" s="1"/>
    </row>
    <row r="150" ht="14.25">
      <c r="E150" s="1"/>
    </row>
    <row r="203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7:D87"/>
    <mergeCell ref="A88:D88"/>
    <mergeCell ref="A90:D90"/>
    <mergeCell ref="A91:D91"/>
    <mergeCell ref="A121:D121"/>
    <mergeCell ref="A122:D122"/>
    <mergeCell ref="A124:D124"/>
    <mergeCell ref="A125:D125"/>
    <mergeCell ref="A144:D144"/>
    <mergeCell ref="A145:D1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3A0061-0022-4829-985A-0022001400CE}" type="list" allowBlank="1" errorStyle="stop" imeMode="noControl" operator="between" showDropDown="0" showErrorMessage="1" showInputMessage="1">
          <x14:formula1>
            <xm:f>ДаНет</xm:f>
          </x14:formula1>
          <xm:sqref>H66:H80 H50:H64 H129:H143 H82:H86 H95:H109 H111:H120 H17:H18 H30:H32 H34:H48 H19 H20 H21</xm:sqref>
        </x14:dataValidation>
        <x14:dataValidation xr:uid="{00CE0019-00CA-4FD5-BA5F-00D200BE00A6}" type="list" allowBlank="1" errorStyle="stop" imeMode="noControl" operator="between" showDropDown="0" showErrorMessage="1" showInputMessage="1">
          <x14:formula1>
            <xm:f>ДаНет</xm:f>
          </x14:formula1>
          <xm:sqref>H26:H29</xm:sqref>
        </x14:dataValidation>
        <x14:dataValidation xr:uid="{00A90011-00FD-4B8E-8D60-007A00D600F0}" type="list" allowBlank="1" errorStyle="stop" imeMode="noControl" operator="between" showDropDown="0" showErrorMessage="1" showInputMessage="1">
          <x14:formula1>
            <xm:f>ДаНет</xm:f>
          </x14:formula1>
          <xm:sqref>H22:H24</xm:sqref>
        </x14:dataValidation>
        <x14:dataValidation xr:uid="{00D400B6-003D-4F06-BF58-00B60079006E}" type="list" allowBlank="1" errorStyle="stop" imeMode="noControl" operator="between" showDropDown="0" showErrorMessage="1" showInputMessage="1">
          <x14:formula1>
            <xm:f>ДаНет</xm:f>
          </x14:formula1>
          <xm:sqref>H25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7"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'06'!C2+1</f>
        <v>46088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252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A100B4-00E4-49FB-B494-008200D90051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8"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'07'!C2+1</f>
        <v>46089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410046-000E-4E51-A326-00F5008600A2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9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40" zoomScale="100" workbookViewId="0">
      <selection activeCell="E37" activeCellId="0" sqref="E3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'08'!C2+1</f>
        <v>46090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 t="s">
        <v>101</v>
      </c>
      <c r="C52" s="52" t="s">
        <v>253</v>
      </c>
      <c r="D52" s="52" t="s">
        <v>254</v>
      </c>
      <c r="E52" s="208">
        <v>160000</v>
      </c>
      <c r="F52" s="54" t="s">
        <v>255</v>
      </c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160000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-160000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C001B-002F-4ABD-8091-001E00C000E4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0">
    <outlinePr applyStyles="0" summaryBelow="1" summaryRight="1" showOutlineSymbols="1"/>
    <pageSetUpPr autoPageBreaks="1" fitToPage="0"/>
  </sheetPr>
  <sheetViews>
    <sheetView showGridLines="0" showRuler="1" topLeftCell="A74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65.7109375"/>
    <col customWidth="1" min="7" max="7" style="1" width="20.7109375"/>
    <col customWidth="1" min="8" max="8" style="1" width="11.28515625"/>
    <col customWidth="1" min="9" max="9" style="1" width="38.5742187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'09'!C2+1</f>
        <v>46091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5922337.379999999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5822625.0499999998</v>
      </c>
      <c r="F5" s="89">
        <f>E19+E52+E68+E69+E70+E71+E72+E73+E74+E75+E76+E21+E77</f>
        <v>7143948.0599999996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3795.2600000000002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5836.8500000000004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8" t="s">
        <v>59</v>
      </c>
      <c r="C17" s="46" t="s">
        <v>60</v>
      </c>
      <c r="D17" s="187" t="s">
        <v>61</v>
      </c>
      <c r="E17" s="163">
        <v>3335856.25</v>
      </c>
      <c r="F17" s="209" t="s">
        <v>44</v>
      </c>
      <c r="G17" s="40"/>
      <c r="H17" s="40" t="s">
        <v>45</v>
      </c>
      <c r="I17" s="40"/>
      <c r="J17" s="43"/>
      <c r="K17" s="44"/>
    </row>
    <row r="18" ht="14.25" customHeight="1" outlineLevel="1">
      <c r="A18" s="96">
        <v>2</v>
      </c>
      <c r="B18" s="97" t="s">
        <v>47</v>
      </c>
      <c r="C18" s="99" t="s">
        <v>57</v>
      </c>
      <c r="D18" s="186" t="s">
        <v>58</v>
      </c>
      <c r="E18" s="210">
        <v>304000000</v>
      </c>
      <c r="F18" s="141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45">
        <v>3</v>
      </c>
      <c r="B19" s="46" t="s">
        <v>41</v>
      </c>
      <c r="C19" s="46" t="s">
        <v>48</v>
      </c>
      <c r="D19" s="46" t="s">
        <v>49</v>
      </c>
      <c r="E19" s="166">
        <v>1783725</v>
      </c>
      <c r="F19" s="48" t="s">
        <v>256</v>
      </c>
      <c r="G19" s="46"/>
      <c r="H19" s="46" t="s">
        <v>51</v>
      </c>
      <c r="I19" s="46" t="s">
        <v>170</v>
      </c>
      <c r="J19" s="49" t="s">
        <v>46</v>
      </c>
      <c r="K19" s="50"/>
    </row>
    <row r="20" ht="14.25" customHeight="1" outlineLevel="1">
      <c r="A20" s="45">
        <v>4</v>
      </c>
      <c r="B20" s="48" t="s">
        <v>59</v>
      </c>
      <c r="C20" s="46" t="s">
        <v>60</v>
      </c>
      <c r="D20" s="187" t="s">
        <v>61</v>
      </c>
      <c r="E20" s="161">
        <v>2700000</v>
      </c>
      <c r="F20" s="141" t="s">
        <v>44</v>
      </c>
      <c r="G20" s="46"/>
      <c r="H20" s="46" t="s">
        <v>45</v>
      </c>
      <c r="I20" s="46" t="s">
        <v>151</v>
      </c>
      <c r="J20" s="49" t="s">
        <v>46</v>
      </c>
      <c r="K20" s="50"/>
    </row>
    <row r="21" ht="14.25" customHeight="1" outlineLevel="1">
      <c r="A21" s="45">
        <v>5</v>
      </c>
      <c r="B21" s="46"/>
      <c r="C21" s="46" t="s">
        <v>78</v>
      </c>
      <c r="D21" s="46"/>
      <c r="E21" s="98">
        <v>3200000</v>
      </c>
      <c r="F21" s="48"/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6</v>
      </c>
      <c r="B22" s="46" t="s">
        <v>41</v>
      </c>
      <c r="C22" s="46" t="s">
        <v>48</v>
      </c>
      <c r="D22" s="46" t="s">
        <v>49</v>
      </c>
      <c r="E22" s="98">
        <f>1692562.5+1774375</f>
        <v>3466937.5</v>
      </c>
      <c r="F22" s="48" t="s">
        <v>257</v>
      </c>
      <c r="G22" s="46"/>
      <c r="H22" s="46" t="s">
        <v>51</v>
      </c>
      <c r="I22" s="46" t="s">
        <v>170</v>
      </c>
      <c r="J22" s="49" t="s">
        <v>258</v>
      </c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 t="s">
        <v>112</v>
      </c>
      <c r="C52" s="52" t="s">
        <v>80</v>
      </c>
      <c r="D52" s="52"/>
      <c r="E52" s="107">
        <v>23432</v>
      </c>
      <c r="F52" s="54" t="s">
        <v>259</v>
      </c>
      <c r="G52" s="52" t="s">
        <v>260</v>
      </c>
      <c r="H52" s="52"/>
      <c r="I52" s="52"/>
      <c r="J52" s="55" t="s">
        <v>46</v>
      </c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33" customHeight="1" outlineLevel="1">
      <c r="A68" s="45">
        <v>1</v>
      </c>
      <c r="B68" s="211" t="s">
        <v>157</v>
      </c>
      <c r="C68" s="212" t="s">
        <v>261</v>
      </c>
      <c r="D68" s="212" t="s">
        <v>262</v>
      </c>
      <c r="E68" s="213">
        <v>17412.290000000001</v>
      </c>
      <c r="F68" s="214" t="s">
        <v>263</v>
      </c>
      <c r="G68" s="196" t="s">
        <v>260</v>
      </c>
      <c r="H68" s="52"/>
      <c r="I68" s="52"/>
      <c r="J68" s="55" t="s">
        <v>46</v>
      </c>
      <c r="K68" s="56"/>
    </row>
    <row r="69" ht="27.75" customHeight="1" outlineLevel="1">
      <c r="A69" s="45">
        <v>2</v>
      </c>
      <c r="B69" s="215" t="s">
        <v>157</v>
      </c>
      <c r="C69" s="216" t="s">
        <v>264</v>
      </c>
      <c r="D69" s="216" t="s">
        <v>262</v>
      </c>
      <c r="E69" s="217">
        <v>47809.480000000003</v>
      </c>
      <c r="F69" s="218" t="s">
        <v>263</v>
      </c>
      <c r="G69" s="219" t="s">
        <v>260</v>
      </c>
      <c r="H69" s="115"/>
      <c r="I69" s="46"/>
      <c r="J69" s="49" t="s">
        <v>46</v>
      </c>
      <c r="K69" s="50"/>
    </row>
    <row r="70" ht="27.75" customHeight="1" outlineLevel="1">
      <c r="A70" s="45">
        <v>3</v>
      </c>
      <c r="B70" s="215" t="s">
        <v>157</v>
      </c>
      <c r="C70" s="216" t="s">
        <v>265</v>
      </c>
      <c r="D70" s="216" t="s">
        <v>262</v>
      </c>
      <c r="E70" s="220">
        <v>44500.470000000001</v>
      </c>
      <c r="F70" s="221" t="s">
        <v>263</v>
      </c>
      <c r="G70" s="222" t="s">
        <v>260</v>
      </c>
      <c r="H70" s="115"/>
      <c r="I70" s="46"/>
      <c r="J70" s="49" t="s">
        <v>46</v>
      </c>
      <c r="K70" s="50"/>
    </row>
    <row r="71" ht="35.25" customHeight="1" outlineLevel="1">
      <c r="A71" s="45">
        <v>4</v>
      </c>
      <c r="B71" s="215" t="s">
        <v>157</v>
      </c>
      <c r="C71" s="216" t="s">
        <v>266</v>
      </c>
      <c r="D71" s="216" t="s">
        <v>239</v>
      </c>
      <c r="E71" s="217">
        <v>218582.57999999999</v>
      </c>
      <c r="F71" s="221" t="s">
        <v>263</v>
      </c>
      <c r="G71" s="222" t="s">
        <v>260</v>
      </c>
      <c r="H71" s="115"/>
      <c r="I71" s="46"/>
      <c r="J71" s="49" t="s">
        <v>46</v>
      </c>
      <c r="K71" s="50"/>
    </row>
    <row r="72" ht="28.5" customHeight="1" outlineLevel="1">
      <c r="A72" s="45">
        <v>5</v>
      </c>
      <c r="B72" s="215" t="s">
        <v>157</v>
      </c>
      <c r="C72" s="216" t="s">
        <v>238</v>
      </c>
      <c r="D72" s="216" t="s">
        <v>239</v>
      </c>
      <c r="E72" s="217">
        <v>1022267.2</v>
      </c>
      <c r="F72" s="221" t="s">
        <v>263</v>
      </c>
      <c r="G72" s="223" t="s">
        <v>260</v>
      </c>
      <c r="H72" s="115"/>
      <c r="I72" s="46"/>
      <c r="J72" s="49" t="s">
        <v>46</v>
      </c>
      <c r="K72" s="50"/>
    </row>
    <row r="73" ht="24.75" customHeight="1" outlineLevel="1">
      <c r="A73" s="45">
        <v>6</v>
      </c>
      <c r="B73" s="142" t="s">
        <v>157</v>
      </c>
      <c r="C73" s="224" t="s">
        <v>267</v>
      </c>
      <c r="D73" s="224" t="s">
        <v>239</v>
      </c>
      <c r="E73" s="213">
        <v>621056.52000000002</v>
      </c>
      <c r="F73" s="218" t="s">
        <v>263</v>
      </c>
      <c r="G73" s="222" t="s">
        <v>260</v>
      </c>
      <c r="H73" s="115"/>
      <c r="I73" s="46"/>
      <c r="J73" s="49" t="s">
        <v>46</v>
      </c>
      <c r="K73" s="50"/>
    </row>
    <row r="74" ht="29.25" customHeight="1" outlineLevel="1">
      <c r="A74" s="45">
        <v>7</v>
      </c>
      <c r="B74" s="225" t="s">
        <v>157</v>
      </c>
      <c r="C74" s="226" t="s">
        <v>268</v>
      </c>
      <c r="D74" s="226" t="s">
        <v>269</v>
      </c>
      <c r="E74" s="227">
        <v>2231.3699999999999</v>
      </c>
      <c r="F74" s="228" t="s">
        <v>270</v>
      </c>
      <c r="G74" s="223" t="s">
        <v>260</v>
      </c>
      <c r="H74" s="115"/>
      <c r="I74" s="46"/>
      <c r="J74" s="49" t="s">
        <v>46</v>
      </c>
      <c r="K74" s="50"/>
    </row>
    <row r="75" ht="34.5" customHeight="1" outlineLevel="1">
      <c r="A75" s="45">
        <v>8</v>
      </c>
      <c r="B75" s="229" t="s">
        <v>157</v>
      </c>
      <c r="C75" s="230" t="s">
        <v>271</v>
      </c>
      <c r="D75" s="230" t="s">
        <v>272</v>
      </c>
      <c r="E75" s="231">
        <v>8000</v>
      </c>
      <c r="F75" s="232" t="s">
        <v>273</v>
      </c>
      <c r="G75" s="222" t="s">
        <v>260</v>
      </c>
      <c r="H75" s="115"/>
      <c r="I75" s="46"/>
      <c r="J75" s="49" t="s">
        <v>46</v>
      </c>
      <c r="K75" s="50"/>
    </row>
    <row r="76" ht="14.25" customHeight="1" outlineLevel="1">
      <c r="A76" s="45">
        <v>9</v>
      </c>
      <c r="B76" s="142" t="s">
        <v>157</v>
      </c>
      <c r="C76" s="142" t="s">
        <v>274</v>
      </c>
      <c r="D76" s="211" t="s">
        <v>262</v>
      </c>
      <c r="E76" s="233">
        <v>39263.150000000001</v>
      </c>
      <c r="F76" s="234" t="s">
        <v>263</v>
      </c>
      <c r="G76" s="235" t="s">
        <v>260</v>
      </c>
      <c r="H76" s="115"/>
      <c r="I76" s="46"/>
      <c r="J76" s="49" t="s">
        <v>46</v>
      </c>
      <c r="K76" s="50"/>
    </row>
    <row r="77" ht="25.5" customHeight="1" outlineLevel="1">
      <c r="A77" s="45">
        <v>10</v>
      </c>
      <c r="B77" s="211" t="s">
        <v>157</v>
      </c>
      <c r="C77" s="211" t="s">
        <v>238</v>
      </c>
      <c r="D77" s="211" t="s">
        <v>239</v>
      </c>
      <c r="E77" s="98">
        <v>115668</v>
      </c>
      <c r="F77" s="48" t="s">
        <v>240</v>
      </c>
      <c r="G77" s="235" t="s">
        <v>260</v>
      </c>
      <c r="H77" s="46"/>
      <c r="I77" s="46"/>
      <c r="J77" s="49" t="s">
        <v>46</v>
      </c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196" t="s">
        <v>123</v>
      </c>
      <c r="C84" s="196" t="s">
        <v>124</v>
      </c>
      <c r="D84" s="196" t="s">
        <v>125</v>
      </c>
      <c r="E84" s="236">
        <v>243271</v>
      </c>
      <c r="F84" s="237" t="s">
        <v>275</v>
      </c>
      <c r="G84" s="52"/>
      <c r="H84" s="52"/>
      <c r="I84" s="52"/>
      <c r="J84" s="55"/>
      <c r="K84" s="56"/>
    </row>
    <row r="85" ht="14.25" customHeight="1" outlineLevel="1">
      <c r="A85" s="39">
        <v>2</v>
      </c>
      <c r="B85" s="52" t="s">
        <v>123</v>
      </c>
      <c r="C85" s="52" t="s">
        <v>124</v>
      </c>
      <c r="D85" s="52" t="s">
        <v>127</v>
      </c>
      <c r="E85" s="53">
        <v>500000</v>
      </c>
      <c r="F85" s="54" t="s">
        <v>126</v>
      </c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321390012.81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-315467675.43000001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170">
        <f>SUM(E93:E93)</f>
        <v>360464.62</v>
      </c>
      <c r="F92" s="136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360464.62</v>
      </c>
      <c r="F93" s="238" t="s">
        <v>276</v>
      </c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 t="s">
        <v>112</v>
      </c>
      <c r="C97" s="52" t="s">
        <v>277</v>
      </c>
      <c r="D97" s="52"/>
      <c r="E97" s="107">
        <v>23432</v>
      </c>
      <c r="F97" s="54" t="s">
        <v>259</v>
      </c>
      <c r="G97" s="52" t="s">
        <v>278</v>
      </c>
      <c r="H97" s="52"/>
      <c r="I97" s="52"/>
      <c r="J97" s="55" t="s">
        <v>46</v>
      </c>
      <c r="K97" s="56"/>
    </row>
    <row r="98" ht="14.25" customHeight="1" outlineLevel="1">
      <c r="A98" s="39">
        <v>2</v>
      </c>
      <c r="B98" s="46" t="s">
        <v>279</v>
      </c>
      <c r="C98" s="46" t="s">
        <v>280</v>
      </c>
      <c r="D98" s="46" t="s">
        <v>281</v>
      </c>
      <c r="E98" s="98">
        <v>150000</v>
      </c>
      <c r="F98" s="48" t="s">
        <v>282</v>
      </c>
      <c r="G98" s="46" t="s">
        <v>260</v>
      </c>
      <c r="H98" s="46"/>
      <c r="I98" s="46" t="s">
        <v>283</v>
      </c>
      <c r="J98" s="49" t="s">
        <v>46</v>
      </c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127">
        <v>1</v>
      </c>
      <c r="B113" s="110" t="s">
        <v>223</v>
      </c>
      <c r="C113" s="110" t="s">
        <v>241</v>
      </c>
      <c r="D113" s="110" t="s">
        <v>239</v>
      </c>
      <c r="E113" s="173">
        <v>3591</v>
      </c>
      <c r="F113" s="110" t="s">
        <v>284</v>
      </c>
      <c r="G113" s="108" t="s">
        <v>285</v>
      </c>
      <c r="H113" s="110" t="s">
        <v>225</v>
      </c>
      <c r="I113" s="110" t="s">
        <v>286</v>
      </c>
      <c r="J113" s="177" t="s">
        <v>46</v>
      </c>
      <c r="K113" s="56"/>
    </row>
    <row r="114" ht="14.25" customHeight="1" outlineLevel="1">
      <c r="A114" s="96">
        <v>2</v>
      </c>
      <c r="B114" s="110" t="s">
        <v>223</v>
      </c>
      <c r="C114" s="110" t="s">
        <v>241</v>
      </c>
      <c r="D114" s="110" t="s">
        <v>239</v>
      </c>
      <c r="E114" s="173">
        <v>3045</v>
      </c>
      <c r="F114" s="110" t="s">
        <v>287</v>
      </c>
      <c r="G114" s="108" t="s">
        <v>285</v>
      </c>
      <c r="H114" s="110" t="s">
        <v>225</v>
      </c>
      <c r="I114" s="110" t="s">
        <v>286</v>
      </c>
      <c r="J114" s="197" t="s">
        <v>46</v>
      </c>
      <c r="K114" s="50"/>
    </row>
    <row r="115" ht="14.25" customHeight="1" outlineLevel="1">
      <c r="A115" s="96">
        <v>3</v>
      </c>
      <c r="B115" s="110" t="s">
        <v>223</v>
      </c>
      <c r="C115" s="110" t="s">
        <v>288</v>
      </c>
      <c r="D115" s="110" t="s">
        <v>262</v>
      </c>
      <c r="E115" s="173">
        <v>22050.509999999998</v>
      </c>
      <c r="F115" s="174" t="s">
        <v>289</v>
      </c>
      <c r="G115" s="46" t="s">
        <v>260</v>
      </c>
      <c r="H115" s="175" t="s">
        <v>225</v>
      </c>
      <c r="I115" s="110" t="s">
        <v>290</v>
      </c>
      <c r="J115" s="197" t="s">
        <v>46</v>
      </c>
      <c r="K115" s="50"/>
    </row>
    <row r="116" ht="14.25" customHeight="1" outlineLevel="1">
      <c r="A116" s="96">
        <v>4</v>
      </c>
      <c r="B116" s="110" t="s">
        <v>223</v>
      </c>
      <c r="C116" s="110" t="s">
        <v>241</v>
      </c>
      <c r="D116" s="110" t="s">
        <v>239</v>
      </c>
      <c r="E116" s="173">
        <v>5075836.1500000004</v>
      </c>
      <c r="F116" s="174" t="s">
        <v>289</v>
      </c>
      <c r="G116" s="46" t="s">
        <v>260</v>
      </c>
      <c r="H116" s="175" t="s">
        <v>225</v>
      </c>
      <c r="I116" s="176" t="s">
        <v>291</v>
      </c>
      <c r="J116" s="197" t="s">
        <v>46</v>
      </c>
      <c r="K116" s="50"/>
    </row>
    <row r="117" ht="32.25" customHeight="1" outlineLevel="1">
      <c r="A117" s="96">
        <v>5</v>
      </c>
      <c r="B117" s="110" t="s">
        <v>223</v>
      </c>
      <c r="C117" s="110" t="s">
        <v>292</v>
      </c>
      <c r="D117" s="110" t="s">
        <v>293</v>
      </c>
      <c r="E117" s="173">
        <v>41173.93</v>
      </c>
      <c r="F117" s="174" t="s">
        <v>294</v>
      </c>
      <c r="G117" s="46" t="s">
        <v>260</v>
      </c>
      <c r="H117" s="175" t="s">
        <v>225</v>
      </c>
      <c r="I117" s="110" t="s">
        <v>225</v>
      </c>
      <c r="J117" s="197" t="s">
        <v>46</v>
      </c>
      <c r="K117" s="50"/>
    </row>
    <row r="118" ht="36.75" customHeight="1" outlineLevel="1">
      <c r="A118" s="96">
        <v>6</v>
      </c>
      <c r="B118" s="110" t="s">
        <v>223</v>
      </c>
      <c r="C118" s="110" t="s">
        <v>268</v>
      </c>
      <c r="D118" s="110" t="s">
        <v>269</v>
      </c>
      <c r="E118" s="173">
        <v>8931.25</v>
      </c>
      <c r="F118" s="174" t="s">
        <v>295</v>
      </c>
      <c r="G118" s="46" t="s">
        <v>260</v>
      </c>
      <c r="H118" s="175" t="s">
        <v>225</v>
      </c>
      <c r="I118" s="110" t="s">
        <v>225</v>
      </c>
      <c r="J118" s="197" t="s">
        <v>46</v>
      </c>
      <c r="K118" s="50"/>
    </row>
    <row r="119" ht="14.25" customHeight="1" outlineLevel="1">
      <c r="A119" s="45">
        <v>7</v>
      </c>
      <c r="B119" s="40"/>
      <c r="C119" s="40"/>
      <c r="D119" s="40"/>
      <c r="E119" s="41"/>
      <c r="F119" s="42"/>
      <c r="G119" s="40"/>
      <c r="H119" s="40"/>
      <c r="I119" s="40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5428059.8399999999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-5067595.2199999997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259104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259104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259104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F0083-000E-420E-AAA9-005700D100A8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H119:H122 H17:H21 H23:H34 H36:H50</xm:sqref>
        </x14:dataValidation>
        <x14:dataValidation xr:uid="{008C0083-008E-4DEA-92C1-00D9000600E7}" type="list" allowBlank="1" errorStyle="stop" imeMode="noControl" operator="between" showDropDown="0" showErrorMessage="1" showInputMessage="1">
          <x14:formula1>
            <xm:f>ДаНет</xm:f>
          </x14:formula1>
          <xm:sqref>H22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1"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7.140625"/>
    <col customWidth="1" min="5" max="5" style="1" width="26.28125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'10'!C2+1</f>
        <v>46092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1439245.79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1339533.46</v>
      </c>
      <c r="F5" s="89">
        <f>E18+E22+E36+E37+E39+E40+E41+E42+E50+E51+E52+E53+E54+E55+E56+E57+E58+E60+E61+E66+E82+E83</f>
        <v>29686053.800000001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3795.2600000000002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5836.8500000000004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91"/>
      <c r="D16" s="91"/>
      <c r="E16" s="37"/>
      <c r="F16" s="37"/>
      <c r="G16" s="91"/>
      <c r="H16" s="91"/>
      <c r="I16" s="91"/>
      <c r="J16" s="37"/>
      <c r="K16" s="38"/>
    </row>
    <row r="17" ht="14.25" customHeight="1" outlineLevel="1">
      <c r="A17" s="39">
        <v>1</v>
      </c>
      <c r="B17" s="181" t="s">
        <v>228</v>
      </c>
      <c r="C17" s="182" t="s">
        <v>233</v>
      </c>
      <c r="D17" s="183" t="s">
        <v>234</v>
      </c>
      <c r="E17" s="184">
        <v>25961</v>
      </c>
      <c r="F17" s="185" t="s">
        <v>231</v>
      </c>
      <c r="G17" s="183"/>
      <c r="H17" s="183" t="s">
        <v>45</v>
      </c>
      <c r="I17" s="183" t="s">
        <v>232</v>
      </c>
      <c r="J17" s="43"/>
      <c r="K17" s="44"/>
    </row>
    <row r="18" ht="14.25" customHeight="1" outlineLevel="1">
      <c r="A18" s="45">
        <v>2</v>
      </c>
      <c r="B18" s="48" t="s">
        <v>59</v>
      </c>
      <c r="C18" s="46" t="s">
        <v>60</v>
      </c>
      <c r="D18" s="187" t="s">
        <v>61</v>
      </c>
      <c r="E18" s="161">
        <v>3335856.25</v>
      </c>
      <c r="F18" s="141" t="s">
        <v>44</v>
      </c>
      <c r="G18" s="46"/>
      <c r="H18" s="46" t="s">
        <v>45</v>
      </c>
      <c r="I18" s="239" t="s">
        <v>296</v>
      </c>
      <c r="J18" s="49" t="s">
        <v>46</v>
      </c>
      <c r="K18" s="50"/>
    </row>
    <row r="19" ht="14.25" customHeight="1" outlineLevel="1">
      <c r="A19" s="45">
        <v>3</v>
      </c>
      <c r="B19" s="48"/>
      <c r="C19" s="46"/>
      <c r="D19" s="187"/>
      <c r="E19" s="240"/>
      <c r="F19" s="141"/>
      <c r="G19" s="46"/>
      <c r="H19" s="46"/>
      <c r="I19" s="46"/>
      <c r="J19" s="49"/>
      <c r="K19" s="50"/>
    </row>
    <row r="20" ht="14.25" customHeight="1" outlineLevel="1">
      <c r="A20" s="96">
        <v>4</v>
      </c>
      <c r="B20" s="97" t="s">
        <v>47</v>
      </c>
      <c r="C20" s="99" t="s">
        <v>57</v>
      </c>
      <c r="D20" s="186" t="s">
        <v>58</v>
      </c>
      <c r="E20" s="210">
        <v>304000000</v>
      </c>
      <c r="F20" s="141" t="s">
        <v>44</v>
      </c>
      <c r="G20" s="46"/>
      <c r="H20" s="46" t="s">
        <v>45</v>
      </c>
      <c r="I20" s="46"/>
      <c r="J20" s="49"/>
      <c r="K20" s="50"/>
    </row>
    <row r="21" ht="14.25" customHeight="1" outlineLevel="1">
      <c r="A21" s="45">
        <v>5</v>
      </c>
      <c r="B21" s="46" t="s">
        <v>41</v>
      </c>
      <c r="C21" s="46" t="s">
        <v>48</v>
      </c>
      <c r="D21" s="46" t="s">
        <v>49</v>
      </c>
      <c r="E21" s="241">
        <v>2184585</v>
      </c>
      <c r="F21" s="48" t="s">
        <v>297</v>
      </c>
      <c r="G21" s="46"/>
      <c r="H21" s="46" t="s">
        <v>51</v>
      </c>
      <c r="I21" s="46" t="s">
        <v>170</v>
      </c>
      <c r="J21" s="49" t="s">
        <v>46</v>
      </c>
      <c r="K21" s="50"/>
    </row>
    <row r="22" ht="14.25" customHeight="1" outlineLevel="1">
      <c r="A22" s="45">
        <v>6</v>
      </c>
      <c r="B22" s="46"/>
      <c r="C22" s="46" t="s">
        <v>78</v>
      </c>
      <c r="D22" s="46"/>
      <c r="E22" s="98">
        <v>300000</v>
      </c>
      <c r="F22" s="48"/>
      <c r="G22" s="46"/>
      <c r="H22" s="46"/>
      <c r="I22" s="46"/>
      <c r="J22" s="49" t="s">
        <v>298</v>
      </c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 t="s">
        <v>67</v>
      </c>
      <c r="C25" s="46" t="s">
        <v>299</v>
      </c>
      <c r="D25" s="105" t="s">
        <v>300</v>
      </c>
      <c r="E25" s="98">
        <v>1000000</v>
      </c>
      <c r="F25" s="242" t="s">
        <v>70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45">
        <v>10</v>
      </c>
      <c r="B26" s="46"/>
      <c r="C26" s="46"/>
      <c r="D26" s="243"/>
      <c r="E26" s="244"/>
      <c r="F26" s="245"/>
      <c r="G26" s="47"/>
      <c r="H26" s="48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243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45">
        <v>1</v>
      </c>
      <c r="B36" s="46" t="s">
        <v>97</v>
      </c>
      <c r="C36" s="46" t="s">
        <v>301</v>
      </c>
      <c r="D36" s="46" t="s">
        <v>302</v>
      </c>
      <c r="E36" s="98">
        <f>30000+30000+30000+30000</f>
        <v>120000</v>
      </c>
      <c r="F36" s="48" t="s">
        <v>100</v>
      </c>
      <c r="G36" s="46" t="s">
        <v>260</v>
      </c>
      <c r="H36" s="46" t="s">
        <v>45</v>
      </c>
      <c r="I36" s="46"/>
      <c r="J36" s="49" t="s">
        <v>46</v>
      </c>
      <c r="K36" s="50"/>
    </row>
    <row r="37" ht="14.25" customHeight="1" outlineLevel="1">
      <c r="A37" s="45">
        <v>2</v>
      </c>
      <c r="B37" s="46" t="s">
        <v>85</v>
      </c>
      <c r="C37" s="46" t="s">
        <v>303</v>
      </c>
      <c r="D37" s="46" t="s">
        <v>304</v>
      </c>
      <c r="E37" s="98">
        <f>41000+41000</f>
        <v>82000</v>
      </c>
      <c r="F37" s="48" t="s">
        <v>100</v>
      </c>
      <c r="G37" s="46" t="s">
        <v>260</v>
      </c>
      <c r="H37" s="46" t="s">
        <v>45</v>
      </c>
      <c r="I37" s="46"/>
      <c r="J37" s="49" t="s">
        <v>298</v>
      </c>
      <c r="K37" s="50"/>
    </row>
    <row r="38" ht="14.25" customHeight="1" outlineLevel="1">
      <c r="A38" s="45">
        <v>3</v>
      </c>
      <c r="B38" s="229"/>
      <c r="C38" s="246"/>
      <c r="D38" s="246"/>
      <c r="E38" s="2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248" t="s">
        <v>305</v>
      </c>
      <c r="C39" s="249" t="s">
        <v>306</v>
      </c>
      <c r="D39" s="249" t="s">
        <v>307</v>
      </c>
      <c r="E39" s="250">
        <v>7000</v>
      </c>
      <c r="F39" s="48" t="s">
        <v>100</v>
      </c>
      <c r="G39" s="46" t="s">
        <v>260</v>
      </c>
      <c r="H39" s="46" t="s">
        <v>45</v>
      </c>
      <c r="I39" s="46"/>
      <c r="J39" s="49" t="s">
        <v>298</v>
      </c>
      <c r="K39" s="50"/>
    </row>
    <row r="40" ht="14.25" customHeight="1" outlineLevel="1">
      <c r="A40" s="45">
        <v>5</v>
      </c>
      <c r="B40" s="248" t="s">
        <v>305</v>
      </c>
      <c r="C40" s="249" t="s">
        <v>308</v>
      </c>
      <c r="D40" s="249" t="s">
        <v>309</v>
      </c>
      <c r="E40" s="250">
        <v>36500</v>
      </c>
      <c r="F40" s="48" t="s">
        <v>100</v>
      </c>
      <c r="G40" s="46" t="s">
        <v>260</v>
      </c>
      <c r="H40" s="46" t="s">
        <v>45</v>
      </c>
      <c r="I40" s="46"/>
      <c r="J40" s="49" t="s">
        <v>298</v>
      </c>
      <c r="K40" s="50"/>
    </row>
    <row r="41" ht="14.25" customHeight="1" outlineLevel="1">
      <c r="A41" s="45">
        <v>6</v>
      </c>
      <c r="B41" s="248" t="s">
        <v>305</v>
      </c>
      <c r="C41" s="229" t="s">
        <v>310</v>
      </c>
      <c r="D41" s="246" t="s">
        <v>311</v>
      </c>
      <c r="E41" s="251">
        <v>53500</v>
      </c>
      <c r="F41" s="252" t="s">
        <v>312</v>
      </c>
      <c r="G41" s="46" t="s">
        <v>260</v>
      </c>
      <c r="H41" s="46" t="s">
        <v>45</v>
      </c>
      <c r="I41" s="46"/>
      <c r="J41" s="49" t="s">
        <v>298</v>
      </c>
      <c r="K41" s="50"/>
    </row>
    <row r="42" ht="14.25" customHeight="1" outlineLevel="1">
      <c r="A42" s="45">
        <v>7</v>
      </c>
      <c r="B42" s="248" t="s">
        <v>305</v>
      </c>
      <c r="C42" s="249" t="s">
        <v>313</v>
      </c>
      <c r="D42" s="249" t="s">
        <v>314</v>
      </c>
      <c r="E42" s="250">
        <v>36000</v>
      </c>
      <c r="F42" s="48" t="s">
        <v>100</v>
      </c>
      <c r="G42" s="46" t="s">
        <v>260</v>
      </c>
      <c r="H42" s="46" t="s">
        <v>51</v>
      </c>
      <c r="I42" s="46" t="s">
        <v>201</v>
      </c>
      <c r="J42" s="49" t="s">
        <v>298</v>
      </c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s="34" customFormat="1" ht="25.5" customHeight="1" outlineLevel="1">
      <c r="A49" s="35"/>
      <c r="B49" s="37" t="s">
        <v>24</v>
      </c>
      <c r="C49" s="37"/>
      <c r="D49" s="37"/>
      <c r="E49" s="37"/>
      <c r="F49" s="37"/>
      <c r="G49" s="37"/>
      <c r="H49" s="37"/>
      <c r="I49" s="37"/>
      <c r="J49" s="91"/>
      <c r="K49" s="38"/>
    </row>
    <row r="50" ht="14.25" customHeight="1" outlineLevel="1">
      <c r="A50" s="51">
        <v>1</v>
      </c>
      <c r="B50" s="52" t="s">
        <v>101</v>
      </c>
      <c r="C50" s="52" t="s">
        <v>315</v>
      </c>
      <c r="D50" s="52" t="s">
        <v>316</v>
      </c>
      <c r="E50" s="253">
        <v>170000</v>
      </c>
      <c r="F50" s="54" t="s">
        <v>317</v>
      </c>
      <c r="G50" s="46" t="s">
        <v>260</v>
      </c>
      <c r="H50" s="52" t="s">
        <v>45</v>
      </c>
      <c r="I50" s="52"/>
      <c r="J50" s="49" t="s">
        <v>298</v>
      </c>
      <c r="K50" s="56"/>
    </row>
    <row r="51" ht="14.25" customHeight="1" outlineLevel="1">
      <c r="A51" s="45">
        <v>2</v>
      </c>
      <c r="B51" s="46" t="s">
        <v>101</v>
      </c>
      <c r="C51" s="46" t="s">
        <v>318</v>
      </c>
      <c r="D51" s="46" t="s">
        <v>319</v>
      </c>
      <c r="E51" s="172">
        <v>2310</v>
      </c>
      <c r="F51" s="48" t="s">
        <v>320</v>
      </c>
      <c r="G51" s="46" t="s">
        <v>260</v>
      </c>
      <c r="H51" s="46" t="s">
        <v>45</v>
      </c>
      <c r="I51" s="46"/>
      <c r="J51" s="49" t="s">
        <v>298</v>
      </c>
      <c r="K51" s="50"/>
    </row>
    <row r="52" ht="42.75" outlineLevel="1">
      <c r="A52" s="45">
        <v>3</v>
      </c>
      <c r="B52" s="46" t="s">
        <v>101</v>
      </c>
      <c r="C52" s="46" t="s">
        <v>321</v>
      </c>
      <c r="D52" s="46" t="s">
        <v>322</v>
      </c>
      <c r="E52" s="172">
        <v>46000</v>
      </c>
      <c r="F52" s="48" t="s">
        <v>323</v>
      </c>
      <c r="G52" s="46" t="s">
        <v>260</v>
      </c>
      <c r="H52" s="46" t="s">
        <v>45</v>
      </c>
      <c r="I52" s="46"/>
      <c r="J52" s="49" t="s">
        <v>298</v>
      </c>
      <c r="K52" s="50"/>
    </row>
    <row r="53" ht="42.75" outlineLevel="1">
      <c r="A53" s="45">
        <v>4</v>
      </c>
      <c r="B53" s="46" t="s">
        <v>101</v>
      </c>
      <c r="C53" s="46" t="s">
        <v>324</v>
      </c>
      <c r="D53" s="46" t="s">
        <v>325</v>
      </c>
      <c r="E53" s="172">
        <v>15000</v>
      </c>
      <c r="F53" s="48" t="s">
        <v>326</v>
      </c>
      <c r="G53" s="46" t="s">
        <v>260</v>
      </c>
      <c r="H53" s="46" t="s">
        <v>45</v>
      </c>
      <c r="I53" s="46"/>
      <c r="J53" s="49" t="s">
        <v>298</v>
      </c>
      <c r="K53" s="50"/>
    </row>
    <row r="54" ht="14.25" customHeight="1" outlineLevel="1">
      <c r="A54" s="45">
        <v>5</v>
      </c>
      <c r="B54" s="46" t="s">
        <v>101</v>
      </c>
      <c r="C54" s="46" t="s">
        <v>129</v>
      </c>
      <c r="D54" s="46" t="s">
        <v>327</v>
      </c>
      <c r="E54" s="172">
        <v>21050</v>
      </c>
      <c r="F54" s="48" t="s">
        <v>328</v>
      </c>
      <c r="G54" s="108" t="s">
        <v>329</v>
      </c>
      <c r="H54" s="46" t="s">
        <v>45</v>
      </c>
      <c r="I54" s="46"/>
      <c r="J54" s="49" t="s">
        <v>298</v>
      </c>
      <c r="K54" s="50"/>
    </row>
    <row r="55" ht="42.75" outlineLevel="1">
      <c r="A55" s="45">
        <v>6</v>
      </c>
      <c r="B55" s="46" t="s">
        <v>101</v>
      </c>
      <c r="C55" s="46" t="s">
        <v>330</v>
      </c>
      <c r="D55" s="46" t="s">
        <v>331</v>
      </c>
      <c r="E55" s="172">
        <v>1016.67</v>
      </c>
      <c r="F55" s="48" t="s">
        <v>326</v>
      </c>
      <c r="G55" s="46" t="s">
        <v>260</v>
      </c>
      <c r="H55" s="46" t="s">
        <v>45</v>
      </c>
      <c r="I55" s="46"/>
      <c r="J55" s="49" t="s">
        <v>298</v>
      </c>
      <c r="K55" s="50"/>
    </row>
    <row r="56" ht="14.25" customHeight="1" outlineLevel="1">
      <c r="A56" s="45">
        <v>7</v>
      </c>
      <c r="B56" s="46" t="s">
        <v>101</v>
      </c>
      <c r="C56" s="46" t="s">
        <v>332</v>
      </c>
      <c r="D56" s="46" t="s">
        <v>333</v>
      </c>
      <c r="E56" s="172">
        <v>800</v>
      </c>
      <c r="F56" s="48" t="s">
        <v>334</v>
      </c>
      <c r="G56" s="108" t="s">
        <v>335</v>
      </c>
      <c r="H56" s="46" t="s">
        <v>45</v>
      </c>
      <c r="I56" s="46"/>
      <c r="J56" s="49" t="s">
        <v>298</v>
      </c>
      <c r="K56" s="50"/>
    </row>
    <row r="57" ht="14.25" customHeight="1" outlineLevel="1">
      <c r="A57" s="45">
        <v>8</v>
      </c>
      <c r="B57" s="46" t="s">
        <v>101</v>
      </c>
      <c r="C57" s="46" t="s">
        <v>336</v>
      </c>
      <c r="D57" s="46" t="s">
        <v>337</v>
      </c>
      <c r="E57" s="172">
        <v>59600</v>
      </c>
      <c r="F57" s="48" t="s">
        <v>338</v>
      </c>
      <c r="G57" s="108" t="s">
        <v>329</v>
      </c>
      <c r="H57" s="46" t="s">
        <v>45</v>
      </c>
      <c r="I57" s="46"/>
      <c r="J57" s="49" t="s">
        <v>298</v>
      </c>
      <c r="K57" s="50"/>
    </row>
    <row r="58" ht="14.25" customHeight="1" outlineLevel="1">
      <c r="A58" s="45">
        <v>9</v>
      </c>
      <c r="B58" s="46" t="s">
        <v>112</v>
      </c>
      <c r="C58" s="46" t="s">
        <v>339</v>
      </c>
      <c r="D58" s="46"/>
      <c r="E58" s="172">
        <v>15950</v>
      </c>
      <c r="F58" s="48" t="s">
        <v>340</v>
      </c>
      <c r="G58" s="46" t="s">
        <v>260</v>
      </c>
      <c r="H58" s="46"/>
      <c r="I58" s="46"/>
      <c r="J58" s="49" t="s">
        <v>298</v>
      </c>
      <c r="K58" s="50"/>
    </row>
    <row r="59" ht="14.25" customHeight="1" outlineLevel="1">
      <c r="A59" s="45">
        <v>10</v>
      </c>
      <c r="B59" s="183" t="s">
        <v>112</v>
      </c>
      <c r="C59" s="183" t="s">
        <v>136</v>
      </c>
      <c r="D59" s="183" t="s">
        <v>341</v>
      </c>
      <c r="E59" s="254">
        <v>5072.6000000000004</v>
      </c>
      <c r="F59" s="182" t="s">
        <v>138</v>
      </c>
      <c r="G59" s="183" t="s">
        <v>260</v>
      </c>
      <c r="H59" s="183" t="s">
        <v>51</v>
      </c>
      <c r="I59" s="46"/>
      <c r="J59" s="49"/>
      <c r="K59" s="50"/>
    </row>
    <row r="60" ht="14.25" customHeight="1" outlineLevel="1">
      <c r="A60" s="45">
        <v>11</v>
      </c>
      <c r="B60" s="46" t="s">
        <v>141</v>
      </c>
      <c r="C60" s="46" t="s">
        <v>342</v>
      </c>
      <c r="D60" s="46" t="s">
        <v>343</v>
      </c>
      <c r="E60" s="98">
        <v>30691.880000000001</v>
      </c>
      <c r="F60" s="48" t="s">
        <v>165</v>
      </c>
      <c r="G60" s="46" t="s">
        <v>260</v>
      </c>
      <c r="H60" s="46" t="s">
        <v>45</v>
      </c>
      <c r="I60" s="46"/>
      <c r="J60" s="49" t="s">
        <v>298</v>
      </c>
      <c r="K60" s="50"/>
    </row>
    <row r="61" ht="14.25" customHeight="1" outlineLevel="1">
      <c r="A61" s="45">
        <v>12</v>
      </c>
      <c r="B61" s="46" t="s">
        <v>141</v>
      </c>
      <c r="C61" s="46" t="s">
        <v>342</v>
      </c>
      <c r="D61" s="46" t="s">
        <v>344</v>
      </c>
      <c r="E61" s="98">
        <v>779</v>
      </c>
      <c r="F61" s="48" t="s">
        <v>165</v>
      </c>
      <c r="G61" s="46" t="s">
        <v>260</v>
      </c>
      <c r="H61" s="46" t="s">
        <v>45</v>
      </c>
      <c r="I61" s="46"/>
      <c r="J61" s="49" t="s">
        <v>298</v>
      </c>
      <c r="K61" s="50"/>
    </row>
    <row r="62" ht="28.5" outlineLevel="1">
      <c r="A62" s="45">
        <v>13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14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15</v>
      </c>
      <c r="B64" s="57"/>
      <c r="C64" s="57"/>
      <c r="D64" s="57"/>
      <c r="E64" s="58"/>
      <c r="F64" s="59"/>
      <c r="G64" s="57"/>
      <c r="H64" s="57"/>
      <c r="I64" s="57"/>
      <c r="J64" s="60"/>
      <c r="K64" s="61"/>
    </row>
    <row r="65" s="34" customFormat="1" ht="25.5" customHeight="1" outlineLevel="1">
      <c r="A65" s="35"/>
      <c r="B65" s="36" t="s">
        <v>25</v>
      </c>
      <c r="C65" s="37"/>
      <c r="D65" s="37"/>
      <c r="E65" s="37"/>
      <c r="F65" s="37"/>
      <c r="G65" s="37"/>
      <c r="H65" s="37"/>
      <c r="I65" s="37"/>
      <c r="J65" s="91"/>
      <c r="K65" s="38"/>
    </row>
    <row r="66" ht="14.25" customHeight="1" outlineLevel="1">
      <c r="A66" s="45">
        <v>1</v>
      </c>
      <c r="B66" s="52" t="s">
        <v>197</v>
      </c>
      <c r="C66" s="52" t="s">
        <v>345</v>
      </c>
      <c r="D66" s="52" t="s">
        <v>346</v>
      </c>
      <c r="E66" s="107">
        <v>2000</v>
      </c>
      <c r="F66" s="54" t="s">
        <v>347</v>
      </c>
      <c r="G66" s="46" t="s">
        <v>260</v>
      </c>
      <c r="H66" s="52"/>
      <c r="I66" s="52"/>
      <c r="J66" s="49" t="s">
        <v>298</v>
      </c>
      <c r="K66" s="56"/>
    </row>
    <row r="67" ht="14.25" customHeight="1" outlineLevel="1">
      <c r="A67" s="45">
        <v>2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3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4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5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6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7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8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9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10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11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12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13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14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15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s="34" customFormat="1" ht="25.5" customHeight="1" outlineLevel="1">
      <c r="A81" s="35"/>
      <c r="B81" s="36" t="s">
        <v>26</v>
      </c>
      <c r="C81" s="37"/>
      <c r="D81" s="37"/>
      <c r="E81" s="37"/>
      <c r="F81" s="37"/>
      <c r="G81" s="37"/>
      <c r="H81" s="37"/>
      <c r="I81" s="37"/>
      <c r="J81" s="37"/>
      <c r="K81" s="38"/>
    </row>
    <row r="82" ht="14.25" customHeight="1" outlineLevel="1">
      <c r="A82" s="51">
        <v>1</v>
      </c>
      <c r="B82" s="52" t="s">
        <v>123</v>
      </c>
      <c r="C82" s="52" t="s">
        <v>124</v>
      </c>
      <c r="D82" s="52" t="s">
        <v>127</v>
      </c>
      <c r="E82" s="107">
        <v>25000000</v>
      </c>
      <c r="F82" s="54" t="s">
        <v>126</v>
      </c>
      <c r="G82" s="52"/>
      <c r="H82" s="52"/>
      <c r="I82" s="52"/>
      <c r="J82" s="55" t="s">
        <v>46</v>
      </c>
      <c r="K82" s="56"/>
    </row>
    <row r="83" ht="14.25" customHeight="1" outlineLevel="1">
      <c r="A83" s="39">
        <v>2</v>
      </c>
      <c r="B83" s="40"/>
      <c r="C83" s="40" t="s">
        <v>348</v>
      </c>
      <c r="D83" s="40"/>
      <c r="E83" s="95">
        <v>350000</v>
      </c>
      <c r="F83" s="42"/>
      <c r="G83" s="40"/>
      <c r="H83" s="40"/>
      <c r="I83" s="40"/>
      <c r="J83" s="43" t="s">
        <v>46</v>
      </c>
      <c r="K83" s="44"/>
    </row>
    <row r="84" ht="14.25" customHeight="1" outlineLevel="1">
      <c r="A84" s="39">
        <v>3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45">
        <v>4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</row>
    <row r="86" ht="15" customHeight="1" outlineLevel="1">
      <c r="A86" s="62">
        <v>5</v>
      </c>
      <c r="B86" s="57"/>
      <c r="C86" s="57"/>
      <c r="D86" s="57"/>
      <c r="E86" s="58"/>
      <c r="F86" s="59"/>
      <c r="G86" s="57"/>
      <c r="H86" s="57"/>
      <c r="I86" s="57"/>
      <c r="J86" s="60"/>
      <c r="K86" s="61"/>
    </row>
    <row r="87" ht="23.100000000000001" customHeight="1">
      <c r="A87" s="63" t="s">
        <v>27</v>
      </c>
      <c r="B87" s="64"/>
      <c r="C87" s="64"/>
      <c r="D87" s="64"/>
      <c r="E87" s="65">
        <f>SUM(E16:E86)</f>
        <v>336901672.40000004</v>
      </c>
    </row>
    <row r="88" ht="23.100000000000001" customHeight="1">
      <c r="A88" s="63" t="s">
        <v>28</v>
      </c>
      <c r="B88" s="64"/>
      <c r="C88" s="64"/>
      <c r="D88" s="64"/>
      <c r="E88" s="65">
        <f>E4-E87</f>
        <v>-335462426.61000001</v>
      </c>
      <c r="F88" s="66"/>
    </row>
    <row r="89" ht="30.75" customHeight="1">
      <c r="A89" s="66"/>
      <c r="B89" s="66"/>
      <c r="C89" s="66"/>
      <c r="D89" s="66"/>
      <c r="E89" s="66"/>
      <c r="F89" s="66"/>
    </row>
    <row r="90" ht="30" customHeight="1">
      <c r="A90" s="9" t="s">
        <v>128</v>
      </c>
      <c r="B90" s="10"/>
      <c r="C90" s="10"/>
      <c r="D90" s="11"/>
      <c r="E90" s="170">
        <f>SUM(E91:E91)</f>
        <v>127545.42999999999</v>
      </c>
      <c r="F90" s="136" t="s">
        <v>39</v>
      </c>
      <c r="G90" s="68" t="s">
        <v>30</v>
      </c>
      <c r="H90" s="13"/>
      <c r="I90" s="13"/>
    </row>
    <row r="91" ht="15" customHeight="1">
      <c r="A91" s="69" t="s">
        <v>31</v>
      </c>
      <c r="B91" s="70"/>
      <c r="C91" s="70"/>
      <c r="D91" s="71"/>
      <c r="E91" s="72">
        <v>127545.42999999999</v>
      </c>
      <c r="F91" s="238" t="s">
        <v>349</v>
      </c>
      <c r="G91" s="13"/>
      <c r="H91" s="13"/>
      <c r="I91" s="13"/>
    </row>
    <row r="92" ht="4.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25.5" customHeight="1" outlineLevel="1">
      <c r="A93" s="31" t="s">
        <v>10</v>
      </c>
      <c r="B93" s="31" t="s">
        <v>11</v>
      </c>
      <c r="C93" s="31" t="s">
        <v>12</v>
      </c>
      <c r="D93" s="31" t="s">
        <v>13</v>
      </c>
      <c r="E93" s="32" t="s">
        <v>14</v>
      </c>
      <c r="F93" s="31" t="s">
        <v>15</v>
      </c>
      <c r="G93" s="31" t="s">
        <v>16</v>
      </c>
      <c r="H93" s="33" t="s">
        <v>17</v>
      </c>
      <c r="I93" s="31" t="s">
        <v>18</v>
      </c>
      <c r="J93" s="31" t="s">
        <v>19</v>
      </c>
      <c r="K93" s="31" t="s">
        <v>32</v>
      </c>
    </row>
    <row r="94" s="34" customFormat="1" ht="25.5" customHeight="1" outlineLevel="1">
      <c r="A94" s="35"/>
      <c r="B94" s="37" t="s">
        <v>33</v>
      </c>
      <c r="C94" s="37"/>
      <c r="D94" s="37"/>
      <c r="E94" s="37"/>
      <c r="F94" s="37"/>
      <c r="G94" s="37"/>
      <c r="H94" s="37"/>
      <c r="I94" s="37"/>
      <c r="J94" s="37"/>
      <c r="K94" s="38"/>
    </row>
    <row r="95" ht="14.25" customHeight="1" outlineLevel="1">
      <c r="A95" s="39">
        <v>1</v>
      </c>
      <c r="B95" s="52"/>
      <c r="C95" s="52"/>
      <c r="D95" s="52"/>
      <c r="E95" s="53"/>
      <c r="F95" s="54"/>
      <c r="G95" s="52"/>
      <c r="H95" s="52"/>
      <c r="I95" s="52"/>
      <c r="J95" s="55"/>
      <c r="K95" s="56"/>
    </row>
    <row r="96" ht="14.25" customHeight="1" outlineLevel="1">
      <c r="A96" s="39">
        <v>2</v>
      </c>
      <c r="B96" s="183" t="s">
        <v>101</v>
      </c>
      <c r="C96" s="183" t="s">
        <v>350</v>
      </c>
      <c r="D96" s="183" t="s">
        <v>351</v>
      </c>
      <c r="E96" s="254" t="s">
        <v>352</v>
      </c>
      <c r="F96" s="182" t="s">
        <v>353</v>
      </c>
      <c r="G96" s="183" t="s">
        <v>260</v>
      </c>
      <c r="H96" s="183" t="s">
        <v>51</v>
      </c>
      <c r="I96" s="46"/>
      <c r="J96" s="49"/>
      <c r="K96" s="50"/>
    </row>
    <row r="97" ht="14.25" customHeight="1" outlineLevel="1">
      <c r="A97" s="39">
        <v>3</v>
      </c>
      <c r="B97" s="46" t="s">
        <v>101</v>
      </c>
      <c r="C97" s="46" t="s">
        <v>129</v>
      </c>
      <c r="D97" s="46" t="s">
        <v>354</v>
      </c>
      <c r="E97" s="172">
        <v>9780</v>
      </c>
      <c r="F97" s="48" t="s">
        <v>355</v>
      </c>
      <c r="G97" s="46" t="s">
        <v>260</v>
      </c>
      <c r="H97" s="46" t="s">
        <v>45</v>
      </c>
      <c r="I97" s="46"/>
      <c r="J97" s="49" t="s">
        <v>46</v>
      </c>
      <c r="K97" s="50"/>
    </row>
    <row r="98" ht="14.25" customHeight="1" outlineLevel="1">
      <c r="A98" s="39">
        <v>4</v>
      </c>
      <c r="B98" s="46" t="s">
        <v>112</v>
      </c>
      <c r="C98" s="46" t="s">
        <v>356</v>
      </c>
      <c r="D98" s="46"/>
      <c r="E98" s="172">
        <v>15950</v>
      </c>
      <c r="F98" s="48" t="s">
        <v>357</v>
      </c>
      <c r="G98" s="108" t="s">
        <v>358</v>
      </c>
      <c r="H98" s="46"/>
      <c r="I98" s="46"/>
      <c r="J98" s="49" t="s">
        <v>46</v>
      </c>
      <c r="K98" s="50"/>
    </row>
    <row r="99" ht="14.25" customHeight="1" outlineLevel="1">
      <c r="A99" s="39">
        <v>5</v>
      </c>
      <c r="B99" s="46" t="s">
        <v>101</v>
      </c>
      <c r="C99" s="46" t="s">
        <v>129</v>
      </c>
      <c r="D99" s="46" t="s">
        <v>359</v>
      </c>
      <c r="E99" s="172">
        <v>6400</v>
      </c>
      <c r="F99" s="48" t="s">
        <v>360</v>
      </c>
      <c r="G99" s="46" t="s">
        <v>260</v>
      </c>
      <c r="H99" s="46" t="s">
        <v>45</v>
      </c>
      <c r="I99" s="46"/>
      <c r="J99" s="49" t="s">
        <v>46</v>
      </c>
      <c r="K99" s="50"/>
    </row>
    <row r="100" ht="28.5" outlineLevel="1">
      <c r="A100" s="39">
        <v>6</v>
      </c>
      <c r="B100" s="46" t="s">
        <v>141</v>
      </c>
      <c r="C100" s="46" t="s">
        <v>361</v>
      </c>
      <c r="D100" s="46" t="s">
        <v>362</v>
      </c>
      <c r="E100" s="98">
        <v>33990</v>
      </c>
      <c r="F100" s="48" t="s">
        <v>363</v>
      </c>
      <c r="G100" s="46" t="s">
        <v>260</v>
      </c>
      <c r="H100" s="46" t="s">
        <v>45</v>
      </c>
      <c r="I100" s="46"/>
      <c r="J100" s="49" t="s">
        <v>46</v>
      </c>
      <c r="K100" s="50"/>
    </row>
    <row r="101" ht="14.4" outlineLevel="1">
      <c r="A101" s="39">
        <v>7</v>
      </c>
      <c r="B101" s="46" t="s">
        <v>141</v>
      </c>
      <c r="C101" s="46" t="s">
        <v>342</v>
      </c>
      <c r="D101" s="46" t="s">
        <v>364</v>
      </c>
      <c r="E101" s="98">
        <v>18917.43</v>
      </c>
      <c r="F101" s="48" t="s">
        <v>165</v>
      </c>
      <c r="G101" s="46" t="s">
        <v>260</v>
      </c>
      <c r="H101" s="46" t="s">
        <v>45</v>
      </c>
      <c r="I101" s="46"/>
      <c r="J101" s="49" t="s">
        <v>46</v>
      </c>
      <c r="K101" s="50"/>
    </row>
    <row r="102" ht="28.5" outlineLevel="1">
      <c r="A102" s="39">
        <v>8</v>
      </c>
      <c r="B102" s="46" t="s">
        <v>141</v>
      </c>
      <c r="C102" s="46" t="s">
        <v>365</v>
      </c>
      <c r="D102" s="46" t="s">
        <v>366</v>
      </c>
      <c r="E102" s="98">
        <v>204632.79999999999</v>
      </c>
      <c r="F102" s="48" t="s">
        <v>367</v>
      </c>
      <c r="G102" s="46" t="s">
        <v>260</v>
      </c>
      <c r="H102" s="46" t="s">
        <v>45</v>
      </c>
      <c r="I102" s="46"/>
      <c r="J102" s="49" t="s">
        <v>46</v>
      </c>
      <c r="K102" s="50"/>
    </row>
    <row r="103" ht="28.5" outlineLevel="1">
      <c r="A103" s="39">
        <v>9</v>
      </c>
      <c r="B103" s="46" t="s">
        <v>141</v>
      </c>
      <c r="C103" s="46" t="s">
        <v>368</v>
      </c>
      <c r="D103" s="46" t="s">
        <v>369</v>
      </c>
      <c r="E103" s="98">
        <v>26305</v>
      </c>
      <c r="F103" s="48" t="s">
        <v>370</v>
      </c>
      <c r="G103" s="46" t="s">
        <v>260</v>
      </c>
      <c r="H103" s="46" t="s">
        <v>45</v>
      </c>
      <c r="I103" s="46"/>
      <c r="J103" s="49" t="s">
        <v>46</v>
      </c>
      <c r="K103" s="50"/>
    </row>
    <row r="104" ht="14.25" customHeight="1" outlineLevel="1">
      <c r="A104" s="39">
        <v>10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11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12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13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14</v>
      </c>
      <c r="B108" s="46"/>
      <c r="C108" s="46"/>
      <c r="D108" s="46"/>
      <c r="E108" s="47">
        <v>100000</v>
      </c>
      <c r="F108" s="48"/>
      <c r="G108" s="46"/>
      <c r="H108" s="46"/>
      <c r="I108" s="46"/>
      <c r="J108" s="49"/>
      <c r="K108" s="50"/>
    </row>
    <row r="109" ht="14.25" customHeight="1" outlineLevel="1">
      <c r="A109" s="39">
        <v>15</v>
      </c>
      <c r="B109" s="57"/>
      <c r="C109" s="57"/>
      <c r="D109" s="57"/>
      <c r="E109" s="58"/>
      <c r="F109" s="59"/>
      <c r="G109" s="57"/>
      <c r="H109" s="57"/>
      <c r="I109" s="57"/>
      <c r="J109" s="60"/>
      <c r="K109" s="61"/>
    </row>
    <row r="110" s="34" customFormat="1" ht="25.5" customHeight="1" outlineLevel="1">
      <c r="A110" s="35"/>
      <c r="B110" s="37" t="s">
        <v>25</v>
      </c>
      <c r="C110" s="37"/>
      <c r="D110" s="37"/>
      <c r="E110" s="37"/>
      <c r="F110" s="37"/>
      <c r="G110" s="37"/>
      <c r="H110" s="37"/>
      <c r="I110" s="37"/>
      <c r="J110" s="37"/>
      <c r="K110" s="38"/>
    </row>
    <row r="111" ht="14.25" customHeight="1" outlineLevel="1">
      <c r="A111" s="51">
        <v>1</v>
      </c>
      <c r="B111" s="196" t="s">
        <v>371</v>
      </c>
      <c r="C111" s="196" t="s">
        <v>372</v>
      </c>
      <c r="D111" s="196" t="s">
        <v>373</v>
      </c>
      <c r="E111" s="255">
        <v>12975.219999999999</v>
      </c>
      <c r="F111" s="237" t="s">
        <v>374</v>
      </c>
      <c r="G111" s="256" t="s">
        <v>375</v>
      </c>
      <c r="H111" s="196"/>
      <c r="I111" s="256" t="s">
        <v>78</v>
      </c>
      <c r="J111" s="55" t="s">
        <v>46</v>
      </c>
      <c r="K111" s="56"/>
    </row>
    <row r="112" ht="48" customHeight="1" outlineLevel="1">
      <c r="A112" s="96">
        <v>2</v>
      </c>
      <c r="B112" s="110" t="s">
        <v>223</v>
      </c>
      <c r="C112" s="110" t="s">
        <v>271</v>
      </c>
      <c r="D112" s="110" t="s">
        <v>272</v>
      </c>
      <c r="E112" s="173">
        <v>21770</v>
      </c>
      <c r="F112" s="174" t="s">
        <v>376</v>
      </c>
      <c r="G112" s="48" t="s">
        <v>260</v>
      </c>
      <c r="H112" s="175" t="s">
        <v>225</v>
      </c>
      <c r="I112" s="176" t="s">
        <v>377</v>
      </c>
      <c r="J112" s="197" t="s">
        <v>46</v>
      </c>
      <c r="K112" s="50"/>
    </row>
    <row r="113" ht="14.25" customHeight="1" outlineLevel="1">
      <c r="A113" s="45">
        <v>3</v>
      </c>
      <c r="B113" s="40"/>
      <c r="C113" s="40"/>
      <c r="D113" s="40"/>
      <c r="E113" s="41"/>
      <c r="F113" s="42"/>
      <c r="G113" s="40"/>
      <c r="H113" s="40"/>
      <c r="I113" s="40"/>
      <c r="J113" s="49"/>
      <c r="K113" s="50"/>
    </row>
    <row r="114" ht="14.25" customHeight="1" outlineLevel="1">
      <c r="A114" s="45">
        <v>4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5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6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7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8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9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10</v>
      </c>
      <c r="B120" s="57"/>
      <c r="C120" s="57"/>
      <c r="D120" s="57"/>
      <c r="E120" s="58"/>
      <c r="F120" s="59"/>
      <c r="G120" s="57"/>
      <c r="H120" s="57"/>
      <c r="I120" s="57"/>
      <c r="J120" s="60"/>
      <c r="K120" s="61"/>
    </row>
    <row r="121" ht="23.100000000000001" customHeight="1">
      <c r="A121" s="63" t="s">
        <v>34</v>
      </c>
      <c r="B121" s="64"/>
      <c r="C121" s="64"/>
      <c r="D121" s="73"/>
      <c r="E121" s="65">
        <f>SUM(E94:E120)</f>
        <v>450720.44999999995</v>
      </c>
    </row>
    <row r="122" ht="23.100000000000001" customHeight="1">
      <c r="A122" s="63" t="s">
        <v>28</v>
      </c>
      <c r="B122" s="64"/>
      <c r="C122" s="64"/>
      <c r="D122" s="73"/>
      <c r="E122" s="65">
        <f>E90-E121</f>
        <v>-323175.01999999996</v>
      </c>
      <c r="F122" s="66"/>
    </row>
    <row r="123" ht="24.75" customHeight="1">
      <c r="E123" s="1"/>
    </row>
    <row r="124" ht="30" customHeight="1">
      <c r="A124" s="74" t="s">
        <v>35</v>
      </c>
      <c r="B124" s="75"/>
      <c r="C124" s="75"/>
      <c r="D124" s="76"/>
      <c r="E124" s="77">
        <f>SUM(E125:E125)</f>
        <v>259104</v>
      </c>
      <c r="F124" s="13"/>
      <c r="G124" s="13"/>
      <c r="H124" s="13"/>
      <c r="I124" s="13"/>
    </row>
    <row r="125" ht="15" customHeight="1">
      <c r="A125" s="69" t="s">
        <v>36</v>
      </c>
      <c r="B125" s="70"/>
      <c r="C125" s="70"/>
      <c r="D125" s="71"/>
      <c r="E125" s="72">
        <v>259104</v>
      </c>
      <c r="F125" s="13"/>
      <c r="G125" s="13"/>
      <c r="H125" s="13"/>
      <c r="I125" s="13"/>
    </row>
    <row r="126" ht="5.2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25.5" customHeight="1" outlineLevel="1">
      <c r="A127" s="31" t="s">
        <v>10</v>
      </c>
      <c r="B127" s="31" t="s">
        <v>11</v>
      </c>
      <c r="C127" s="31" t="s">
        <v>12</v>
      </c>
      <c r="D127" s="31" t="s">
        <v>13</v>
      </c>
      <c r="E127" s="32" t="s">
        <v>14</v>
      </c>
      <c r="F127" s="31" t="s">
        <v>15</v>
      </c>
      <c r="G127" s="31" t="s">
        <v>16</v>
      </c>
      <c r="H127" s="33" t="s">
        <v>17</v>
      </c>
      <c r="I127" s="31" t="s">
        <v>18</v>
      </c>
      <c r="J127" s="31" t="s">
        <v>19</v>
      </c>
      <c r="K127" s="31" t="s">
        <v>32</v>
      </c>
    </row>
    <row r="128" s="34" customFormat="1" ht="18.75" customHeight="1" outlineLevel="1">
      <c r="A128" s="78"/>
      <c r="B128" s="79" t="s">
        <v>37</v>
      </c>
      <c r="C128" s="80"/>
      <c r="D128" s="81"/>
      <c r="E128" s="82"/>
      <c r="F128" s="79"/>
      <c r="G128" s="79"/>
      <c r="H128" s="79"/>
      <c r="I128" s="79"/>
      <c r="J128" s="79"/>
      <c r="K128" s="83"/>
    </row>
    <row r="129" ht="58.5" customHeight="1" outlineLevel="1">
      <c r="A129" s="257">
        <v>1</v>
      </c>
      <c r="B129" s="196" t="s">
        <v>378</v>
      </c>
      <c r="C129" s="196" t="s">
        <v>379</v>
      </c>
      <c r="D129" s="196" t="s">
        <v>380</v>
      </c>
      <c r="E129" s="258">
        <v>10000</v>
      </c>
      <c r="F129" s="237" t="s">
        <v>381</v>
      </c>
      <c r="G129" s="52"/>
      <c r="H129" s="52" t="s">
        <v>45</v>
      </c>
      <c r="I129" s="52"/>
      <c r="J129" s="55"/>
      <c r="K129" s="56"/>
    </row>
    <row r="130" ht="42" customHeight="1" outlineLevel="1">
      <c r="A130" s="222">
        <v>2</v>
      </c>
      <c r="B130" s="222" t="s">
        <v>378</v>
      </c>
      <c r="C130" s="222" t="s">
        <v>379</v>
      </c>
      <c r="D130" s="222" t="s">
        <v>382</v>
      </c>
      <c r="E130" s="259">
        <v>15000</v>
      </c>
      <c r="F130" s="260" t="s">
        <v>383</v>
      </c>
      <c r="G130" s="115"/>
      <c r="H130" s="46" t="s">
        <v>45</v>
      </c>
      <c r="I130" s="46"/>
      <c r="J130" s="49"/>
      <c r="K130" s="50"/>
    </row>
    <row r="131" ht="14.25" customHeight="1" outlineLevel="1">
      <c r="A131" s="39">
        <v>3</v>
      </c>
      <c r="B131" s="168"/>
      <c r="C131" s="168"/>
      <c r="D131" s="168"/>
      <c r="E131" s="261"/>
      <c r="F131" s="262"/>
      <c r="G131" s="46"/>
      <c r="H131" s="46"/>
      <c r="I131" s="46"/>
      <c r="J131" s="49"/>
      <c r="K131" s="50"/>
    </row>
    <row r="132" ht="14.25" customHeight="1" outlineLevel="1">
      <c r="A132" s="96">
        <v>4</v>
      </c>
      <c r="B132" s="263" t="s">
        <v>116</v>
      </c>
      <c r="C132" s="264" t="s">
        <v>117</v>
      </c>
      <c r="D132" s="264" t="s">
        <v>118</v>
      </c>
      <c r="E132" s="265">
        <f>34797</f>
        <v>34797</v>
      </c>
      <c r="F132" s="264" t="s">
        <v>145</v>
      </c>
      <c r="G132" s="115"/>
      <c r="H132" s="46"/>
      <c r="I132" s="46"/>
      <c r="J132" s="49"/>
      <c r="K132" s="50"/>
    </row>
    <row r="133" ht="14.25" customHeight="1" outlineLevel="1">
      <c r="A133" s="45">
        <v>5</v>
      </c>
      <c r="B133" s="40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6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7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8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9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10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11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12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13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14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62">
        <v>15</v>
      </c>
      <c r="B143" s="57"/>
      <c r="C143" s="57"/>
      <c r="D143" s="57"/>
      <c r="E143" s="58"/>
      <c r="F143" s="59"/>
      <c r="G143" s="57"/>
      <c r="H143" s="57"/>
      <c r="I143" s="57"/>
      <c r="J143" s="60"/>
      <c r="K143" s="61"/>
    </row>
    <row r="144" ht="23.100000000000001" customHeight="1">
      <c r="A144" s="84" t="s">
        <v>38</v>
      </c>
      <c r="B144" s="85"/>
      <c r="C144" s="85"/>
      <c r="D144" s="86"/>
      <c r="E144" s="87">
        <f>SUM(E128:E143)</f>
        <v>59797</v>
      </c>
    </row>
    <row r="145" ht="23.100000000000001" customHeight="1">
      <c r="A145" s="84" t="s">
        <v>28</v>
      </c>
      <c r="B145" s="85"/>
      <c r="C145" s="85"/>
      <c r="D145" s="86"/>
      <c r="E145" s="87">
        <f>E124-E144</f>
        <v>199307</v>
      </c>
      <c r="F145" s="66"/>
    </row>
    <row r="146" ht="14.25">
      <c r="E146" s="1"/>
    </row>
    <row r="147" ht="14.25">
      <c r="E147" s="1"/>
    </row>
    <row r="203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7:D87"/>
    <mergeCell ref="A88:D88"/>
    <mergeCell ref="A90:D90"/>
    <mergeCell ref="A91:D91"/>
    <mergeCell ref="A121:D121"/>
    <mergeCell ref="A122:D122"/>
    <mergeCell ref="A124:D124"/>
    <mergeCell ref="A125:D125"/>
    <mergeCell ref="A144:D144"/>
    <mergeCell ref="A145:D14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6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A00A6-0049-4D86-A69B-000300780014}" type="list" allowBlank="1" errorStyle="stop" imeMode="noControl" operator="between" showDropDown="0" showErrorMessage="1" showInputMessage="1">
          <x14:formula1>
            <xm:f>ДаНет</xm:f>
          </x14:formula1>
          <xm:sqref>H66:H80 H50:H64 H129:H143 H82:H86 H95:H102 H104:H109 H111 H113:H120 H18 H21:H25 H27:H34 H36:H48 H103</xm:sqref>
        </x14:dataValidation>
        <x14:dataValidation xr:uid="{009C00F3-00F8-4AF3-B030-00DC00C40009}" type="list" allowBlank="1" errorStyle="stop" imeMode="noControl" operator="between" showDropDown="0" showErrorMessage="1" showInputMessage="1">
          <x14:formula1>
            <xm:f>ДаНет</xm:f>
          </x14:formula1>
          <xm:sqref>H17</xm:sqref>
        </x14:dataValidation>
        <x14:dataValidation xr:uid="{003F0037-00CE-4D58-8D2E-004B004A00C9}" type="list" allowBlank="1" errorStyle="stop" imeMode="noControl" operator="between" showDropDown="0" showErrorMessage="1" showInputMessage="1">
          <x14:formula1>
            <xm:f>ДаНет</xm:f>
          </x14:formula1>
          <xm:sqref>H19:H20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2">
    <outlinePr applyStyles="0" summaryBelow="1" summaryRight="1" showOutlineSymbols="1"/>
    <pageSetUpPr autoPageBreaks="1" fitToPage="0"/>
  </sheetPr>
  <sheetViews>
    <sheetView showGridLines="0" showRuler="1" topLeftCell="A18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17.8515625"/>
    <col customWidth="1" min="4" max="4" style="1" width="28.8515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'11'!C2+1</f>
        <v>46093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141139.29000000001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34718.360000000001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10503.860000000001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5836.8500000000004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6" t="s">
        <v>67</v>
      </c>
      <c r="C17" s="46" t="s">
        <v>299</v>
      </c>
      <c r="D17" s="105" t="s">
        <v>300</v>
      </c>
      <c r="E17" s="98">
        <v>517209</v>
      </c>
      <c r="F17" s="242" t="s">
        <v>70</v>
      </c>
      <c r="G17" s="40"/>
      <c r="H17" s="40" t="s">
        <v>45</v>
      </c>
      <c r="I17" s="40"/>
      <c r="J17" s="43" t="s">
        <v>46</v>
      </c>
      <c r="K17" s="44"/>
    </row>
    <row r="18" ht="14.25" customHeight="1" outlineLevel="1">
      <c r="A18" s="45">
        <v>2</v>
      </c>
      <c r="B18" s="46" t="s">
        <v>67</v>
      </c>
      <c r="C18" s="46" t="s">
        <v>75</v>
      </c>
      <c r="D18" s="243" t="s">
        <v>384</v>
      </c>
      <c r="E18" s="172">
        <v>89842.889999999999</v>
      </c>
      <c r="F18" s="245" t="s">
        <v>385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45">
        <v>3</v>
      </c>
      <c r="B19" s="106" t="s">
        <v>67</v>
      </c>
      <c r="C19" s="46" t="s">
        <v>75</v>
      </c>
      <c r="D19" s="243" t="s">
        <v>386</v>
      </c>
      <c r="E19" s="98">
        <v>1000000</v>
      </c>
      <c r="F19" s="48" t="s">
        <v>385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96">
        <v>4</v>
      </c>
      <c r="B20" s="93"/>
      <c r="C20" s="46"/>
      <c r="D20" s="94"/>
      <c r="E20" s="266"/>
      <c r="F20" s="48"/>
      <c r="G20" s="46"/>
      <c r="H20" s="46"/>
      <c r="I20" s="46"/>
      <c r="J20" s="49"/>
      <c r="K20" s="50"/>
    </row>
    <row r="21" ht="14.25" customHeight="1" outlineLevel="1">
      <c r="A21" s="96">
        <v>5</v>
      </c>
      <c r="B21" s="97" t="s">
        <v>47</v>
      </c>
      <c r="C21" s="99" t="s">
        <v>57</v>
      </c>
      <c r="D21" s="186" t="s">
        <v>58</v>
      </c>
      <c r="E21" s="189" t="s">
        <v>387</v>
      </c>
      <c r="F21" s="141" t="s">
        <v>44</v>
      </c>
      <c r="G21" s="46"/>
      <c r="H21" s="46" t="s">
        <v>45</v>
      </c>
      <c r="I21" s="46"/>
      <c r="J21" s="49"/>
      <c r="K21" s="50"/>
    </row>
    <row r="22" ht="28.5" outlineLevel="1">
      <c r="A22" s="45">
        <v>6</v>
      </c>
      <c r="B22" s="46" t="s">
        <v>41</v>
      </c>
      <c r="C22" s="46" t="s">
        <v>48</v>
      </c>
      <c r="D22" s="46" t="s">
        <v>49</v>
      </c>
      <c r="E22" s="241">
        <v>854030</v>
      </c>
      <c r="F22" s="48" t="s">
        <v>388</v>
      </c>
      <c r="G22" s="46"/>
      <c r="H22" s="46" t="s">
        <v>51</v>
      </c>
      <c r="I22" s="46" t="s">
        <v>170</v>
      </c>
      <c r="J22" s="49" t="s">
        <v>46</v>
      </c>
      <c r="K22" s="50"/>
    </row>
    <row r="23" ht="14.25" customHeight="1" outlineLevel="1">
      <c r="A23" s="45">
        <v>7</v>
      </c>
      <c r="B23" s="46"/>
      <c r="C23" s="46" t="s">
        <v>153</v>
      </c>
      <c r="D23" s="267">
        <v>2022</v>
      </c>
      <c r="E23" s="268">
        <v>6000000</v>
      </c>
      <c r="F23" s="48"/>
      <c r="G23" s="46"/>
      <c r="H23" s="46"/>
      <c r="I23" s="46"/>
      <c r="J23" s="49" t="s">
        <v>46</v>
      </c>
      <c r="K23" s="50"/>
    </row>
    <row r="24" ht="14.25" customHeight="1" outlineLevel="1">
      <c r="A24" s="96">
        <v>8</v>
      </c>
      <c r="B24" s="269" t="s">
        <v>41</v>
      </c>
      <c r="C24" s="46" t="s">
        <v>42</v>
      </c>
      <c r="D24" s="94" t="s">
        <v>43</v>
      </c>
      <c r="E24" s="206">
        <v>3500000</v>
      </c>
      <c r="F24" s="48" t="s">
        <v>44</v>
      </c>
      <c r="G24" s="46"/>
      <c r="H24" s="46" t="s">
        <v>45</v>
      </c>
      <c r="I24" s="46" t="s">
        <v>66</v>
      </c>
      <c r="J24" s="49" t="s">
        <v>46</v>
      </c>
      <c r="K24" s="50"/>
    </row>
    <row r="25" ht="14.25" customHeight="1" outlineLevel="1">
      <c r="A25" s="39">
        <v>9</v>
      </c>
      <c r="B25" s="46" t="s">
        <v>152</v>
      </c>
      <c r="C25" s="46" t="s">
        <v>154</v>
      </c>
      <c r="D25" s="46">
        <v>202057</v>
      </c>
      <c r="E25" s="95">
        <v>22000000</v>
      </c>
      <c r="F25" s="48"/>
      <c r="G25" s="46"/>
      <c r="H25" s="46" t="s">
        <v>45</v>
      </c>
      <c r="I25" s="46" t="s">
        <v>66</v>
      </c>
      <c r="J25" s="49" t="s">
        <v>46</v>
      </c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 t="s">
        <v>41</v>
      </c>
      <c r="C27" s="46" t="s">
        <v>389</v>
      </c>
      <c r="D27" s="46" t="s">
        <v>390</v>
      </c>
      <c r="E27" s="207" t="s">
        <v>391</v>
      </c>
      <c r="F27" s="48" t="s">
        <v>44</v>
      </c>
      <c r="G27" s="46"/>
      <c r="H27" s="46" t="s">
        <v>45</v>
      </c>
      <c r="I27" s="46"/>
      <c r="J27" s="49"/>
      <c r="K27" s="50"/>
    </row>
    <row r="28" ht="14.25" customHeight="1" outlineLevel="1">
      <c r="A28" s="45">
        <v>12</v>
      </c>
      <c r="B28" s="46" t="s">
        <v>41</v>
      </c>
      <c r="C28" s="46" t="s">
        <v>392</v>
      </c>
      <c r="D28" s="46" t="s">
        <v>393</v>
      </c>
      <c r="E28" s="98">
        <v>105620.09</v>
      </c>
      <c r="F28" s="48" t="s">
        <v>44</v>
      </c>
      <c r="G28" s="46"/>
      <c r="H28" s="46" t="s">
        <v>45</v>
      </c>
      <c r="I28" s="46"/>
      <c r="J28" s="49" t="s">
        <v>46</v>
      </c>
      <c r="K28" s="50"/>
    </row>
    <row r="29" ht="14.25" customHeight="1" outlineLevel="1">
      <c r="A29" s="45">
        <v>13</v>
      </c>
      <c r="B29" s="46"/>
      <c r="C29" s="46" t="s">
        <v>78</v>
      </c>
      <c r="D29" s="46"/>
      <c r="E29" s="98">
        <v>100000</v>
      </c>
      <c r="F29" s="48"/>
      <c r="G29" s="46"/>
      <c r="H29" s="46" t="s">
        <v>45</v>
      </c>
      <c r="I29" s="46"/>
      <c r="J29" s="49" t="s">
        <v>46</v>
      </c>
      <c r="K29" s="50"/>
    </row>
    <row r="30" ht="14.25" customHeight="1" outlineLevel="1">
      <c r="A30" s="45">
        <v>14</v>
      </c>
      <c r="B30" s="46"/>
      <c r="C30" s="46" t="s">
        <v>153</v>
      </c>
      <c r="D30" s="267">
        <v>2022</v>
      </c>
      <c r="E30" s="268">
        <v>5000000</v>
      </c>
      <c r="F30" s="48"/>
      <c r="G30" s="46"/>
      <c r="H30" s="46" t="s">
        <v>45</v>
      </c>
      <c r="I30" s="46"/>
      <c r="J30" s="49" t="s">
        <v>46</v>
      </c>
      <c r="K30" s="50"/>
    </row>
    <row r="31" ht="14.25" customHeight="1" outlineLevel="1">
      <c r="A31" s="96">
        <v>15</v>
      </c>
      <c r="B31" s="97" t="s">
        <v>47</v>
      </c>
      <c r="C31" s="99" t="s">
        <v>57</v>
      </c>
      <c r="D31" s="186" t="s">
        <v>58</v>
      </c>
      <c r="E31" s="268">
        <v>4000000</v>
      </c>
      <c r="F31" s="48"/>
      <c r="G31" s="46"/>
      <c r="H31" s="46" t="s">
        <v>45</v>
      </c>
      <c r="I31" s="46"/>
      <c r="J31" s="49" t="s">
        <v>46</v>
      </c>
      <c r="K31" s="50"/>
    </row>
    <row r="32" ht="60" customHeight="1" outlineLevel="1">
      <c r="A32" s="45">
        <v>16</v>
      </c>
      <c r="B32" s="94" t="s">
        <v>228</v>
      </c>
      <c r="C32" s="156" t="s">
        <v>233</v>
      </c>
      <c r="D32" s="94" t="s">
        <v>234</v>
      </c>
      <c r="E32" s="98">
        <v>25961</v>
      </c>
      <c r="F32" s="270" t="s">
        <v>231</v>
      </c>
      <c r="G32" s="94"/>
      <c r="H32" s="94" t="s">
        <v>45</v>
      </c>
      <c r="I32" s="94" t="s">
        <v>232</v>
      </c>
      <c r="J32" s="49" t="s">
        <v>394</v>
      </c>
      <c r="K32" s="50"/>
    </row>
    <row r="33" ht="14.25" customHeight="1" outlineLevel="1">
      <c r="A33" s="45">
        <v>17</v>
      </c>
      <c r="B33" s="271" t="s">
        <v>228</v>
      </c>
      <c r="C33" s="46" t="s">
        <v>395</v>
      </c>
      <c r="D33" s="46" t="s">
        <v>396</v>
      </c>
      <c r="E33" s="272">
        <v>2144.5</v>
      </c>
      <c r="F33" s="270" t="s">
        <v>231</v>
      </c>
      <c r="G33" s="46"/>
      <c r="H33" s="46" t="s">
        <v>45</v>
      </c>
      <c r="I33" s="94" t="s">
        <v>232</v>
      </c>
      <c r="J33" s="49" t="s">
        <v>397</v>
      </c>
      <c r="K33" s="50"/>
    </row>
    <row r="34" ht="14.25" customHeight="1" outlineLevel="1">
      <c r="A34" s="96">
        <v>18</v>
      </c>
      <c r="B34" s="273" t="s">
        <v>41</v>
      </c>
      <c r="C34" s="94" t="s">
        <v>42</v>
      </c>
      <c r="D34" s="94" t="s">
        <v>43</v>
      </c>
      <c r="E34" s="274">
        <v>3000000</v>
      </c>
      <c r="F34" s="156" t="s">
        <v>44</v>
      </c>
      <c r="G34" s="46"/>
      <c r="H34" s="46"/>
      <c r="I34" s="46"/>
      <c r="J34" s="49" t="s">
        <v>46</v>
      </c>
      <c r="K34" s="50"/>
    </row>
    <row r="35" s="34" customFormat="1" ht="25.5" customHeight="1" outlineLevel="1">
      <c r="A35" s="35"/>
      <c r="B35" s="193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142" t="s">
        <v>157</v>
      </c>
      <c r="C68" s="142" t="s">
        <v>267</v>
      </c>
      <c r="D68" s="142" t="s">
        <v>239</v>
      </c>
      <c r="E68" s="107">
        <v>20537.029999999999</v>
      </c>
      <c r="F68" s="54" t="s">
        <v>240</v>
      </c>
      <c r="G68" s="52" t="s">
        <v>260</v>
      </c>
      <c r="H68" s="52"/>
      <c r="I68" s="52"/>
      <c r="J68" s="55" t="s">
        <v>46</v>
      </c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 t="s">
        <v>123</v>
      </c>
      <c r="C84" s="52" t="s">
        <v>124</v>
      </c>
      <c r="D84" s="52" t="s">
        <v>127</v>
      </c>
      <c r="E84" s="107">
        <v>26350000</v>
      </c>
      <c r="F84" s="54" t="s">
        <v>126</v>
      </c>
      <c r="G84" s="52"/>
      <c r="H84" s="52"/>
      <c r="I84" s="52"/>
      <c r="J84" s="55" t="s">
        <v>46</v>
      </c>
      <c r="K84" s="56"/>
    </row>
    <row r="85" ht="14.25" customHeight="1" outlineLevel="1">
      <c r="A85" s="39">
        <v>2</v>
      </c>
      <c r="B85" s="40"/>
      <c r="C85" s="40" t="s">
        <v>398</v>
      </c>
      <c r="D85" s="40"/>
      <c r="E85" s="95">
        <v>100000</v>
      </c>
      <c r="F85" s="42"/>
      <c r="G85" s="40"/>
      <c r="H85" s="40"/>
      <c r="I85" s="40"/>
      <c r="J85" s="43" t="s">
        <v>46</v>
      </c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72665344.510000005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-72524205.219999999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170">
        <f>SUM(E93:E93)</f>
        <v>150002.17999999999</v>
      </c>
      <c r="F92" s="136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150002.17999999999</v>
      </c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 t="s">
        <v>221</v>
      </c>
      <c r="D98" s="46"/>
      <c r="E98" s="98">
        <v>106000</v>
      </c>
      <c r="F98" s="48"/>
      <c r="G98" s="46"/>
      <c r="H98" s="46"/>
      <c r="I98" s="46" t="s">
        <v>399</v>
      </c>
      <c r="J98" s="49" t="s">
        <v>46</v>
      </c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127">
        <v>1</v>
      </c>
      <c r="B113" s="198" t="s">
        <v>223</v>
      </c>
      <c r="C113" s="199" t="s">
        <v>241</v>
      </c>
      <c r="D113" s="200" t="s">
        <v>239</v>
      </c>
      <c r="E113" s="201">
        <v>25686.439999999999</v>
      </c>
      <c r="F113" s="54" t="s">
        <v>242</v>
      </c>
      <c r="G113" s="52" t="s">
        <v>260</v>
      </c>
      <c r="H113" s="52"/>
      <c r="I113" s="52"/>
      <c r="J113" s="55" t="s">
        <v>46</v>
      </c>
      <c r="K113" s="56"/>
    </row>
    <row r="114" ht="14.25" customHeight="1" outlineLevel="1">
      <c r="A114" s="45">
        <v>2</v>
      </c>
      <c r="B114" s="40"/>
      <c r="C114" s="40"/>
      <c r="D114" s="40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231686.44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-81684.260000000009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259104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259104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J131" s="55"/>
      <c r="K131" s="56"/>
    </row>
    <row r="132" ht="14.25" customHeight="1" outlineLevel="1">
      <c r="A132" s="96">
        <v>2</v>
      </c>
      <c r="J132" s="49"/>
      <c r="K132" s="50"/>
    </row>
    <row r="133" ht="14.25" customHeight="1" outlineLevel="1">
      <c r="A133" s="45">
        <v>3</v>
      </c>
      <c r="J133" s="49"/>
      <c r="K133" s="50"/>
    </row>
    <row r="134" ht="14.25" customHeight="1" outlineLevel="1">
      <c r="A134" s="96">
        <v>4</v>
      </c>
      <c r="J134" s="49"/>
      <c r="K134" s="50"/>
    </row>
    <row r="135" ht="14.25" customHeight="1" outlineLevel="1">
      <c r="A135" s="45">
        <v>5</v>
      </c>
      <c r="J135" s="49"/>
      <c r="K135" s="50"/>
    </row>
    <row r="136" ht="14.25" customHeight="1" outlineLevel="1">
      <c r="A136" s="45">
        <v>6</v>
      </c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259104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3004A-00A4-4B9F-8616-0021001100D4}" type="list" allowBlank="1" errorStyle="stop" imeMode="noControl" operator="between" showDropDown="0" showErrorMessage="1" showInputMessage="1">
          <x14:formula1>
            <xm:f>ДаНет</xm:f>
          </x14:formula1>
          <xm:sqref>H68:H82 H52:H66 H137:H145 H84:H88 H97:H111 H113:H122 H17:H18 H20:H27 H33:H34 H36:H50 H19 H28 H29 H30 H31</xm:sqref>
        </x14:dataValidation>
        <x14:dataValidation xr:uid="{00A1000C-00BF-4A97-8783-0019004E001C}" type="list" allowBlank="1" errorStyle="stop" imeMode="noControl" operator="between" showDropDown="0" showErrorMessage="1" showInputMessage="1">
          <x14:formula1>
            <xm:f>ДаНет</xm:f>
          </x14:formula1>
          <xm:sqref>H32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3"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7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bestFit="1" customWidth="1" min="3" max="3" style="1" width="29.57421875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51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'12'!C2+1</f>
        <v>46094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1354990.4699999997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263247.53999999998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10503.860000000001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991158.84999999998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96">
        <v>2</v>
      </c>
      <c r="B18" s="97" t="s">
        <v>47</v>
      </c>
      <c r="C18" s="46" t="s">
        <v>249</v>
      </c>
      <c r="D18" s="46" t="s">
        <v>250</v>
      </c>
      <c r="E18" s="98">
        <v>1159000</v>
      </c>
      <c r="F18" s="48" t="s">
        <v>44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45">
        <v>3</v>
      </c>
      <c r="B19" s="46" t="s">
        <v>67</v>
      </c>
      <c r="C19" s="46" t="s">
        <v>75</v>
      </c>
      <c r="D19" s="243" t="s">
        <v>386</v>
      </c>
      <c r="E19" s="192">
        <v>755238.67000000004</v>
      </c>
      <c r="F19" s="48" t="s">
        <v>385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96">
        <v>4</v>
      </c>
      <c r="B20" s="97" t="s">
        <v>47</v>
      </c>
      <c r="C20" s="99" t="s">
        <v>57</v>
      </c>
      <c r="D20" s="186" t="s">
        <v>58</v>
      </c>
      <c r="E20" s="189" t="s">
        <v>387</v>
      </c>
      <c r="F20" s="141" t="s">
        <v>44</v>
      </c>
      <c r="G20" s="46"/>
      <c r="H20" s="46" t="s">
        <v>45</v>
      </c>
      <c r="I20" s="46"/>
      <c r="J20" s="49"/>
      <c r="K20" s="50"/>
    </row>
    <row r="21" ht="14.25" customHeight="1" outlineLevel="1">
      <c r="A21" s="45">
        <v>5</v>
      </c>
      <c r="B21" s="46" t="s">
        <v>41</v>
      </c>
      <c r="C21" s="46" t="s">
        <v>389</v>
      </c>
      <c r="D21" s="46" t="s">
        <v>390</v>
      </c>
      <c r="E21" s="98">
        <v>818103</v>
      </c>
      <c r="F21" s="48" t="s">
        <v>44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6</v>
      </c>
      <c r="B22" s="106" t="s">
        <v>41</v>
      </c>
      <c r="C22" s="46" t="s">
        <v>48</v>
      </c>
      <c r="D22" s="46" t="s">
        <v>49</v>
      </c>
      <c r="E22" s="241">
        <v>767110</v>
      </c>
      <c r="F22" s="48" t="s">
        <v>388</v>
      </c>
      <c r="G22" s="46"/>
      <c r="H22" s="46" t="s">
        <v>51</v>
      </c>
      <c r="I22" s="46" t="s">
        <v>170</v>
      </c>
      <c r="J22" s="49" t="s">
        <v>46</v>
      </c>
      <c r="K22" s="50"/>
    </row>
    <row r="23" ht="14.25" customHeight="1" outlineLevel="1">
      <c r="A23" s="96">
        <v>7</v>
      </c>
      <c r="B23" s="273" t="s">
        <v>41</v>
      </c>
      <c r="C23" s="94" t="s">
        <v>42</v>
      </c>
      <c r="D23" s="94" t="s">
        <v>43</v>
      </c>
      <c r="E23" s="275">
        <v>6350000</v>
      </c>
      <c r="F23" s="156" t="s">
        <v>44</v>
      </c>
      <c r="G23" s="46"/>
      <c r="H23" s="46" t="s">
        <v>45</v>
      </c>
      <c r="I23" s="46" t="s">
        <v>151</v>
      </c>
      <c r="J23" s="49" t="s">
        <v>46</v>
      </c>
      <c r="K23" s="50"/>
    </row>
    <row r="24" ht="14.25" customHeight="1" outlineLevel="1">
      <c r="A24" s="96">
        <v>8</v>
      </c>
      <c r="B24" s="97" t="s">
        <v>47</v>
      </c>
      <c r="C24" s="99" t="s">
        <v>57</v>
      </c>
      <c r="D24" s="186" t="s">
        <v>58</v>
      </c>
      <c r="E24" s="159">
        <v>5000000</v>
      </c>
      <c r="F24" s="141" t="s">
        <v>44</v>
      </c>
      <c r="G24" s="46"/>
      <c r="H24" s="46" t="s">
        <v>45</v>
      </c>
      <c r="I24" s="46" t="s">
        <v>151</v>
      </c>
      <c r="J24" s="49" t="s">
        <v>46</v>
      </c>
      <c r="K24" s="50"/>
    </row>
    <row r="25" ht="14.25" customHeight="1" outlineLevel="1">
      <c r="A25" s="39">
        <v>9</v>
      </c>
      <c r="B25" s="46" t="s">
        <v>152</v>
      </c>
      <c r="C25" s="46" t="s">
        <v>154</v>
      </c>
      <c r="D25" s="46">
        <v>202057</v>
      </c>
      <c r="E25" s="98">
        <v>6000000</v>
      </c>
      <c r="F25" s="48"/>
      <c r="G25" s="46"/>
      <c r="H25" s="46" t="s">
        <v>45</v>
      </c>
      <c r="I25" s="46" t="s">
        <v>151</v>
      </c>
      <c r="J25" s="49" t="s">
        <v>46</v>
      </c>
      <c r="K25" s="50"/>
    </row>
    <row r="26" ht="14.25" customHeight="1" outlineLevel="1">
      <c r="A26" s="45">
        <v>10</v>
      </c>
      <c r="B26" s="46" t="s">
        <v>152</v>
      </c>
      <c r="C26" s="46" t="s">
        <v>153</v>
      </c>
      <c r="D26" s="267">
        <v>2022</v>
      </c>
      <c r="E26" s="276">
        <v>9000000</v>
      </c>
      <c r="F26" s="48"/>
      <c r="G26" s="46"/>
      <c r="H26" s="46" t="s">
        <v>45</v>
      </c>
      <c r="I26" s="46" t="s">
        <v>151</v>
      </c>
      <c r="J26" s="49" t="s">
        <v>46</v>
      </c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 t="s">
        <v>232</v>
      </c>
      <c r="D28" s="46"/>
      <c r="E28" s="272">
        <v>2000000</v>
      </c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52"/>
      <c r="C53" s="52"/>
      <c r="D53" s="46"/>
      <c r="E53" s="47"/>
      <c r="F53" s="54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 t="s">
        <v>123</v>
      </c>
      <c r="C84" s="52" t="s">
        <v>124</v>
      </c>
      <c r="D84" s="52" t="s">
        <v>400</v>
      </c>
      <c r="E84" s="107">
        <v>5125.7600000000002</v>
      </c>
      <c r="F84" s="54" t="s">
        <v>401</v>
      </c>
      <c r="G84" s="52"/>
      <c r="H84" s="52"/>
      <c r="I84" s="54" t="s">
        <v>402</v>
      </c>
      <c r="J84" s="55"/>
      <c r="K84" s="56"/>
    </row>
    <row r="85" ht="63.75" customHeight="1" outlineLevel="1">
      <c r="A85" s="39">
        <v>2</v>
      </c>
      <c r="B85" s="40" t="s">
        <v>123</v>
      </c>
      <c r="C85" s="40" t="s">
        <v>124</v>
      </c>
      <c r="D85" s="40" t="s">
        <v>400</v>
      </c>
      <c r="E85" s="95">
        <v>679586.70999999996</v>
      </c>
      <c r="F85" s="42" t="s">
        <v>403</v>
      </c>
      <c r="G85" s="40"/>
      <c r="H85" s="40"/>
      <c r="I85" s="42" t="s">
        <v>404</v>
      </c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32534164.140000004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-31179173.670000006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170">
        <f>SUM(E93:E93)</f>
        <v>73063.699999999997</v>
      </c>
      <c r="F92" s="136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73063.699999999997</v>
      </c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-26936.300000000003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259104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259104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171" t="s">
        <v>378</v>
      </c>
      <c r="C131" s="171" t="s">
        <v>379</v>
      </c>
      <c r="D131" s="171" t="s">
        <v>380</v>
      </c>
      <c r="E131" s="277">
        <v>10000</v>
      </c>
      <c r="F131" s="278" t="s">
        <v>381</v>
      </c>
      <c r="G131" s="52"/>
      <c r="H131" s="52" t="s">
        <v>45</v>
      </c>
      <c r="I131" s="52"/>
      <c r="J131" s="55" t="s">
        <v>46</v>
      </c>
      <c r="K131" s="56"/>
    </row>
    <row r="132" ht="14.25" customHeight="1" outlineLevel="1">
      <c r="A132" s="45">
        <v>2</v>
      </c>
      <c r="B132" s="222" t="s">
        <v>378</v>
      </c>
      <c r="C132" s="222" t="s">
        <v>379</v>
      </c>
      <c r="D132" s="222" t="s">
        <v>382</v>
      </c>
      <c r="E132" s="203">
        <v>15000</v>
      </c>
      <c r="F132" s="260" t="s">
        <v>383</v>
      </c>
      <c r="G132" s="115"/>
      <c r="H132" s="46" t="s">
        <v>45</v>
      </c>
      <c r="I132" s="46"/>
      <c r="J132" s="49" t="s">
        <v>46</v>
      </c>
      <c r="K132" s="50"/>
    </row>
    <row r="133" ht="14.25" customHeight="1" outlineLevel="1">
      <c r="A133" s="45">
        <v>3</v>
      </c>
      <c r="B133" s="199"/>
      <c r="C133" s="199"/>
      <c r="D133" s="199"/>
      <c r="E133" s="279"/>
      <c r="F133" s="280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263" t="s">
        <v>116</v>
      </c>
      <c r="C134" s="264" t="s">
        <v>117</v>
      </c>
      <c r="D134" s="264" t="s">
        <v>118</v>
      </c>
      <c r="E134" s="112">
        <f>34797</f>
        <v>34797</v>
      </c>
      <c r="F134" s="264" t="s">
        <v>145</v>
      </c>
      <c r="G134" s="115"/>
      <c r="H134" s="46"/>
      <c r="I134" s="46"/>
      <c r="J134" s="49" t="s">
        <v>46</v>
      </c>
      <c r="K134" s="50"/>
    </row>
    <row r="135" ht="14.25" customHeight="1" outlineLevel="1">
      <c r="A135" s="45">
        <v>5</v>
      </c>
      <c r="B135" s="40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59797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199307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A0013-005B-41E1-AC86-006800E90084}" type="list" allowBlank="1" errorStyle="stop" imeMode="noControl" operator="between" showDropDown="0" showErrorMessage="1" showInputMessage="1">
          <x14:formula1>
            <xm:f>ДаНет</xm:f>
          </x14:formula1>
          <xm:sqref>H68:H82 H52:H66 H137:H145 H84:H88 H97:H111 H113:H122 H17:H24 H27:H34 H36:H50 H25 H26</xm:sqref>
        </x14:dataValidation>
        <x14:dataValidation xr:uid="{0001003D-00BA-492D-B39A-0082005E00A5}" type="list" allowBlank="1" errorStyle="stop" imeMode="noControl" operator="between" showDropDown="0" showErrorMessage="1" showInputMessage="1">
          <x14:formula1>
            <xm:f>ДаНет</xm:f>
          </x14:formula1>
          <xm:sqref>H131:H136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4"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'13'!C2+1</f>
        <v>46095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0001D-000A-4C03-8129-00C0005F00CB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5">
    <tabColor theme="0" tint="-0.499984740745262"/>
    <outlinePr applyStyles="0" summaryBelow="1" summaryRight="1" showOutlineSymbols="1"/>
    <pageSetUpPr autoPageBreaks="1" fitToPage="0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'14'!C2+1</f>
        <v>46096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128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A0091-00CF-4DF6-99A8-00C200360058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6">
    <outlinePr applyStyles="0" summaryBelow="1" summaryRight="1" showOutlineSymbols="1"/>
    <pageSetUpPr autoPageBreaks="1" fitToPage="1"/>
  </sheetPr>
  <sheetViews>
    <sheetView showGridLines="0" showRuler="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40.0039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'15'!C2+1</f>
        <v>46097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621464.32999999984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429721.40000000002</v>
      </c>
      <c r="F5" s="89">
        <f>E26+E36+E37+E38+E39+E40+E53+E54+E55+E56+E57+E58+E59+E61+E67+E83</f>
        <v>1817961.02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10503.860000000001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91158.850000000006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 t="s">
        <v>152</v>
      </c>
      <c r="C17" s="40" t="s">
        <v>167</v>
      </c>
      <c r="D17" s="40"/>
      <c r="E17" s="169">
        <v>2000000</v>
      </c>
      <c r="F17" s="42"/>
      <c r="G17" s="40"/>
      <c r="H17" s="40" t="s">
        <v>45</v>
      </c>
      <c r="I17" s="40" t="s">
        <v>168</v>
      </c>
      <c r="J17" s="43" t="s">
        <v>46</v>
      </c>
      <c r="K17" s="44"/>
    </row>
    <row r="18" ht="14.25" customHeight="1" outlineLevel="1">
      <c r="A18" s="96">
        <v>2</v>
      </c>
      <c r="B18" s="190" t="s">
        <v>47</v>
      </c>
      <c r="C18" s="99" t="s">
        <v>57</v>
      </c>
      <c r="D18" s="186" t="s">
        <v>58</v>
      </c>
      <c r="E18" s="281">
        <v>315000000</v>
      </c>
      <c r="F18" s="141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96">
        <v>3</v>
      </c>
      <c r="B19" s="273" t="s">
        <v>41</v>
      </c>
      <c r="C19" s="94" t="s">
        <v>42</v>
      </c>
      <c r="D19" s="94" t="s">
        <v>43</v>
      </c>
      <c r="E19" s="282"/>
      <c r="F19" s="156" t="s">
        <v>44</v>
      </c>
      <c r="G19" s="46"/>
      <c r="H19" s="46" t="s">
        <v>45</v>
      </c>
      <c r="I19" s="46"/>
      <c r="J19" s="49"/>
      <c r="K19" s="50"/>
    </row>
    <row r="20" ht="14.25" customHeight="1" outlineLevel="1">
      <c r="A20" s="45">
        <v>4</v>
      </c>
      <c r="B20" s="46" t="s">
        <v>41</v>
      </c>
      <c r="C20" s="46" t="s">
        <v>48</v>
      </c>
      <c r="D20" s="46" t="s">
        <v>49</v>
      </c>
      <c r="E20" s="241">
        <v>1692520</v>
      </c>
      <c r="F20" s="156" t="s">
        <v>405</v>
      </c>
      <c r="G20" s="46"/>
      <c r="H20" s="46" t="s">
        <v>45</v>
      </c>
      <c r="I20" s="46"/>
      <c r="J20" s="49" t="s">
        <v>46</v>
      </c>
      <c r="K20" s="50"/>
    </row>
    <row r="21" ht="14.25" customHeight="1" outlineLevel="1">
      <c r="A21" s="45">
        <v>5</v>
      </c>
      <c r="B21" s="46" t="s">
        <v>41</v>
      </c>
      <c r="C21" s="46" t="s">
        <v>48</v>
      </c>
      <c r="D21" s="46" t="s">
        <v>49</v>
      </c>
      <c r="E21" s="98">
        <v>884510</v>
      </c>
      <c r="F21" s="156" t="s">
        <v>406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6</v>
      </c>
      <c r="B22" s="46" t="s">
        <v>41</v>
      </c>
      <c r="C22" s="46" t="s">
        <v>48</v>
      </c>
      <c r="D22" s="46" t="s">
        <v>49</v>
      </c>
      <c r="E22" s="192">
        <v>4841280</v>
      </c>
      <c r="F22" s="156" t="s">
        <v>407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96">
        <v>7</v>
      </c>
      <c r="B23" s="97" t="s">
        <v>47</v>
      </c>
      <c r="C23" s="99" t="s">
        <v>57</v>
      </c>
      <c r="D23" s="186" t="s">
        <v>58</v>
      </c>
      <c r="E23" s="159">
        <v>10000000</v>
      </c>
      <c r="F23" s="141" t="s">
        <v>44</v>
      </c>
      <c r="G23" s="46"/>
      <c r="H23" s="46" t="s">
        <v>45</v>
      </c>
      <c r="I23" s="46"/>
      <c r="J23" s="49" t="s">
        <v>46</v>
      </c>
      <c r="K23" s="50"/>
    </row>
    <row r="24" ht="14.25" customHeight="1" outlineLevel="1">
      <c r="A24" s="45">
        <v>8</v>
      </c>
      <c r="B24" s="46" t="s">
        <v>152</v>
      </c>
      <c r="C24" s="46" t="s">
        <v>154</v>
      </c>
      <c r="D24" s="283">
        <v>202057</v>
      </c>
      <c r="E24" s="98">
        <v>7000000</v>
      </c>
      <c r="F24" s="48"/>
      <c r="G24" s="46"/>
      <c r="H24" s="46" t="s">
        <v>45</v>
      </c>
      <c r="I24" s="46"/>
      <c r="J24" s="49" t="s">
        <v>46</v>
      </c>
      <c r="K24" s="50"/>
    </row>
    <row r="25" ht="14.25" customHeight="1" outlineLevel="1">
      <c r="A25" s="39">
        <v>9</v>
      </c>
      <c r="B25" s="46" t="s">
        <v>152</v>
      </c>
      <c r="C25" s="46" t="s">
        <v>153</v>
      </c>
      <c r="D25" s="284">
        <v>2022</v>
      </c>
      <c r="E25" s="285">
        <v>10000000</v>
      </c>
      <c r="F25" s="48"/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45">
        <v>10</v>
      </c>
      <c r="B26" s="46"/>
      <c r="C26" s="46" t="s">
        <v>78</v>
      </c>
      <c r="D26" s="46"/>
      <c r="E26" s="98">
        <v>220000</v>
      </c>
      <c r="F26" s="48"/>
      <c r="G26" s="46"/>
      <c r="H26" s="46"/>
      <c r="I26" s="46"/>
      <c r="J26" s="49" t="s">
        <v>46</v>
      </c>
      <c r="K26" s="50"/>
    </row>
    <row r="27" ht="14.25" customHeight="1" outlineLevel="1">
      <c r="A27" s="96">
        <v>11</v>
      </c>
      <c r="B27" s="97" t="s">
        <v>47</v>
      </c>
      <c r="C27" s="46" t="s">
        <v>408</v>
      </c>
      <c r="D27" s="46" t="s">
        <v>409</v>
      </c>
      <c r="E27" s="207">
        <v>3000000</v>
      </c>
      <c r="F27" s="48" t="s">
        <v>44</v>
      </c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 t="s">
        <v>78</v>
      </c>
      <c r="D28" s="46"/>
      <c r="E28" s="98">
        <v>200000</v>
      </c>
      <c r="F28" s="48"/>
      <c r="G28" s="46"/>
      <c r="H28" s="46"/>
      <c r="I28" s="46"/>
      <c r="J28" s="49" t="s">
        <v>46</v>
      </c>
      <c r="K28" s="50"/>
    </row>
    <row r="29" ht="14.25" customHeight="1" outlineLevel="1">
      <c r="A29" s="45">
        <v>13</v>
      </c>
      <c r="B29" s="46"/>
      <c r="C29" s="46" t="s">
        <v>153</v>
      </c>
      <c r="D29" s="284">
        <v>2022</v>
      </c>
      <c r="E29" s="268">
        <v>10000000</v>
      </c>
      <c r="F29" s="48"/>
      <c r="G29" s="46"/>
      <c r="H29" s="46"/>
      <c r="I29" s="46"/>
      <c r="J29" s="49" t="s">
        <v>46</v>
      </c>
      <c r="K29" s="50"/>
    </row>
    <row r="30" ht="14.25" customHeight="1" outlineLevel="1">
      <c r="A30" s="45">
        <v>14</v>
      </c>
      <c r="B30" s="46"/>
      <c r="C30" s="99" t="s">
        <v>57</v>
      </c>
      <c r="D30" s="186" t="s">
        <v>58</v>
      </c>
      <c r="E30" s="268">
        <v>8000000</v>
      </c>
      <c r="F30" s="48"/>
      <c r="G30" s="46"/>
      <c r="H30" s="46"/>
      <c r="I30" s="46"/>
      <c r="J30" s="49" t="s">
        <v>46</v>
      </c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229" t="s">
        <v>305</v>
      </c>
      <c r="C36" s="246" t="s">
        <v>410</v>
      </c>
      <c r="D36" s="246" t="s">
        <v>411</v>
      </c>
      <c r="E36" s="251">
        <v>149048</v>
      </c>
      <c r="F36" s="252" t="s">
        <v>412</v>
      </c>
      <c r="G36" s="46" t="s">
        <v>260</v>
      </c>
      <c r="H36" s="46" t="s">
        <v>45</v>
      </c>
      <c r="I36" s="46"/>
      <c r="J36" s="49" t="s">
        <v>46</v>
      </c>
      <c r="K36" s="50"/>
    </row>
    <row r="37" ht="14.25" customHeight="1" outlineLevel="1">
      <c r="A37" s="45">
        <v>2</v>
      </c>
      <c r="B37" s="248" t="s">
        <v>305</v>
      </c>
      <c r="C37" s="249" t="s">
        <v>310</v>
      </c>
      <c r="D37" s="249" t="s">
        <v>413</v>
      </c>
      <c r="E37" s="286">
        <v>16800</v>
      </c>
      <c r="F37" s="287" t="s">
        <v>412</v>
      </c>
      <c r="G37" s="46" t="s">
        <v>260</v>
      </c>
      <c r="H37" s="46" t="s">
        <v>45</v>
      </c>
      <c r="I37" s="46"/>
      <c r="J37" s="49" t="s">
        <v>46</v>
      </c>
      <c r="K37" s="50"/>
    </row>
    <row r="38" ht="14.25" customHeight="1" outlineLevel="1">
      <c r="A38" s="45">
        <v>3</v>
      </c>
      <c r="B38" s="248" t="s">
        <v>305</v>
      </c>
      <c r="C38" s="249" t="s">
        <v>414</v>
      </c>
      <c r="D38" s="249" t="s">
        <v>415</v>
      </c>
      <c r="E38" s="286">
        <v>90000</v>
      </c>
      <c r="F38" s="287" t="s">
        <v>416</v>
      </c>
      <c r="G38" s="46" t="s">
        <v>260</v>
      </c>
      <c r="H38" s="46" t="s">
        <v>45</v>
      </c>
      <c r="I38" s="46"/>
      <c r="J38" s="49" t="s">
        <v>46</v>
      </c>
      <c r="K38" s="50"/>
    </row>
    <row r="39" ht="14.25" customHeight="1" outlineLevel="1">
      <c r="A39" s="45">
        <v>4</v>
      </c>
      <c r="B39" s="248" t="s">
        <v>305</v>
      </c>
      <c r="C39" s="249" t="s">
        <v>308</v>
      </c>
      <c r="D39" s="249" t="s">
        <v>417</v>
      </c>
      <c r="E39" s="286">
        <v>24500</v>
      </c>
      <c r="F39" s="287" t="s">
        <v>416</v>
      </c>
      <c r="G39" s="46" t="s">
        <v>260</v>
      </c>
      <c r="H39" s="46" t="s">
        <v>45</v>
      </c>
      <c r="I39" s="46"/>
      <c r="J39" s="49" t="s">
        <v>46</v>
      </c>
      <c r="K39" s="50"/>
    </row>
    <row r="40" ht="14.25" customHeight="1" outlineLevel="1">
      <c r="A40" s="45">
        <v>5</v>
      </c>
      <c r="B40" s="229" t="s">
        <v>305</v>
      </c>
      <c r="C40" s="246" t="s">
        <v>418</v>
      </c>
      <c r="D40" s="246" t="s">
        <v>419</v>
      </c>
      <c r="E40" s="251">
        <v>83000</v>
      </c>
      <c r="F40" s="252" t="s">
        <v>416</v>
      </c>
      <c r="G40" s="46" t="s">
        <v>260</v>
      </c>
      <c r="H40" s="46" t="s">
        <v>45</v>
      </c>
      <c r="I40" s="46"/>
      <c r="J40" s="49" t="s">
        <v>46</v>
      </c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28.5" outlineLevel="1">
      <c r="A52" s="51">
        <v>1</v>
      </c>
      <c r="B52" s="46" t="s">
        <v>141</v>
      </c>
      <c r="C52" s="183" t="s">
        <v>368</v>
      </c>
      <c r="D52" s="183" t="s">
        <v>420</v>
      </c>
      <c r="E52" s="207">
        <v>9071</v>
      </c>
      <c r="F52" s="182" t="s">
        <v>370</v>
      </c>
      <c r="G52" s="288" t="s">
        <v>421</v>
      </c>
      <c r="H52" s="94" t="s">
        <v>45</v>
      </c>
      <c r="I52" s="52"/>
      <c r="J52" s="55"/>
      <c r="K52" s="56"/>
    </row>
    <row r="53" ht="14.4" outlineLevel="1">
      <c r="A53" s="45">
        <v>2</v>
      </c>
      <c r="B53" s="46" t="s">
        <v>112</v>
      </c>
      <c r="C53" s="46" t="s">
        <v>136</v>
      </c>
      <c r="D53" s="46" t="s">
        <v>341</v>
      </c>
      <c r="E53" s="172">
        <v>5072.6000000000004</v>
      </c>
      <c r="F53" s="48" t="s">
        <v>138</v>
      </c>
      <c r="G53" s="46" t="s">
        <v>260</v>
      </c>
      <c r="H53" s="1" t="s">
        <v>422</v>
      </c>
      <c r="I53" s="46"/>
      <c r="J53" s="49" t="s">
        <v>46</v>
      </c>
      <c r="K53" s="50"/>
    </row>
    <row r="54" ht="14.4" outlineLevel="1">
      <c r="A54" s="45">
        <v>3</v>
      </c>
      <c r="B54" s="46" t="s">
        <v>101</v>
      </c>
      <c r="C54" s="46" t="s">
        <v>423</v>
      </c>
      <c r="D54" s="46" t="s">
        <v>424</v>
      </c>
      <c r="E54" s="98">
        <v>74102.800000000003</v>
      </c>
      <c r="F54" s="48" t="s">
        <v>425</v>
      </c>
      <c r="G54" s="46" t="s">
        <v>260</v>
      </c>
      <c r="H54" s="46" t="s">
        <v>45</v>
      </c>
      <c r="I54" s="46"/>
      <c r="J54" s="49" t="s">
        <v>46</v>
      </c>
      <c r="K54" s="50"/>
    </row>
    <row r="55" ht="28.5" outlineLevel="1">
      <c r="A55" s="45">
        <v>4</v>
      </c>
      <c r="B55" s="46" t="s">
        <v>101</v>
      </c>
      <c r="C55" s="46" t="s">
        <v>426</v>
      </c>
      <c r="D55" s="46" t="s">
        <v>427</v>
      </c>
      <c r="E55" s="98">
        <v>878850</v>
      </c>
      <c r="F55" s="48" t="s">
        <v>428</v>
      </c>
      <c r="G55" s="46" t="s">
        <v>260</v>
      </c>
      <c r="H55" s="46" t="s">
        <v>45</v>
      </c>
      <c r="I55" s="46"/>
      <c r="J55" s="49" t="s">
        <v>46</v>
      </c>
      <c r="K55" s="50"/>
    </row>
    <row r="56" ht="28.5" outlineLevel="1">
      <c r="A56" s="45">
        <v>5</v>
      </c>
      <c r="B56" s="46" t="s">
        <v>101</v>
      </c>
      <c r="C56" s="46" t="s">
        <v>336</v>
      </c>
      <c r="D56" s="46" t="s">
        <v>429</v>
      </c>
      <c r="E56" s="98">
        <v>30400</v>
      </c>
      <c r="F56" s="48" t="s">
        <v>430</v>
      </c>
      <c r="G56" s="108" t="s">
        <v>329</v>
      </c>
      <c r="H56" s="46" t="s">
        <v>45</v>
      </c>
      <c r="I56" s="46"/>
      <c r="J56" s="49" t="s">
        <v>46</v>
      </c>
      <c r="K56" s="50"/>
    </row>
    <row r="57" ht="28.5" outlineLevel="1">
      <c r="A57" s="45">
        <v>6</v>
      </c>
      <c r="B57" s="46" t="s">
        <v>112</v>
      </c>
      <c r="C57" s="46" t="s">
        <v>431</v>
      </c>
      <c r="D57" s="46" t="s">
        <v>432</v>
      </c>
      <c r="E57" s="98">
        <v>6847.3199999999997</v>
      </c>
      <c r="F57" s="48" t="s">
        <v>433</v>
      </c>
      <c r="G57" s="46" t="s">
        <v>260</v>
      </c>
      <c r="H57" s="46" t="s">
        <v>45</v>
      </c>
      <c r="I57" s="46"/>
      <c r="J57" s="49" t="s">
        <v>46</v>
      </c>
      <c r="K57" s="50"/>
    </row>
    <row r="58" ht="14.4" outlineLevel="1">
      <c r="A58" s="45">
        <v>7</v>
      </c>
      <c r="B58" s="46" t="s">
        <v>112</v>
      </c>
      <c r="C58" s="46" t="s">
        <v>431</v>
      </c>
      <c r="D58" s="46" t="s">
        <v>434</v>
      </c>
      <c r="E58" s="98">
        <v>15278.52</v>
      </c>
      <c r="F58" s="48" t="s">
        <v>435</v>
      </c>
      <c r="G58" s="46" t="s">
        <v>260</v>
      </c>
      <c r="H58" s="46" t="s">
        <v>45</v>
      </c>
      <c r="I58" s="46"/>
      <c r="J58" s="49" t="s">
        <v>46</v>
      </c>
      <c r="K58" s="50"/>
    </row>
    <row r="59" ht="28.5" outlineLevel="1">
      <c r="A59" s="45">
        <v>8</v>
      </c>
      <c r="B59" s="46" t="s">
        <v>101</v>
      </c>
      <c r="C59" s="46" t="s">
        <v>436</v>
      </c>
      <c r="D59" s="46" t="s">
        <v>437</v>
      </c>
      <c r="E59" s="98">
        <v>17261.779999999999</v>
      </c>
      <c r="F59" s="48" t="s">
        <v>438</v>
      </c>
      <c r="G59" s="46" t="s">
        <v>260</v>
      </c>
      <c r="H59" s="46" t="s">
        <v>45</v>
      </c>
      <c r="I59" s="46"/>
      <c r="J59" s="49" t="s">
        <v>46</v>
      </c>
      <c r="K59" s="50"/>
    </row>
    <row r="60" ht="28.5" outlineLevel="1">
      <c r="A60" s="45">
        <v>9</v>
      </c>
      <c r="B60" s="46"/>
      <c r="C60" s="94"/>
      <c r="D60" s="94"/>
      <c r="E60" s="101"/>
      <c r="F60" s="156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 t="s">
        <v>141</v>
      </c>
      <c r="C61" s="46" t="s">
        <v>439</v>
      </c>
      <c r="D61" s="46" t="s">
        <v>440</v>
      </c>
      <c r="E61" s="98">
        <v>3300</v>
      </c>
      <c r="F61" s="48" t="s">
        <v>165</v>
      </c>
      <c r="G61" s="46" t="s">
        <v>260</v>
      </c>
      <c r="H61" s="46" t="s">
        <v>45</v>
      </c>
      <c r="I61" s="46"/>
      <c r="J61" s="49" t="s">
        <v>46</v>
      </c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57"/>
      <c r="C65" s="57"/>
      <c r="D65" s="57"/>
      <c r="E65" s="58"/>
      <c r="F65" s="59"/>
      <c r="G65" s="57"/>
      <c r="H65" s="57"/>
      <c r="I65" s="57"/>
      <c r="J65" s="60"/>
      <c r="K65" s="61"/>
    </row>
    <row r="66" s="34" customFormat="1" ht="25.5" customHeight="1" outlineLevel="1">
      <c r="A66" s="35"/>
      <c r="B66" s="36" t="s">
        <v>25</v>
      </c>
      <c r="C66" s="37"/>
      <c r="D66" s="37"/>
      <c r="E66" s="37"/>
      <c r="F66" s="37"/>
      <c r="G66" s="37"/>
      <c r="H66" s="37"/>
      <c r="I66" s="37"/>
      <c r="J66" s="37"/>
      <c r="K66" s="38"/>
    </row>
    <row r="67" ht="28.5" outlineLevel="1">
      <c r="A67" s="45">
        <v>1</v>
      </c>
      <c r="B67" s="52" t="s">
        <v>197</v>
      </c>
      <c r="C67" s="52" t="s">
        <v>441</v>
      </c>
      <c r="D67" s="52" t="s">
        <v>442</v>
      </c>
      <c r="E67" s="107">
        <v>3500</v>
      </c>
      <c r="F67" s="54" t="s">
        <v>443</v>
      </c>
      <c r="G67" s="46" t="s">
        <v>260</v>
      </c>
      <c r="H67" s="52"/>
      <c r="I67" s="52"/>
      <c r="J67" s="55" t="s">
        <v>46</v>
      </c>
      <c r="K67" s="56"/>
    </row>
    <row r="68" ht="14.25" customHeight="1" outlineLevel="1">
      <c r="A68" s="45">
        <v>2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3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4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5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6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7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8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9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10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11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12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13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14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15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s="34" customFormat="1" ht="25.5" customHeight="1" outlineLevel="1">
      <c r="A82" s="35"/>
      <c r="B82" s="36" t="s">
        <v>26</v>
      </c>
      <c r="C82" s="37"/>
      <c r="D82" s="37"/>
      <c r="E82" s="37"/>
      <c r="F82" s="37"/>
      <c r="G82" s="37"/>
      <c r="H82" s="37"/>
      <c r="I82" s="37"/>
      <c r="J82" s="37"/>
      <c r="K82" s="38"/>
    </row>
    <row r="83" ht="14.25" customHeight="1" outlineLevel="1">
      <c r="A83" s="51">
        <v>1</v>
      </c>
      <c r="B83" s="52"/>
      <c r="C83" s="52" t="s">
        <v>348</v>
      </c>
      <c r="D83" s="52"/>
      <c r="E83" s="107">
        <v>200000</v>
      </c>
      <c r="F83" s="54"/>
      <c r="G83" s="52"/>
      <c r="H83" s="52"/>
      <c r="I83" s="52"/>
      <c r="J83" s="55" t="s">
        <v>46</v>
      </c>
      <c r="K83" s="56"/>
    </row>
    <row r="84" ht="14.25" customHeight="1" outlineLevel="1">
      <c r="A84" s="39">
        <v>2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39">
        <v>3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45">
        <v>4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5" customHeight="1" outlineLevel="1">
      <c r="A87" s="62">
        <v>5</v>
      </c>
      <c r="B87" s="57"/>
      <c r="C87" s="57"/>
      <c r="D87" s="57"/>
      <c r="E87" s="58"/>
      <c r="F87" s="59"/>
      <c r="G87" s="57"/>
      <c r="H87" s="57"/>
      <c r="I87" s="57"/>
      <c r="J87" s="60"/>
      <c r="K87" s="61"/>
    </row>
    <row r="88" ht="23.100000000000001" customHeight="1">
      <c r="A88" s="63" t="s">
        <v>27</v>
      </c>
      <c r="B88" s="64"/>
      <c r="C88" s="64"/>
      <c r="D88" s="64"/>
      <c r="E88" s="65">
        <f>SUM(E16:E87)</f>
        <v>374445342.01999998</v>
      </c>
    </row>
    <row r="89" ht="23.100000000000001" customHeight="1">
      <c r="A89" s="63" t="s">
        <v>28</v>
      </c>
      <c r="B89" s="64"/>
      <c r="C89" s="64"/>
      <c r="D89" s="64"/>
      <c r="E89" s="65">
        <f>E4-E88</f>
        <v>-373823877.69</v>
      </c>
      <c r="F89" s="66"/>
    </row>
    <row r="90" ht="30.75" customHeight="1">
      <c r="A90" s="66"/>
      <c r="B90" s="66"/>
      <c r="C90" s="66"/>
      <c r="D90" s="66"/>
      <c r="E90" s="66"/>
      <c r="F90" s="66"/>
    </row>
    <row r="91" ht="30" customHeight="1">
      <c r="A91" s="9" t="s">
        <v>128</v>
      </c>
      <c r="B91" s="10"/>
      <c r="C91" s="10"/>
      <c r="D91" s="11"/>
      <c r="E91" s="170">
        <f>SUM(E92:E92)</f>
        <v>163953.70000000001</v>
      </c>
      <c r="F91" s="136" t="s">
        <v>39</v>
      </c>
      <c r="G91" s="68" t="s">
        <v>30</v>
      </c>
      <c r="H91" s="13"/>
      <c r="I91" s="13"/>
    </row>
    <row r="92" ht="15" customHeight="1">
      <c r="A92" s="69" t="s">
        <v>31</v>
      </c>
      <c r="B92" s="70"/>
      <c r="C92" s="70"/>
      <c r="D92" s="71"/>
      <c r="E92" s="72">
        <v>163953.70000000001</v>
      </c>
      <c r="F92" s="238" t="s">
        <v>444</v>
      </c>
      <c r="G92" s="13"/>
      <c r="H92" s="13"/>
      <c r="I92" s="13"/>
    </row>
    <row r="93" ht="4.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25.5" customHeight="1" outlineLevel="1">
      <c r="A94" s="31" t="s">
        <v>10</v>
      </c>
      <c r="B94" s="31" t="s">
        <v>11</v>
      </c>
      <c r="C94" s="31" t="s">
        <v>12</v>
      </c>
      <c r="D94" s="31" t="s">
        <v>13</v>
      </c>
      <c r="E94" s="32" t="s">
        <v>14</v>
      </c>
      <c r="F94" s="31" t="s">
        <v>15</v>
      </c>
      <c r="G94" s="31" t="s">
        <v>16</v>
      </c>
      <c r="H94" s="33" t="s">
        <v>17</v>
      </c>
      <c r="I94" s="31" t="s">
        <v>18</v>
      </c>
      <c r="J94" s="31" t="s">
        <v>19</v>
      </c>
      <c r="K94" s="31" t="s">
        <v>32</v>
      </c>
    </row>
    <row r="95" s="34" customFormat="1" ht="25.5" customHeight="1" outlineLevel="1">
      <c r="A95" s="35"/>
      <c r="B95" s="37" t="s">
        <v>33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57" outlineLevel="1">
      <c r="A96" s="39">
        <v>1</v>
      </c>
      <c r="B96" s="52" t="s">
        <v>445</v>
      </c>
      <c r="C96" s="52" t="s">
        <v>446</v>
      </c>
      <c r="D96" s="52" t="s">
        <v>447</v>
      </c>
      <c r="E96" s="107">
        <v>142500</v>
      </c>
      <c r="F96" s="54" t="s">
        <v>448</v>
      </c>
      <c r="G96" s="289" t="s">
        <v>449</v>
      </c>
      <c r="H96" s="52" t="s">
        <v>45</v>
      </c>
      <c r="I96" s="52" t="s">
        <v>450</v>
      </c>
      <c r="J96" s="55" t="s">
        <v>46</v>
      </c>
      <c r="K96" s="56"/>
    </row>
    <row r="97" ht="14.4" outlineLevel="1">
      <c r="A97" s="39">
        <v>2</v>
      </c>
      <c r="B97" s="46" t="s">
        <v>101</v>
      </c>
      <c r="C97" s="46" t="s">
        <v>332</v>
      </c>
      <c r="D97" s="46" t="s">
        <v>451</v>
      </c>
      <c r="E97" s="109">
        <v>10000</v>
      </c>
      <c r="F97" s="48" t="s">
        <v>452</v>
      </c>
      <c r="G97" s="46" t="s">
        <v>260</v>
      </c>
      <c r="H97" s="46" t="s">
        <v>45</v>
      </c>
      <c r="I97" s="46" t="s">
        <v>22</v>
      </c>
      <c r="J97" s="49" t="s">
        <v>46</v>
      </c>
      <c r="K97" s="50"/>
    </row>
    <row r="98" ht="14.25" customHeight="1" outlineLevel="1">
      <c r="A98" s="39">
        <v>3</v>
      </c>
      <c r="B98" s="46" t="s">
        <v>101</v>
      </c>
      <c r="C98" s="46" t="s">
        <v>182</v>
      </c>
      <c r="D98" s="46" t="s">
        <v>453</v>
      </c>
      <c r="E98" s="109">
        <v>100000</v>
      </c>
      <c r="F98" s="48" t="s">
        <v>184</v>
      </c>
      <c r="G98" s="46" t="s">
        <v>260</v>
      </c>
      <c r="H98" s="46" t="s">
        <v>45</v>
      </c>
      <c r="I98" s="46"/>
      <c r="J98" s="49" t="s">
        <v>46</v>
      </c>
      <c r="K98" s="50"/>
    </row>
    <row r="99" ht="14.25" customHeight="1" outlineLevel="1">
      <c r="A99" s="39">
        <v>4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5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6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7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8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9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10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11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12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13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14</v>
      </c>
      <c r="B109" s="46"/>
      <c r="C109" s="46"/>
      <c r="D109" s="46"/>
      <c r="E109" s="47">
        <v>100000</v>
      </c>
      <c r="F109" s="48"/>
      <c r="G109" s="46"/>
      <c r="H109" s="46"/>
      <c r="I109" s="46"/>
      <c r="J109" s="49"/>
      <c r="K109" s="50"/>
    </row>
    <row r="110" ht="14.25" customHeight="1" outlineLevel="1">
      <c r="A110" s="39">
        <v>15</v>
      </c>
      <c r="B110" s="57"/>
      <c r="C110" s="57"/>
      <c r="D110" s="57"/>
      <c r="E110" s="58"/>
      <c r="F110" s="59"/>
      <c r="G110" s="57"/>
      <c r="H110" s="57"/>
      <c r="I110" s="57"/>
      <c r="J110" s="60"/>
      <c r="K110" s="61"/>
    </row>
    <row r="111" s="34" customFormat="1" ht="25.5" customHeight="1" outlineLevel="1">
      <c r="A111" s="35"/>
      <c r="B111" s="37" t="s">
        <v>25</v>
      </c>
      <c r="C111" s="37"/>
      <c r="D111" s="37"/>
      <c r="E111" s="37"/>
      <c r="F111" s="37"/>
      <c r="G111" s="37"/>
      <c r="H111" s="37"/>
      <c r="I111" s="37"/>
      <c r="J111" s="37"/>
      <c r="K111" s="38"/>
    </row>
    <row r="112" ht="14.4" outlineLevel="1">
      <c r="A112" s="51">
        <v>1</v>
      </c>
      <c r="B112" s="52" t="s">
        <v>454</v>
      </c>
      <c r="C112" s="52" t="s">
        <v>455</v>
      </c>
      <c r="D112" s="52" t="s">
        <v>456</v>
      </c>
      <c r="E112" s="107">
        <v>2500</v>
      </c>
      <c r="F112" s="54" t="s">
        <v>457</v>
      </c>
      <c r="G112" s="46" t="s">
        <v>260</v>
      </c>
      <c r="H112" s="52"/>
      <c r="I112" s="52"/>
      <c r="J112" s="55" t="s">
        <v>46</v>
      </c>
      <c r="K112" s="56"/>
    </row>
    <row r="113" ht="14.25" customHeight="1" outlineLevel="1">
      <c r="A113" s="45">
        <v>2</v>
      </c>
      <c r="B113" s="46"/>
      <c r="C113" s="46" t="s">
        <v>227</v>
      </c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3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4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5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6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7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8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9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10</v>
      </c>
      <c r="B121" s="57"/>
      <c r="C121" s="57"/>
      <c r="D121" s="57"/>
      <c r="E121" s="58"/>
      <c r="F121" s="59"/>
      <c r="G121" s="57"/>
      <c r="H121" s="57"/>
      <c r="I121" s="57"/>
      <c r="J121" s="60"/>
      <c r="K121" s="61"/>
    </row>
    <row r="122" ht="23.100000000000001" customHeight="1">
      <c r="A122" s="63" t="s">
        <v>34</v>
      </c>
      <c r="B122" s="64"/>
      <c r="C122" s="64"/>
      <c r="D122" s="73"/>
      <c r="E122" s="65">
        <f>SUM(E95:E121)</f>
        <v>355000</v>
      </c>
    </row>
    <row r="123" ht="23.100000000000001" customHeight="1">
      <c r="A123" s="63" t="s">
        <v>28</v>
      </c>
      <c r="B123" s="64"/>
      <c r="C123" s="64"/>
      <c r="D123" s="73"/>
      <c r="E123" s="65">
        <f>E91-E122</f>
        <v>-191046.29999999999</v>
      </c>
      <c r="F123" s="66"/>
    </row>
    <row r="124" ht="24.75" customHeight="1">
      <c r="E124" s="1"/>
    </row>
    <row r="125" ht="30" customHeight="1">
      <c r="A125" s="74" t="s">
        <v>35</v>
      </c>
      <c r="B125" s="75"/>
      <c r="C125" s="75"/>
      <c r="D125" s="76"/>
      <c r="E125" s="77">
        <f>SUM(E126:E126)</f>
        <v>199307</v>
      </c>
      <c r="F125" s="13"/>
      <c r="G125" s="13"/>
      <c r="H125" s="13"/>
      <c r="I125" s="13"/>
    </row>
    <row r="126" ht="15" customHeight="1">
      <c r="A126" s="69" t="s">
        <v>36</v>
      </c>
      <c r="B126" s="70"/>
      <c r="C126" s="70"/>
      <c r="D126" s="71"/>
      <c r="E126" s="72">
        <v>199307</v>
      </c>
      <c r="F126" s="13"/>
      <c r="G126" s="13"/>
      <c r="H126" s="13"/>
      <c r="I126" s="13"/>
    </row>
    <row r="127" ht="5.2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25.5" customHeight="1" outlineLevel="1">
      <c r="A128" s="31" t="s">
        <v>10</v>
      </c>
      <c r="B128" s="31" t="s">
        <v>11</v>
      </c>
      <c r="C128" s="31" t="s">
        <v>12</v>
      </c>
      <c r="D128" s="31" t="s">
        <v>13</v>
      </c>
      <c r="E128" s="32" t="s">
        <v>14</v>
      </c>
      <c r="F128" s="31" t="s">
        <v>15</v>
      </c>
      <c r="G128" s="31" t="s">
        <v>16</v>
      </c>
      <c r="H128" s="33" t="s">
        <v>17</v>
      </c>
      <c r="I128" s="31" t="s">
        <v>18</v>
      </c>
      <c r="J128" s="31" t="s">
        <v>19</v>
      </c>
      <c r="K128" s="31" t="s">
        <v>32</v>
      </c>
    </row>
    <row r="129" s="34" customFormat="1" ht="18.75" customHeight="1" outlineLevel="1">
      <c r="A129" s="78"/>
      <c r="B129" s="79" t="s">
        <v>37</v>
      </c>
      <c r="C129" s="80"/>
      <c r="D129" s="81"/>
      <c r="E129" s="82"/>
      <c r="F129" s="79"/>
      <c r="G129" s="79"/>
      <c r="H129" s="79"/>
      <c r="I129" s="79"/>
      <c r="J129" s="79"/>
      <c r="K129" s="83"/>
    </row>
    <row r="130" ht="14.25" customHeight="1" outlineLevel="1">
      <c r="A130" s="51">
        <v>1</v>
      </c>
      <c r="B130" s="52"/>
      <c r="C130" s="52"/>
      <c r="D130" s="52"/>
      <c r="E130" s="53"/>
      <c r="F130" s="54"/>
      <c r="G130" s="52"/>
      <c r="H130" s="52"/>
      <c r="I130" s="52"/>
      <c r="J130" s="55"/>
      <c r="K130" s="56"/>
    </row>
    <row r="131" ht="14.25" customHeight="1" outlineLevel="1">
      <c r="A131" s="45">
        <v>2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3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4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5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6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7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8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9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10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11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12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13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14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62">
        <v>15</v>
      </c>
      <c r="B144" s="57"/>
      <c r="C144" s="57"/>
      <c r="D144" s="57"/>
      <c r="E144" s="58"/>
      <c r="F144" s="59"/>
      <c r="G144" s="57"/>
      <c r="H144" s="57"/>
      <c r="I144" s="57"/>
      <c r="J144" s="60"/>
      <c r="K144" s="61"/>
    </row>
    <row r="145" ht="23.100000000000001" customHeight="1">
      <c r="A145" s="84" t="s">
        <v>38</v>
      </c>
      <c r="B145" s="85"/>
      <c r="C145" s="85"/>
      <c r="D145" s="86"/>
      <c r="E145" s="87">
        <f>SUM(E129:E144)</f>
        <v>0</v>
      </c>
    </row>
    <row r="146" ht="23.100000000000001" customHeight="1">
      <c r="A146" s="84" t="s">
        <v>28</v>
      </c>
      <c r="B146" s="85"/>
      <c r="C146" s="85"/>
      <c r="D146" s="86"/>
      <c r="E146" s="87">
        <f>E125-E145</f>
        <v>199307</v>
      </c>
      <c r="F146" s="66"/>
    </row>
    <row r="147" ht="14.25">
      <c r="E147" s="1"/>
    </row>
    <row r="204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8:D88"/>
    <mergeCell ref="A89:D89"/>
    <mergeCell ref="A91:D91"/>
    <mergeCell ref="A92:D92"/>
    <mergeCell ref="A122:D122"/>
    <mergeCell ref="A123:D123"/>
    <mergeCell ref="A125:D125"/>
    <mergeCell ref="A126:D126"/>
    <mergeCell ref="A145:D145"/>
    <mergeCell ref="A146:D14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5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90043-0005-4054-B362-00F100F900B8}" type="list" allowBlank="1" errorStyle="stop" imeMode="noControl" operator="between" showDropDown="0" showErrorMessage="1" showInputMessage="1">
          <x14:formula1>
            <xm:f>ДаНет</xm:f>
          </x14:formula1>
          <xm:sqref>H67:H81 H54:H65 H130:H144 H83:H87 H97:H110 H112:H121 H17:H18 H26:H34 H36:H50 H19 H20 H21 H22 H23 H24 H25</xm:sqref>
        </x14:dataValidation>
        <x14:dataValidation xr:uid="{004B0092-0035-4680-AD31-00F700C60063}" type="list" allowBlank="1" errorStyle="stop" imeMode="noControl" operator="between" showDropDown="0" showErrorMessage="1" showInputMessage="1">
          <x14:formula1>
            <xm:f>ДаНет</xm:f>
          </x14:formula1>
          <xm:sqref>H96</xm:sqref>
        </x14:dataValidation>
        <x14:dataValidation xr:uid="{00B500B7-00D2-455C-B57A-00B500520094}" type="list" allowBlank="1" errorStyle="stop" imeMode="noControl" operator="between" showDropDown="0" showErrorMessage="1" showInputMessage="1">
          <x14:formula1>
            <xm:f>ДаНет</xm:f>
          </x14:formula1>
          <xm:sqref>H52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7">
    <outlinePr applyStyles="0" summaryBelow="1" summaryRight="1" showOutlineSymbols="1"/>
    <pageSetUpPr autoPageBreaks="1" fitToPage="0"/>
  </sheetPr>
  <sheetViews>
    <sheetView showGridLines="0" showRuler="1" topLeftCell="A7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8.5742187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'16'!C2+1</f>
        <v>46098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334773.31000000006</v>
      </c>
      <c r="F4" s="136" t="s">
        <v>39</v>
      </c>
      <c r="G4" s="137"/>
      <c r="H4" s="137"/>
      <c r="I4" s="290"/>
      <c r="J4" s="137"/>
    </row>
    <row r="5">
      <c r="A5" s="14" t="s">
        <v>1</v>
      </c>
      <c r="B5" s="15"/>
      <c r="C5" s="15"/>
      <c r="D5" s="16"/>
      <c r="E5" s="17">
        <v>143030.38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10503.860000000001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91158.850000000006</v>
      </c>
      <c r="F9" s="13"/>
      <c r="G9" s="13"/>
      <c r="H9" s="13"/>
      <c r="I9" s="13"/>
    </row>
    <row r="10" ht="15.75" customHeight="1">
      <c r="A10" s="23" t="s">
        <v>147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261"/>
      <c r="F17" s="42"/>
      <c r="G17" s="40"/>
      <c r="H17" s="40"/>
      <c r="I17" s="40"/>
      <c r="J17" s="43"/>
      <c r="K17" s="44"/>
    </row>
    <row r="18" ht="14.25" customHeight="1" outlineLevel="1">
      <c r="A18" s="96">
        <v>2</v>
      </c>
      <c r="B18" s="291" t="s">
        <v>47</v>
      </c>
      <c r="C18" s="99" t="s">
        <v>57</v>
      </c>
      <c r="D18" s="186" t="s">
        <v>58</v>
      </c>
      <c r="E18" s="189">
        <v>305000000</v>
      </c>
      <c r="F18" s="141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96">
        <v>3</v>
      </c>
      <c r="B19" s="273" t="s">
        <v>41</v>
      </c>
      <c r="C19" s="94" t="s">
        <v>42</v>
      </c>
      <c r="D19" s="94" t="s">
        <v>43</v>
      </c>
      <c r="E19" s="274">
        <v>1700000</v>
      </c>
      <c r="F19" s="156" t="s">
        <v>44</v>
      </c>
      <c r="G19" s="94"/>
      <c r="H19" s="46" t="s">
        <v>45</v>
      </c>
      <c r="I19" s="46"/>
      <c r="J19" s="49" t="s">
        <v>46</v>
      </c>
      <c r="K19" s="50"/>
    </row>
    <row r="20" ht="14.25" customHeight="1" outlineLevel="1">
      <c r="A20" s="45">
        <v>4</v>
      </c>
      <c r="B20" s="46" t="s">
        <v>41</v>
      </c>
      <c r="C20" s="46" t="s">
        <v>48</v>
      </c>
      <c r="D20" s="46" t="s">
        <v>49</v>
      </c>
      <c r="E20" s="292"/>
      <c r="F20" s="156"/>
      <c r="G20" s="94"/>
      <c r="H20" s="46" t="s">
        <v>45</v>
      </c>
      <c r="I20" s="46"/>
      <c r="J20" s="49"/>
      <c r="K20" s="50"/>
    </row>
    <row r="21" ht="14.25" customHeight="1" outlineLevel="1">
      <c r="A21" s="45">
        <v>8</v>
      </c>
      <c r="B21" s="46" t="s">
        <v>152</v>
      </c>
      <c r="C21" s="46" t="s">
        <v>154</v>
      </c>
      <c r="D21" s="283">
        <v>202057</v>
      </c>
      <c r="E21" s="101"/>
      <c r="F21" s="48"/>
      <c r="G21" s="46"/>
      <c r="H21" s="46" t="s">
        <v>45</v>
      </c>
      <c r="I21" s="46"/>
      <c r="J21" s="49"/>
      <c r="K21" s="50"/>
    </row>
    <row r="22" ht="14.25" customHeight="1" outlineLevel="1">
      <c r="A22" s="39">
        <v>9</v>
      </c>
      <c r="B22" s="46" t="s">
        <v>152</v>
      </c>
      <c r="C22" s="46" t="s">
        <v>153</v>
      </c>
      <c r="D22" s="284">
        <v>2022</v>
      </c>
      <c r="E22" s="293"/>
      <c r="F22" s="48"/>
      <c r="G22" s="46"/>
      <c r="H22" s="46" t="s">
        <v>45</v>
      </c>
      <c r="I22" s="46"/>
      <c r="J22" s="49"/>
      <c r="K22" s="50"/>
    </row>
    <row r="23" ht="14.25" customHeight="1" outlineLevel="1">
      <c r="A23" s="96">
        <v>11</v>
      </c>
      <c r="B23" s="97" t="s">
        <v>47</v>
      </c>
      <c r="C23" s="46" t="s">
        <v>408</v>
      </c>
      <c r="D23" s="46" t="s">
        <v>409</v>
      </c>
      <c r="E23" s="98">
        <v>500000</v>
      </c>
      <c r="F23" s="48" t="s">
        <v>44</v>
      </c>
      <c r="G23" s="46"/>
      <c r="H23" s="46" t="s">
        <v>45</v>
      </c>
      <c r="I23" s="46"/>
      <c r="J23" s="49" t="s">
        <v>46</v>
      </c>
      <c r="K23" s="50"/>
    </row>
    <row r="24" ht="14.25" customHeight="1" outlineLevel="1">
      <c r="A24" s="96">
        <v>12</v>
      </c>
      <c r="B24" s="97" t="s">
        <v>47</v>
      </c>
      <c r="C24" s="46" t="s">
        <v>408</v>
      </c>
      <c r="D24" s="46" t="s">
        <v>409</v>
      </c>
      <c r="E24" s="207">
        <v>2500000</v>
      </c>
      <c r="F24" s="48" t="s">
        <v>44</v>
      </c>
      <c r="G24" s="46"/>
      <c r="H24" s="46" t="s">
        <v>45</v>
      </c>
      <c r="I24" s="46"/>
      <c r="J24" s="49"/>
      <c r="K24" s="50"/>
    </row>
    <row r="25" ht="14.25" customHeight="1" outlineLevel="1">
      <c r="A25" s="96">
        <v>13</v>
      </c>
      <c r="B25" s="97" t="s">
        <v>47</v>
      </c>
      <c r="C25" s="46" t="s">
        <v>249</v>
      </c>
      <c r="D25" s="46" t="s">
        <v>250</v>
      </c>
      <c r="E25" s="98">
        <v>1000000</v>
      </c>
      <c r="F25" s="48" t="s">
        <v>44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45">
        <v>14</v>
      </c>
      <c r="B26" s="46"/>
      <c r="C26" s="46"/>
      <c r="D26" s="46"/>
      <c r="E26" s="157"/>
      <c r="F26" s="48"/>
      <c r="G26" s="46"/>
      <c r="H26" s="46"/>
      <c r="I26" s="46"/>
      <c r="J26" s="49"/>
      <c r="K26" s="50"/>
    </row>
    <row r="27" ht="14.25" customHeight="1" outlineLevel="1">
      <c r="A27" s="96">
        <v>15</v>
      </c>
      <c r="B27" s="97" t="s">
        <v>47</v>
      </c>
      <c r="C27" s="99" t="s">
        <v>57</v>
      </c>
      <c r="D27" s="186" t="s">
        <v>58</v>
      </c>
      <c r="E27" s="159">
        <v>7000000</v>
      </c>
      <c r="F27" s="141" t="s">
        <v>44</v>
      </c>
      <c r="G27" s="46"/>
      <c r="H27" s="46"/>
      <c r="I27" s="46"/>
      <c r="J27" s="49" t="s">
        <v>46</v>
      </c>
      <c r="K27" s="50"/>
    </row>
    <row r="28" ht="14.25" customHeight="1" outlineLevel="1">
      <c r="A28" s="45">
        <v>16</v>
      </c>
      <c r="B28" s="46" t="s">
        <v>152</v>
      </c>
      <c r="C28" s="46" t="s">
        <v>154</v>
      </c>
      <c r="D28" s="283">
        <v>202057</v>
      </c>
      <c r="E28" s="98">
        <v>6000000</v>
      </c>
      <c r="F28" s="48"/>
      <c r="G28" s="46"/>
      <c r="H28" s="46"/>
      <c r="I28" s="46"/>
      <c r="J28" s="49" t="s">
        <v>46</v>
      </c>
      <c r="K28" s="50"/>
    </row>
    <row r="29" ht="14.25" customHeight="1" outlineLevel="1">
      <c r="A29" s="45">
        <v>17</v>
      </c>
      <c r="B29" s="46" t="s">
        <v>152</v>
      </c>
      <c r="C29" s="46" t="s">
        <v>153</v>
      </c>
      <c r="D29" s="284">
        <v>2022</v>
      </c>
      <c r="E29" s="268">
        <v>10000000</v>
      </c>
      <c r="F29" s="48"/>
      <c r="G29" s="46"/>
      <c r="H29" s="46"/>
      <c r="I29" s="46"/>
      <c r="J29" s="49" t="s">
        <v>46</v>
      </c>
      <c r="K29" s="50"/>
    </row>
    <row r="30" ht="14.25" customHeight="1" outlineLevel="1">
      <c r="A30" s="45">
        <v>18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s="34" customFormat="1" ht="25.5" customHeight="1" outlineLevel="1">
      <c r="A31" s="35"/>
      <c r="B31" s="37" t="s">
        <v>23</v>
      </c>
      <c r="C31" s="37"/>
      <c r="D31" s="37"/>
      <c r="E31" s="37"/>
      <c r="F31" s="37"/>
      <c r="G31" s="37"/>
      <c r="H31" s="37"/>
      <c r="I31" s="37"/>
      <c r="J31" s="37"/>
      <c r="K31" s="38"/>
    </row>
    <row r="32" ht="14.25" customHeight="1" outlineLevel="1">
      <c r="A32" s="39">
        <v>1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2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3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ht="14.25" customHeight="1" outlineLevel="1">
      <c r="A35" s="45">
        <v>4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5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6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7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8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39">
        <v>9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10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11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12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13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14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15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s="34" customFormat="1" ht="25.5" customHeight="1" outlineLevel="1">
      <c r="A47" s="35"/>
      <c r="B47" s="37" t="s">
        <v>24</v>
      </c>
      <c r="C47" s="37"/>
      <c r="D47" s="37"/>
      <c r="E47" s="37"/>
      <c r="F47" s="37"/>
      <c r="G47" s="37"/>
      <c r="H47" s="37"/>
      <c r="I47" s="37"/>
      <c r="J47" s="37"/>
      <c r="K47" s="38"/>
    </row>
    <row r="48" ht="14.25" customHeight="1" outlineLevel="1">
      <c r="A48" s="51">
        <v>1</v>
      </c>
      <c r="B48" s="52"/>
      <c r="C48" s="52"/>
      <c r="D48" s="52"/>
      <c r="E48" s="53"/>
      <c r="F48" s="54"/>
      <c r="G48" s="52"/>
      <c r="H48" s="52"/>
      <c r="I48" s="52"/>
      <c r="J48" s="55"/>
      <c r="K48" s="56"/>
    </row>
    <row r="49" ht="14.25" customHeight="1" outlineLevel="1">
      <c r="A49" s="45">
        <v>2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3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4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5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6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7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8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9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10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11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12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13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14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15</v>
      </c>
      <c r="B62" s="57"/>
      <c r="C62" s="57"/>
      <c r="D62" s="57"/>
      <c r="E62" s="58"/>
      <c r="F62" s="59"/>
      <c r="G62" s="57"/>
      <c r="H62" s="57"/>
      <c r="I62" s="57"/>
      <c r="J62" s="60"/>
      <c r="K62" s="61"/>
    </row>
    <row r="63" s="34" customFormat="1" ht="25.5" customHeight="1" outlineLevel="1">
      <c r="A63" s="35"/>
      <c r="B63" s="36" t="s">
        <v>25</v>
      </c>
      <c r="C63" s="37"/>
      <c r="D63" s="37"/>
      <c r="E63" s="37"/>
      <c r="F63" s="37"/>
      <c r="G63" s="37"/>
      <c r="H63" s="37"/>
      <c r="I63" s="37"/>
      <c r="J63" s="37"/>
      <c r="K63" s="38"/>
    </row>
    <row r="64" ht="14.25" customHeight="1" outlineLevel="1">
      <c r="A64" s="45">
        <v>1</v>
      </c>
      <c r="B64" s="52"/>
      <c r="C64" s="52"/>
      <c r="D64" s="52"/>
      <c r="E64" s="53"/>
      <c r="F64" s="54"/>
      <c r="G64" s="52"/>
      <c r="H64" s="52"/>
      <c r="I64" s="52"/>
      <c r="J64" s="55"/>
      <c r="K64" s="56"/>
    </row>
    <row r="65" ht="14.25" customHeight="1" outlineLevel="1">
      <c r="A65" s="45">
        <v>2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3</v>
      </c>
      <c r="B66" s="46"/>
      <c r="C66" s="46"/>
      <c r="D66" s="46"/>
      <c r="E66" s="47"/>
      <c r="F66" s="48"/>
      <c r="G66" s="46"/>
      <c r="H66" s="46"/>
      <c r="I66" s="46"/>
      <c r="J66" s="49"/>
      <c r="K66" s="50"/>
    </row>
    <row r="67" ht="14.25" customHeight="1" outlineLevel="1">
      <c r="A67" s="45">
        <v>4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5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6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7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8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9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10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11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12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13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14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15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s="34" customFormat="1" ht="25.5" customHeight="1" outlineLevel="1">
      <c r="A79" s="35"/>
      <c r="B79" s="36" t="s">
        <v>26</v>
      </c>
      <c r="C79" s="37"/>
      <c r="D79" s="37"/>
      <c r="E79" s="37"/>
      <c r="F79" s="37"/>
      <c r="G79" s="37"/>
      <c r="H79" s="37"/>
      <c r="I79" s="37"/>
      <c r="J79" s="37"/>
      <c r="K79" s="38"/>
    </row>
    <row r="80" ht="14.25" customHeight="1" outlineLevel="1">
      <c r="A80" s="51">
        <v>1</v>
      </c>
      <c r="B80" s="52"/>
      <c r="C80" s="52"/>
      <c r="D80" s="52"/>
      <c r="E80" s="53"/>
      <c r="F80" s="54"/>
      <c r="G80" s="52"/>
      <c r="H80" s="52"/>
      <c r="I80" s="52"/>
      <c r="J80" s="55"/>
      <c r="K80" s="56"/>
    </row>
    <row r="81" ht="14.25" customHeight="1" outlineLevel="1">
      <c r="A81" s="39">
        <v>2</v>
      </c>
      <c r="B81" s="40"/>
      <c r="C81" s="40"/>
      <c r="D81" s="40"/>
      <c r="E81" s="41"/>
      <c r="F81" s="42"/>
      <c r="G81" s="40"/>
      <c r="H81" s="40"/>
      <c r="I81" s="40"/>
      <c r="J81" s="43"/>
      <c r="K81" s="44"/>
    </row>
    <row r="82" ht="14.25" customHeight="1" outlineLevel="1">
      <c r="A82" s="39">
        <v>3</v>
      </c>
      <c r="B82" s="40"/>
      <c r="C82" s="40"/>
      <c r="D82" s="40"/>
      <c r="E82" s="41"/>
      <c r="F82" s="42"/>
      <c r="G82" s="40"/>
      <c r="H82" s="40"/>
      <c r="I82" s="40"/>
      <c r="J82" s="43"/>
      <c r="K82" s="44"/>
    </row>
    <row r="83" ht="14.25" customHeight="1" outlineLevel="1">
      <c r="A83" s="45">
        <v>4</v>
      </c>
      <c r="B83" s="46"/>
      <c r="C83" s="46"/>
      <c r="D83" s="46"/>
      <c r="E83" s="47"/>
      <c r="F83" s="48"/>
      <c r="G83" s="46"/>
      <c r="H83" s="46"/>
      <c r="I83" s="46"/>
      <c r="J83" s="49"/>
      <c r="K83" s="50"/>
    </row>
    <row r="84" ht="15" customHeight="1" outlineLevel="1">
      <c r="A84" s="62">
        <v>5</v>
      </c>
      <c r="B84" s="57"/>
      <c r="C84" s="57"/>
      <c r="D84" s="57"/>
      <c r="E84" s="58"/>
      <c r="F84" s="59"/>
      <c r="G84" s="57"/>
      <c r="H84" s="57"/>
      <c r="I84" s="57"/>
      <c r="J84" s="60"/>
      <c r="K84" s="61"/>
    </row>
    <row r="85" ht="23.100000000000001" customHeight="1">
      <c r="A85" s="63" t="s">
        <v>27</v>
      </c>
      <c r="B85" s="64"/>
      <c r="C85" s="64"/>
      <c r="D85" s="64"/>
      <c r="E85" s="65">
        <f>SUM(E16:E84)</f>
        <v>333700000</v>
      </c>
    </row>
    <row r="86" ht="23.100000000000001" customHeight="1">
      <c r="A86" s="63" t="s">
        <v>28</v>
      </c>
      <c r="B86" s="64"/>
      <c r="C86" s="64"/>
      <c r="D86" s="64"/>
      <c r="E86" s="65">
        <f>E4-E85</f>
        <v>-333365226.69</v>
      </c>
      <c r="F86" s="66"/>
    </row>
    <row r="87" ht="30.75" customHeight="1">
      <c r="A87" s="66"/>
      <c r="B87" s="66"/>
      <c r="C87" s="66"/>
      <c r="D87" s="66"/>
      <c r="E87" s="66"/>
      <c r="F87" s="66"/>
    </row>
    <row r="88" ht="30" customHeight="1">
      <c r="A88" s="9" t="s">
        <v>128</v>
      </c>
      <c r="B88" s="10"/>
      <c r="C88" s="10"/>
      <c r="D88" s="11"/>
      <c r="E88" s="170">
        <f>SUM(E89:E89)</f>
        <v>107653.7</v>
      </c>
      <c r="F88" s="136" t="s">
        <v>39</v>
      </c>
      <c r="G88" s="68" t="s">
        <v>30</v>
      </c>
      <c r="H88" s="13"/>
      <c r="I88" s="13"/>
    </row>
    <row r="89" ht="15" customHeight="1">
      <c r="A89" s="69" t="s">
        <v>31</v>
      </c>
      <c r="B89" s="70"/>
      <c r="C89" s="70"/>
      <c r="D89" s="71"/>
      <c r="E89" s="72">
        <v>107653.7</v>
      </c>
      <c r="F89" s="13"/>
      <c r="G89" s="13"/>
      <c r="H89" s="13"/>
      <c r="I89" s="13"/>
    </row>
    <row r="90" ht="4.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ht="25.5" customHeight="1" outlineLevel="1">
      <c r="A91" s="31" t="s">
        <v>10</v>
      </c>
      <c r="B91" s="31" t="s">
        <v>11</v>
      </c>
      <c r="C91" s="31" t="s">
        <v>12</v>
      </c>
      <c r="D91" s="31" t="s">
        <v>13</v>
      </c>
      <c r="E91" s="32" t="s">
        <v>14</v>
      </c>
      <c r="F91" s="31" t="s">
        <v>15</v>
      </c>
      <c r="G91" s="31" t="s">
        <v>16</v>
      </c>
      <c r="H91" s="33" t="s">
        <v>17</v>
      </c>
      <c r="I91" s="31" t="s">
        <v>18</v>
      </c>
      <c r="J91" s="31" t="s">
        <v>19</v>
      </c>
      <c r="K91" s="31" t="s">
        <v>32</v>
      </c>
    </row>
    <row r="92" s="34" customFormat="1" ht="25.5" customHeight="1" outlineLevel="1">
      <c r="A92" s="35"/>
      <c r="B92" s="37" t="s">
        <v>33</v>
      </c>
      <c r="C92" s="37"/>
      <c r="D92" s="37"/>
      <c r="E92" s="37"/>
      <c r="F92" s="37"/>
      <c r="G92" s="37"/>
      <c r="H92" s="37"/>
      <c r="I92" s="37"/>
      <c r="J92" s="37"/>
      <c r="K92" s="38"/>
    </row>
    <row r="93" ht="14.25" customHeight="1" outlineLevel="1">
      <c r="A93" s="39">
        <v>1</v>
      </c>
      <c r="B93" s="52"/>
      <c r="C93" s="52"/>
      <c r="D93" s="52"/>
      <c r="E93" s="53"/>
      <c r="F93" s="54"/>
      <c r="G93" s="52"/>
      <c r="H93" s="52"/>
      <c r="I93" s="52"/>
      <c r="J93" s="55"/>
      <c r="K93" s="56"/>
    </row>
    <row r="94" ht="14.25" customHeight="1" outlineLevel="1">
      <c r="A94" s="39">
        <v>2</v>
      </c>
      <c r="B94" s="46"/>
      <c r="C94" s="46"/>
      <c r="D94" s="46"/>
      <c r="E94" s="47"/>
      <c r="F94" s="48"/>
      <c r="G94" s="46"/>
      <c r="H94" s="46"/>
      <c r="I94" s="46"/>
      <c r="J94" s="49"/>
      <c r="K94" s="50"/>
    </row>
    <row r="95" ht="14.25" customHeight="1" outlineLevel="1">
      <c r="A95" s="39">
        <v>3</v>
      </c>
      <c r="B95" s="46"/>
      <c r="C95" s="46"/>
      <c r="D95" s="46"/>
      <c r="E95" s="47"/>
      <c r="F95" s="48"/>
      <c r="G95" s="46"/>
      <c r="H95" s="46"/>
      <c r="I95" s="46"/>
      <c r="J95" s="49"/>
      <c r="K95" s="50"/>
    </row>
    <row r="96" ht="14.25" customHeight="1" outlineLevel="1">
      <c r="A96" s="39">
        <v>4</v>
      </c>
      <c r="B96" s="46"/>
      <c r="C96" s="46"/>
      <c r="D96" s="46"/>
      <c r="E96" s="47"/>
      <c r="F96" s="48"/>
      <c r="G96" s="46"/>
      <c r="H96" s="46"/>
      <c r="I96" s="46"/>
      <c r="J96" s="49"/>
      <c r="K96" s="50"/>
    </row>
    <row r="97" ht="14.25" customHeight="1" outlineLevel="1">
      <c r="A97" s="39">
        <v>5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6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7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8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9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10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11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12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13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14</v>
      </c>
      <c r="B106" s="46"/>
      <c r="C106" s="46"/>
      <c r="D106" s="46"/>
      <c r="E106" s="47">
        <v>100000</v>
      </c>
      <c r="F106" s="48"/>
      <c r="G106" s="46"/>
      <c r="H106" s="46"/>
      <c r="I106" s="46"/>
      <c r="J106" s="49"/>
      <c r="K106" s="50"/>
    </row>
    <row r="107" ht="14.25" customHeight="1" outlineLevel="1">
      <c r="A107" s="39">
        <v>15</v>
      </c>
      <c r="B107" s="57"/>
      <c r="C107" s="57"/>
      <c r="D107" s="57"/>
      <c r="E107" s="58"/>
      <c r="F107" s="59"/>
      <c r="G107" s="57"/>
      <c r="H107" s="57"/>
      <c r="I107" s="57"/>
      <c r="J107" s="60"/>
      <c r="K107" s="61"/>
    </row>
    <row r="108" s="34" customFormat="1" ht="25.5" customHeight="1" outlineLevel="1">
      <c r="A108" s="35"/>
      <c r="B108" s="37" t="s">
        <v>25</v>
      </c>
      <c r="C108" s="37"/>
      <c r="D108" s="37"/>
      <c r="E108" s="37"/>
      <c r="F108" s="37"/>
      <c r="G108" s="37"/>
      <c r="H108" s="37"/>
      <c r="I108" s="37"/>
      <c r="J108" s="37"/>
      <c r="K108" s="38"/>
    </row>
    <row r="109" ht="14.25" customHeight="1" outlineLevel="1">
      <c r="A109" s="51">
        <v>1</v>
      </c>
      <c r="B109" s="52"/>
      <c r="C109" s="52"/>
      <c r="D109" s="52"/>
      <c r="E109" s="53"/>
      <c r="F109" s="54"/>
      <c r="G109" s="52"/>
      <c r="H109" s="52"/>
      <c r="I109" s="52"/>
      <c r="J109" s="55"/>
      <c r="K109" s="56"/>
    </row>
    <row r="110" ht="14.25" customHeight="1" outlineLevel="1">
      <c r="A110" s="45">
        <v>2</v>
      </c>
      <c r="B110" s="46"/>
      <c r="C110" s="46"/>
      <c r="D110" s="46"/>
      <c r="E110" s="47"/>
      <c r="F110" s="48"/>
      <c r="G110" s="46"/>
      <c r="H110" s="46"/>
      <c r="I110" s="46"/>
      <c r="J110" s="49"/>
      <c r="K110" s="50"/>
    </row>
    <row r="111" ht="14.25" customHeight="1" outlineLevel="1">
      <c r="A111" s="45">
        <v>3</v>
      </c>
      <c r="B111" s="46"/>
      <c r="C111" s="46"/>
      <c r="D111" s="46"/>
      <c r="E111" s="47"/>
      <c r="F111" s="48"/>
      <c r="G111" s="46"/>
      <c r="H111" s="46"/>
      <c r="I111" s="46"/>
      <c r="J111" s="49"/>
      <c r="K111" s="50"/>
    </row>
    <row r="112" ht="14.25" customHeight="1" outlineLevel="1">
      <c r="A112" s="45">
        <v>4</v>
      </c>
      <c r="B112" s="46"/>
      <c r="C112" s="46"/>
      <c r="D112" s="46"/>
      <c r="E112" s="47"/>
      <c r="F112" s="48"/>
      <c r="G112" s="46"/>
      <c r="H112" s="46"/>
      <c r="I112" s="46"/>
      <c r="J112" s="49"/>
      <c r="K112" s="50"/>
    </row>
    <row r="113" ht="14.25" customHeight="1" outlineLevel="1">
      <c r="A113" s="45">
        <v>5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6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7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8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9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10</v>
      </c>
      <c r="B118" s="57"/>
      <c r="C118" s="57"/>
      <c r="D118" s="57"/>
      <c r="E118" s="58"/>
      <c r="F118" s="59"/>
      <c r="G118" s="57"/>
      <c r="H118" s="57"/>
      <c r="I118" s="57"/>
      <c r="J118" s="60"/>
      <c r="K118" s="61"/>
    </row>
    <row r="119" ht="23.100000000000001" customHeight="1">
      <c r="A119" s="63" t="s">
        <v>34</v>
      </c>
      <c r="B119" s="64"/>
      <c r="C119" s="64"/>
      <c r="D119" s="73"/>
      <c r="E119" s="65">
        <f>SUM(E92:E118)</f>
        <v>100000</v>
      </c>
    </row>
    <row r="120" ht="23.100000000000001" customHeight="1">
      <c r="A120" s="63" t="s">
        <v>28</v>
      </c>
      <c r="B120" s="64"/>
      <c r="C120" s="64"/>
      <c r="D120" s="73"/>
      <c r="E120" s="65">
        <f>E88-E119</f>
        <v>7653.6999999999971</v>
      </c>
      <c r="F120" s="66"/>
    </row>
    <row r="121" ht="24.75" customHeight="1">
      <c r="E121" s="1"/>
    </row>
    <row r="122" ht="30" customHeight="1">
      <c r="A122" s="74" t="s">
        <v>35</v>
      </c>
      <c r="B122" s="75"/>
      <c r="C122" s="75"/>
      <c r="D122" s="76"/>
      <c r="E122" s="77">
        <f>SUM(E123:E123)</f>
        <v>199307</v>
      </c>
      <c r="F122" s="13"/>
      <c r="G122" s="13"/>
      <c r="H122" s="13"/>
      <c r="I122" s="13"/>
    </row>
    <row r="123" ht="15" customHeight="1">
      <c r="A123" s="69" t="s">
        <v>36</v>
      </c>
      <c r="B123" s="70"/>
      <c r="C123" s="70"/>
      <c r="D123" s="71"/>
      <c r="E123" s="72">
        <v>199307</v>
      </c>
      <c r="F123" s="13"/>
      <c r="G123" s="13"/>
      <c r="H123" s="13"/>
      <c r="I123" s="13"/>
    </row>
    <row r="124" ht="5.2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25.5" customHeight="1" outlineLevel="1">
      <c r="A125" s="31" t="s">
        <v>10</v>
      </c>
      <c r="B125" s="31" t="s">
        <v>11</v>
      </c>
      <c r="C125" s="31" t="s">
        <v>12</v>
      </c>
      <c r="D125" s="31" t="s">
        <v>13</v>
      </c>
      <c r="E125" s="32" t="s">
        <v>14</v>
      </c>
      <c r="F125" s="31" t="s">
        <v>15</v>
      </c>
      <c r="G125" s="31" t="s">
        <v>16</v>
      </c>
      <c r="H125" s="33" t="s">
        <v>17</v>
      </c>
      <c r="I125" s="31" t="s">
        <v>18</v>
      </c>
      <c r="J125" s="31" t="s">
        <v>19</v>
      </c>
      <c r="K125" s="31" t="s">
        <v>32</v>
      </c>
    </row>
    <row r="126" s="34" customFormat="1" ht="18.75" customHeight="1" outlineLevel="1">
      <c r="A126" s="78"/>
      <c r="B126" s="79" t="s">
        <v>37</v>
      </c>
      <c r="C126" s="80"/>
      <c r="D126" s="81"/>
      <c r="E126" s="82"/>
      <c r="F126" s="79"/>
      <c r="G126" s="79"/>
      <c r="H126" s="79"/>
      <c r="I126" s="79"/>
      <c r="J126" s="79"/>
      <c r="K126" s="83"/>
    </row>
    <row r="127" ht="14.25" customHeight="1" outlineLevel="1">
      <c r="A127" s="51">
        <v>1</v>
      </c>
      <c r="B127" s="52"/>
      <c r="C127" s="52"/>
      <c r="D127" s="52"/>
      <c r="E127" s="53"/>
      <c r="F127" s="54"/>
      <c r="G127" s="52"/>
      <c r="H127" s="52"/>
      <c r="I127" s="52"/>
      <c r="J127" s="55"/>
      <c r="K127" s="56"/>
    </row>
    <row r="128" ht="14.25" customHeight="1" outlineLevel="1">
      <c r="A128" s="45">
        <v>2</v>
      </c>
      <c r="B128" s="46"/>
      <c r="C128" s="46"/>
      <c r="D128" s="46"/>
      <c r="E128" s="47"/>
      <c r="F128" s="48"/>
      <c r="G128" s="46"/>
      <c r="H128" s="46"/>
      <c r="I128" s="46"/>
      <c r="J128" s="49"/>
      <c r="K128" s="50"/>
    </row>
    <row r="129" ht="14.25" customHeight="1" outlineLevel="1">
      <c r="A129" s="45">
        <v>3</v>
      </c>
      <c r="B129" s="46"/>
      <c r="C129" s="46"/>
      <c r="D129" s="46"/>
      <c r="E129" s="47"/>
      <c r="F129" s="48"/>
      <c r="G129" s="46"/>
      <c r="H129" s="46"/>
      <c r="I129" s="46"/>
      <c r="J129" s="49"/>
      <c r="K129" s="50"/>
    </row>
    <row r="130" ht="14.25" customHeight="1" outlineLevel="1">
      <c r="A130" s="45">
        <v>4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5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6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7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5.75" customHeight="1" outlineLevel="1">
      <c r="A134" s="45">
        <v>8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5.75" customHeight="1" outlineLevel="1">
      <c r="A135" s="45">
        <v>9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10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11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12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13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14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62">
        <v>15</v>
      </c>
      <c r="B141" s="57"/>
      <c r="C141" s="57"/>
      <c r="D141" s="57"/>
      <c r="E141" s="58"/>
      <c r="F141" s="59"/>
      <c r="G141" s="57"/>
      <c r="H141" s="57"/>
      <c r="I141" s="57"/>
      <c r="J141" s="60"/>
      <c r="K141" s="61"/>
    </row>
    <row r="142" ht="23.100000000000001" customHeight="1">
      <c r="A142" s="84" t="s">
        <v>38</v>
      </c>
      <c r="B142" s="85"/>
      <c r="C142" s="85"/>
      <c r="D142" s="86"/>
      <c r="E142" s="87">
        <f>SUM(E126:E141)</f>
        <v>0</v>
      </c>
    </row>
    <row r="143" ht="23.100000000000001" customHeight="1">
      <c r="A143" s="84" t="s">
        <v>28</v>
      </c>
      <c r="B143" s="85"/>
      <c r="C143" s="85"/>
      <c r="D143" s="86"/>
      <c r="E143" s="87">
        <f>E122-E142</f>
        <v>199307</v>
      </c>
      <c r="F143" s="66"/>
    </row>
    <row r="144" ht="14.25">
      <c r="E144" s="1"/>
    </row>
    <row r="146" ht="14.25">
      <c r="E146" s="1"/>
    </row>
    <row r="147" ht="14.25">
      <c r="E147" s="1"/>
    </row>
    <row r="201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5:D85"/>
    <mergeCell ref="A86:D86"/>
    <mergeCell ref="A88:D88"/>
    <mergeCell ref="A89:D89"/>
    <mergeCell ref="A119:D119"/>
    <mergeCell ref="A120:D120"/>
    <mergeCell ref="A122:D122"/>
    <mergeCell ref="A123:D123"/>
    <mergeCell ref="A142:D142"/>
    <mergeCell ref="A143:D14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010079-0036-4F49-B159-00A5007A0009}" type="list" allowBlank="1" errorStyle="stop" imeMode="noControl" operator="between" showDropDown="0" showErrorMessage="1" showInputMessage="1">
          <x14:formula1>
            <xm:f>ДаНет</xm:f>
          </x14:formula1>
          <xm:sqref>H64:H78 H48:H62 H127:H141 H80:H84 H93:H107 H109:H118 H17:H18 H26:H30 H32:H46 H19 H20 H21 H22 H23 H24 H25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8">
    <outlinePr applyStyles="0" summaryBelow="1" summaryRight="1" showOutlineSymbols="1"/>
    <pageSetUpPr autoPageBreaks="1" fitToPage="1"/>
  </sheetPr>
  <sheetViews>
    <sheetView showGridLines="0" showRuler="1" topLeftCell="A69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9.7109375"/>
    <col customWidth="1" min="4" max="4" style="1" width="39.421875"/>
    <col customWidth="1" min="5" max="5" style="1" width="22.421875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'17'!C2+1</f>
        <v>46099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1118437.8099999998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933594.88</v>
      </c>
      <c r="F5" s="89">
        <f>E20+E29+E30+E31+E36+E35+E51+E52+E53+E54+E55+E56+E57+E58+E59+E60+E61+E62+E66+E67+E68+E69+E82+E26</f>
        <v>9402537.0999999996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9703.8600000000006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85058.850000000006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37"/>
      <c r="D16" s="37"/>
      <c r="E16" s="294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6" t="s">
        <v>41</v>
      </c>
      <c r="C17" s="106" t="s">
        <v>458</v>
      </c>
      <c r="D17" s="106"/>
      <c r="E17" s="295">
        <v>1193590</v>
      </c>
      <c r="F17" s="42" t="s">
        <v>44</v>
      </c>
      <c r="G17" s="40"/>
      <c r="H17" s="40"/>
      <c r="I17" s="40"/>
      <c r="J17" s="43" t="s">
        <v>46</v>
      </c>
      <c r="K17" s="44"/>
    </row>
    <row r="18" ht="14.25" customHeight="1" outlineLevel="1">
      <c r="A18" s="45">
        <v>2</v>
      </c>
      <c r="B18" s="160"/>
      <c r="C18" s="296"/>
      <c r="D18" s="296"/>
      <c r="E18" s="297"/>
      <c r="F18" s="48"/>
      <c r="G18" s="46"/>
      <c r="H18" s="46"/>
      <c r="I18" s="46"/>
      <c r="J18" s="49"/>
      <c r="K18" s="50"/>
    </row>
    <row r="19" ht="14.25" customHeight="1" outlineLevel="1">
      <c r="A19" s="96">
        <v>3</v>
      </c>
      <c r="B19" s="291" t="s">
        <v>47</v>
      </c>
      <c r="C19" s="99" t="s">
        <v>57</v>
      </c>
      <c r="D19" s="186" t="s">
        <v>58</v>
      </c>
      <c r="E19" s="298">
        <v>5000000</v>
      </c>
      <c r="F19" s="141" t="s">
        <v>44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96">
        <v>4</v>
      </c>
      <c r="B20" s="273" t="s">
        <v>41</v>
      </c>
      <c r="C20" s="94" t="s">
        <v>42</v>
      </c>
      <c r="D20" s="94" t="s">
        <v>43</v>
      </c>
      <c r="E20" s="299">
        <v>5100000</v>
      </c>
      <c r="F20" s="156" t="s">
        <v>44</v>
      </c>
      <c r="G20" s="94"/>
      <c r="H20" s="46" t="s">
        <v>45</v>
      </c>
      <c r="I20" s="46"/>
      <c r="J20" s="49" t="s">
        <v>46</v>
      </c>
      <c r="K20" s="50"/>
    </row>
    <row r="21" ht="14.25" customHeight="1" outlineLevel="1">
      <c r="A21" s="45">
        <v>5</v>
      </c>
      <c r="B21" s="46" t="s">
        <v>41</v>
      </c>
      <c r="C21" s="46" t="s">
        <v>48</v>
      </c>
      <c r="D21" s="46" t="s">
        <v>49</v>
      </c>
      <c r="E21" s="300"/>
      <c r="F21" s="156"/>
      <c r="G21" s="94"/>
      <c r="H21" s="46" t="s">
        <v>45</v>
      </c>
      <c r="I21" s="46"/>
      <c r="J21" s="49"/>
      <c r="K21" s="50"/>
    </row>
    <row r="22" ht="14.25" customHeight="1" outlineLevel="1">
      <c r="A22" s="96">
        <v>8</v>
      </c>
      <c r="B22" s="97" t="s">
        <v>47</v>
      </c>
      <c r="C22" s="46" t="s">
        <v>408</v>
      </c>
      <c r="D22" s="46" t="s">
        <v>409</v>
      </c>
      <c r="E22" s="301">
        <v>500000</v>
      </c>
      <c r="F22" s="48" t="s">
        <v>44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92">
        <v>9</v>
      </c>
      <c r="B23" s="97" t="s">
        <v>47</v>
      </c>
      <c r="C23" s="46" t="s">
        <v>408</v>
      </c>
      <c r="D23" s="46" t="s">
        <v>409</v>
      </c>
      <c r="E23" s="302">
        <v>2000000</v>
      </c>
      <c r="F23" s="48" t="s">
        <v>44</v>
      </c>
      <c r="G23" s="46"/>
      <c r="H23" s="46" t="s">
        <v>45</v>
      </c>
      <c r="I23" s="46"/>
      <c r="J23" s="49"/>
      <c r="K23" s="50"/>
    </row>
    <row r="24" ht="14.25" customHeight="1" outlineLevel="1">
      <c r="A24" s="303">
        <v>10</v>
      </c>
      <c r="B24" s="97" t="s">
        <v>47</v>
      </c>
      <c r="C24" s="46" t="s">
        <v>249</v>
      </c>
      <c r="D24" s="46" t="s">
        <v>250</v>
      </c>
      <c r="E24" s="301">
        <v>1200000</v>
      </c>
      <c r="F24" s="48" t="s">
        <v>44</v>
      </c>
      <c r="G24" s="46"/>
      <c r="H24" s="46" t="s">
        <v>45</v>
      </c>
      <c r="I24" s="46"/>
      <c r="J24" s="49" t="s">
        <v>46</v>
      </c>
      <c r="K24" s="50"/>
    </row>
    <row r="25" ht="14.25" customHeight="1" outlineLevel="1">
      <c r="A25" s="222"/>
      <c r="B25" s="304"/>
      <c r="C25" s="46"/>
      <c r="D25" s="46"/>
      <c r="E25" s="305"/>
      <c r="F25" s="48"/>
      <c r="G25" s="46"/>
      <c r="H25" s="46"/>
      <c r="I25" s="46"/>
      <c r="J25" s="49"/>
      <c r="K25" s="50"/>
    </row>
    <row r="26" ht="14.25" customHeight="1" outlineLevel="1">
      <c r="A26" s="92">
        <v>11</v>
      </c>
      <c r="B26" s="273" t="s">
        <v>41</v>
      </c>
      <c r="C26" s="94" t="s">
        <v>42</v>
      </c>
      <c r="D26" s="94" t="s">
        <v>43</v>
      </c>
      <c r="E26" s="306">
        <v>2000000</v>
      </c>
      <c r="F26" s="156" t="s">
        <v>44</v>
      </c>
      <c r="G26" s="46"/>
      <c r="H26" s="46"/>
      <c r="I26" s="46"/>
      <c r="J26" s="49" t="s">
        <v>46</v>
      </c>
      <c r="K26" s="50"/>
    </row>
    <row r="27" ht="14.25" customHeight="1" outlineLevel="1">
      <c r="A27" s="45">
        <v>13</v>
      </c>
      <c r="B27" s="46" t="s">
        <v>152</v>
      </c>
      <c r="C27" s="46" t="s">
        <v>154</v>
      </c>
      <c r="D27" s="283">
        <v>202057</v>
      </c>
      <c r="E27" s="301">
        <v>5000000</v>
      </c>
      <c r="F27" s="48"/>
      <c r="G27" s="46"/>
      <c r="H27" s="46"/>
      <c r="I27" s="46"/>
      <c r="J27" s="49" t="s">
        <v>46</v>
      </c>
      <c r="K27" s="50"/>
    </row>
    <row r="28" ht="14.25" customHeight="1" outlineLevel="1">
      <c r="A28" s="45">
        <v>14</v>
      </c>
      <c r="B28" s="46" t="s">
        <v>152</v>
      </c>
      <c r="C28" s="46" t="s">
        <v>153</v>
      </c>
      <c r="D28" s="284">
        <v>2022</v>
      </c>
      <c r="E28" s="307">
        <v>5000000</v>
      </c>
      <c r="F28" s="48"/>
      <c r="G28" s="46"/>
      <c r="H28" s="46"/>
      <c r="I28" s="46"/>
      <c r="J28" s="49" t="s">
        <v>46</v>
      </c>
      <c r="K28" s="50"/>
    </row>
    <row r="29" ht="14.25" customHeight="1" outlineLevel="1">
      <c r="A29" s="45">
        <v>15</v>
      </c>
      <c r="B29" s="46"/>
      <c r="C29" s="46" t="s">
        <v>78</v>
      </c>
      <c r="D29" s="46"/>
      <c r="E29" s="301">
        <v>350000</v>
      </c>
      <c r="F29" s="48"/>
      <c r="G29" s="46"/>
      <c r="H29" s="46"/>
      <c r="I29" s="46"/>
      <c r="J29" s="49" t="s">
        <v>46</v>
      </c>
      <c r="K29" s="50"/>
    </row>
    <row r="30" ht="14.25" customHeight="1" outlineLevel="1">
      <c r="A30" s="45">
        <v>16</v>
      </c>
      <c r="B30" s="46" t="s">
        <v>67</v>
      </c>
      <c r="C30" s="46" t="s">
        <v>459</v>
      </c>
      <c r="D30" s="105" t="s">
        <v>460</v>
      </c>
      <c r="E30" s="308">
        <v>1968</v>
      </c>
      <c r="F30" s="48" t="s">
        <v>70</v>
      </c>
      <c r="G30" s="46"/>
      <c r="H30" s="46"/>
      <c r="I30" s="46"/>
      <c r="J30" s="49" t="s">
        <v>46</v>
      </c>
      <c r="K30" s="50"/>
    </row>
    <row r="31" ht="14.25" customHeight="1" outlineLevel="1">
      <c r="A31" s="45">
        <v>17</v>
      </c>
      <c r="B31" s="46" t="s">
        <v>67</v>
      </c>
      <c r="C31" s="46" t="s">
        <v>461</v>
      </c>
      <c r="D31" s="105" t="s">
        <v>460</v>
      </c>
      <c r="E31" s="309">
        <v>191</v>
      </c>
      <c r="F31" s="48" t="s">
        <v>70</v>
      </c>
      <c r="G31" s="46"/>
      <c r="H31" s="46"/>
      <c r="I31" s="46"/>
      <c r="J31" s="49" t="s">
        <v>46</v>
      </c>
      <c r="K31" s="50"/>
    </row>
    <row r="32" ht="14.25" customHeight="1" outlineLevel="1">
      <c r="A32" s="45">
        <v>18</v>
      </c>
      <c r="B32" s="46" t="s">
        <v>67</v>
      </c>
      <c r="C32" s="46" t="s">
        <v>75</v>
      </c>
      <c r="D32" s="243" t="s">
        <v>462</v>
      </c>
      <c r="E32" s="172">
        <v>524771.87</v>
      </c>
      <c r="F32" s="48" t="s">
        <v>463</v>
      </c>
      <c r="G32" s="46"/>
      <c r="H32" s="46" t="s">
        <v>45</v>
      </c>
      <c r="I32" s="46"/>
      <c r="J32" s="49" t="s">
        <v>46</v>
      </c>
      <c r="K32" s="50"/>
    </row>
    <row r="33" ht="14.25" customHeight="1" outlineLevel="1">
      <c r="I33" s="46"/>
      <c r="J33" s="49"/>
      <c r="K33" s="50"/>
    </row>
    <row r="34" s="34" customFormat="1" ht="25.5" customHeight="1" outlineLevel="1">
      <c r="A34" s="35"/>
      <c r="B34" s="37" t="s">
        <v>23</v>
      </c>
      <c r="C34" s="37"/>
      <c r="D34" s="37"/>
      <c r="E34" s="37"/>
      <c r="F34" s="37"/>
      <c r="G34" s="37"/>
      <c r="H34" s="37"/>
      <c r="I34" s="37"/>
      <c r="J34" s="37"/>
      <c r="K34" s="38"/>
    </row>
    <row r="35" ht="14.25" customHeight="1" outlineLevel="1">
      <c r="A35" s="39">
        <v>1</v>
      </c>
      <c r="B35" s="46" t="s">
        <v>464</v>
      </c>
      <c r="C35" s="46" t="s">
        <v>465</v>
      </c>
      <c r="D35" s="46" t="s">
        <v>466</v>
      </c>
      <c r="E35" s="207">
        <f>12564+11670</f>
        <v>24234</v>
      </c>
      <c r="F35" s="48" t="s">
        <v>88</v>
      </c>
      <c r="G35" s="46" t="s">
        <v>260</v>
      </c>
      <c r="H35" s="46" t="s">
        <v>45</v>
      </c>
      <c r="I35" s="46"/>
      <c r="J35" s="49"/>
      <c r="K35" s="50"/>
    </row>
    <row r="36" ht="14.25" customHeight="1" outlineLevel="1">
      <c r="A36" s="45">
        <v>2</v>
      </c>
      <c r="B36" s="46" t="s">
        <v>464</v>
      </c>
      <c r="C36" s="46" t="s">
        <v>176</v>
      </c>
      <c r="D36" s="46" t="s">
        <v>467</v>
      </c>
      <c r="E36" s="98">
        <v>78500</v>
      </c>
      <c r="F36" s="48" t="s">
        <v>88</v>
      </c>
      <c r="G36" s="46" t="s">
        <v>260</v>
      </c>
      <c r="H36" s="46" t="s">
        <v>45</v>
      </c>
      <c r="I36" s="310" t="s">
        <v>468</v>
      </c>
      <c r="J36" s="49" t="s">
        <v>46</v>
      </c>
      <c r="K36" s="50"/>
    </row>
    <row r="37" ht="14.25" customHeight="1" outlineLevel="1">
      <c r="A37" s="45">
        <v>3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4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5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6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7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8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39">
        <v>9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10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11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12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s="34" customFormat="1" ht="25.5" customHeight="1" outlineLevel="1">
      <c r="A50" s="35"/>
      <c r="B50" s="37" t="s">
        <v>24</v>
      </c>
      <c r="C50" s="37"/>
      <c r="D50" s="37"/>
      <c r="E50" s="37"/>
      <c r="F50" s="37"/>
      <c r="G50" s="37"/>
      <c r="H50" s="37"/>
      <c r="I50" s="37"/>
      <c r="J50" s="37"/>
      <c r="K50" s="38"/>
    </row>
    <row r="51" ht="14.25" customHeight="1" outlineLevel="1">
      <c r="A51" s="51">
        <v>1</v>
      </c>
      <c r="B51" s="52" t="s">
        <v>112</v>
      </c>
      <c r="C51" s="52" t="s">
        <v>469</v>
      </c>
      <c r="D51" s="52" t="s">
        <v>470</v>
      </c>
      <c r="E51" s="107">
        <v>223864.20000000001</v>
      </c>
      <c r="F51" s="48" t="s">
        <v>471</v>
      </c>
      <c r="G51" s="52" t="s">
        <v>260</v>
      </c>
      <c r="H51" s="52" t="s">
        <v>45</v>
      </c>
      <c r="I51" s="52"/>
      <c r="J51" s="311" t="s">
        <v>46</v>
      </c>
      <c r="K51" s="56"/>
    </row>
    <row r="52" ht="14.25" customHeight="1" outlineLevel="1">
      <c r="A52" s="45">
        <v>2</v>
      </c>
      <c r="B52" s="46" t="s">
        <v>101</v>
      </c>
      <c r="C52" s="46" t="s">
        <v>472</v>
      </c>
      <c r="D52" s="46" t="s">
        <v>473</v>
      </c>
      <c r="E52" s="172">
        <v>6453.7200000000003</v>
      </c>
      <c r="F52" s="48" t="s">
        <v>474</v>
      </c>
      <c r="G52" s="108" t="s">
        <v>475</v>
      </c>
      <c r="H52" s="46" t="s">
        <v>51</v>
      </c>
      <c r="I52" s="46"/>
      <c r="J52" s="311" t="s">
        <v>46</v>
      </c>
      <c r="K52" s="50"/>
    </row>
    <row r="53" ht="14.25" customHeight="1" outlineLevel="1">
      <c r="A53" s="45">
        <v>3</v>
      </c>
      <c r="B53" s="46" t="s">
        <v>101</v>
      </c>
      <c r="C53" s="46" t="s">
        <v>472</v>
      </c>
      <c r="D53" s="46" t="s">
        <v>476</v>
      </c>
      <c r="E53" s="172">
        <v>6453.7200000000003</v>
      </c>
      <c r="F53" s="48" t="s">
        <v>477</v>
      </c>
      <c r="G53" s="108" t="s">
        <v>329</v>
      </c>
      <c r="H53" s="46" t="s">
        <v>51</v>
      </c>
      <c r="I53" s="46"/>
      <c r="J53" s="311" t="s">
        <v>46</v>
      </c>
      <c r="K53" s="50"/>
    </row>
    <row r="54" ht="28.5" outlineLevel="1">
      <c r="A54" s="45">
        <v>4</v>
      </c>
      <c r="B54" s="46" t="s">
        <v>101</v>
      </c>
      <c r="C54" s="46" t="s">
        <v>478</v>
      </c>
      <c r="D54" s="46" t="s">
        <v>479</v>
      </c>
      <c r="E54" s="172">
        <v>14740</v>
      </c>
      <c r="F54" s="48" t="s">
        <v>480</v>
      </c>
      <c r="G54" s="46" t="s">
        <v>260</v>
      </c>
      <c r="H54" s="46" t="s">
        <v>51</v>
      </c>
      <c r="I54" s="46"/>
      <c r="J54" s="311" t="s">
        <v>46</v>
      </c>
      <c r="K54" s="50"/>
    </row>
    <row r="55" ht="28.5" outlineLevel="1">
      <c r="A55" s="45">
        <v>5</v>
      </c>
      <c r="B55" s="46" t="s">
        <v>101</v>
      </c>
      <c r="C55" s="46" t="s">
        <v>142</v>
      </c>
      <c r="D55" s="46" t="s">
        <v>481</v>
      </c>
      <c r="E55" s="172">
        <v>12304.51</v>
      </c>
      <c r="F55" s="48" t="s">
        <v>482</v>
      </c>
      <c r="G55" s="46" t="s">
        <v>260</v>
      </c>
      <c r="H55" s="1" t="s">
        <v>483</v>
      </c>
      <c r="I55" s="46"/>
      <c r="J55" s="311" t="s">
        <v>46</v>
      </c>
      <c r="K55" s="50"/>
    </row>
    <row r="56" ht="14.25" customHeight="1" outlineLevel="1">
      <c r="A56" s="45">
        <v>6</v>
      </c>
      <c r="B56" s="46" t="s">
        <v>101</v>
      </c>
      <c r="C56" s="46" t="s">
        <v>484</v>
      </c>
      <c r="D56" s="46" t="s">
        <v>485</v>
      </c>
      <c r="E56" s="172">
        <v>25384</v>
      </c>
      <c r="F56" s="48" t="s">
        <v>425</v>
      </c>
      <c r="G56" s="46" t="s">
        <v>260</v>
      </c>
      <c r="H56" s="46" t="s">
        <v>51</v>
      </c>
      <c r="I56" s="46"/>
      <c r="J56" s="311" t="s">
        <v>46</v>
      </c>
      <c r="K56" s="50"/>
    </row>
    <row r="57" ht="14.25" customHeight="1" outlineLevel="1">
      <c r="A57" s="45">
        <v>7</v>
      </c>
      <c r="B57" s="46" t="s">
        <v>101</v>
      </c>
      <c r="C57" s="46" t="s">
        <v>486</v>
      </c>
      <c r="D57" s="46" t="s">
        <v>487</v>
      </c>
      <c r="E57" s="172">
        <v>60000</v>
      </c>
      <c r="F57" s="48" t="s">
        <v>488</v>
      </c>
      <c r="G57" s="46" t="s">
        <v>260</v>
      </c>
      <c r="H57" s="46" t="s">
        <v>45</v>
      </c>
      <c r="I57" s="46"/>
      <c r="J57" s="311" t="s">
        <v>46</v>
      </c>
      <c r="K57" s="50"/>
    </row>
    <row r="58" ht="14.25" customHeight="1" outlineLevel="1">
      <c r="A58" s="45">
        <v>8</v>
      </c>
      <c r="B58" s="94" t="s">
        <v>141</v>
      </c>
      <c r="C58" s="94" t="s">
        <v>368</v>
      </c>
      <c r="D58" s="94" t="s">
        <v>420</v>
      </c>
      <c r="E58" s="172">
        <v>9071</v>
      </c>
      <c r="F58" s="48" t="s">
        <v>370</v>
      </c>
      <c r="G58" s="46" t="s">
        <v>489</v>
      </c>
      <c r="H58" s="46" t="s">
        <v>51</v>
      </c>
      <c r="I58" s="46"/>
      <c r="J58" s="311" t="s">
        <v>46</v>
      </c>
      <c r="K58" s="50"/>
    </row>
    <row r="59" ht="14.25" customHeight="1" outlineLevel="1">
      <c r="A59" s="45">
        <v>9</v>
      </c>
      <c r="B59" s="46" t="s">
        <v>101</v>
      </c>
      <c r="C59" s="46" t="s">
        <v>490</v>
      </c>
      <c r="D59" s="46" t="s">
        <v>491</v>
      </c>
      <c r="E59" s="172">
        <v>13050</v>
      </c>
      <c r="F59" s="48" t="s">
        <v>492</v>
      </c>
      <c r="G59" s="46" t="s">
        <v>260</v>
      </c>
      <c r="H59" s="46" t="s">
        <v>45</v>
      </c>
      <c r="I59" s="46"/>
      <c r="J59" s="311" t="s">
        <v>46</v>
      </c>
      <c r="K59" s="50"/>
    </row>
    <row r="60" ht="28.5" outlineLevel="1">
      <c r="A60" s="45">
        <v>10</v>
      </c>
      <c r="B60" s="46" t="s">
        <v>493</v>
      </c>
      <c r="C60" s="46" t="s">
        <v>494</v>
      </c>
      <c r="D60" s="46" t="s">
        <v>495</v>
      </c>
      <c r="E60" s="172">
        <v>6800</v>
      </c>
      <c r="F60" s="48" t="s">
        <v>496</v>
      </c>
      <c r="G60" s="46" t="s">
        <v>260</v>
      </c>
      <c r="H60" s="46" t="s">
        <v>45</v>
      </c>
      <c r="I60" s="46"/>
      <c r="J60" s="311" t="s">
        <v>46</v>
      </c>
      <c r="K60" s="50"/>
    </row>
    <row r="61" ht="14.25" customHeight="1" outlineLevel="1">
      <c r="A61" s="45">
        <v>11</v>
      </c>
      <c r="B61" s="46" t="s">
        <v>101</v>
      </c>
      <c r="C61" s="46" t="s">
        <v>185</v>
      </c>
      <c r="D61" s="46" t="s">
        <v>497</v>
      </c>
      <c r="E61" s="109">
        <v>3000</v>
      </c>
      <c r="F61" s="48" t="s">
        <v>187</v>
      </c>
      <c r="G61" s="46" t="s">
        <v>260</v>
      </c>
      <c r="H61" s="46" t="s">
        <v>45</v>
      </c>
      <c r="I61" s="46"/>
      <c r="J61" s="311" t="s">
        <v>46</v>
      </c>
      <c r="K61" s="50"/>
    </row>
    <row r="62" ht="14.25" customHeight="1" outlineLevel="1">
      <c r="A62" s="45">
        <v>12</v>
      </c>
      <c r="B62" s="46" t="s">
        <v>101</v>
      </c>
      <c r="C62" s="46" t="s">
        <v>498</v>
      </c>
      <c r="D62" s="46" t="s">
        <v>499</v>
      </c>
      <c r="E62" s="172">
        <v>78908.130000000005</v>
      </c>
      <c r="F62" s="48" t="s">
        <v>500</v>
      </c>
      <c r="G62" s="46" t="s">
        <v>260</v>
      </c>
      <c r="H62" s="46" t="s">
        <v>45</v>
      </c>
      <c r="I62" s="46"/>
      <c r="J62" s="55" t="s">
        <v>46</v>
      </c>
      <c r="K62" s="50"/>
    </row>
    <row r="63" ht="14.25" customHeight="1" outlineLevel="1">
      <c r="A63" s="45">
        <v>13</v>
      </c>
      <c r="B63" s="46" t="s">
        <v>501</v>
      </c>
      <c r="C63" s="46" t="s">
        <v>502</v>
      </c>
      <c r="D63" s="46" t="s">
        <v>503</v>
      </c>
      <c r="E63" s="98">
        <v>70000</v>
      </c>
      <c r="F63" s="48" t="s">
        <v>504</v>
      </c>
      <c r="G63" s="46" t="s">
        <v>489</v>
      </c>
      <c r="H63" s="46"/>
      <c r="I63" s="46"/>
      <c r="J63" s="49" t="s">
        <v>46</v>
      </c>
      <c r="K63" s="50"/>
    </row>
    <row r="64" ht="14.25" customHeight="1" outlineLevel="1">
      <c r="A64" s="45">
        <v>14</v>
      </c>
      <c r="B64" s="57"/>
      <c r="C64" s="57"/>
      <c r="D64" s="57"/>
      <c r="E64" s="58"/>
      <c r="F64" s="59"/>
      <c r="G64" s="57"/>
      <c r="H64" s="57"/>
      <c r="I64" s="57"/>
      <c r="J64" s="60"/>
      <c r="K64" s="61"/>
    </row>
    <row r="65" s="34" customFormat="1" ht="25.5" customHeight="1" outlineLevel="1">
      <c r="A65" s="35"/>
      <c r="B65" s="36" t="s">
        <v>25</v>
      </c>
      <c r="C65" s="37"/>
      <c r="D65" s="37"/>
      <c r="E65" s="37"/>
      <c r="F65" s="37"/>
      <c r="G65" s="37"/>
      <c r="H65" s="37"/>
      <c r="I65" s="37"/>
      <c r="J65" s="37"/>
      <c r="K65" s="38"/>
    </row>
    <row r="66" ht="42.75" outlineLevel="1">
      <c r="A66" s="45">
        <v>1</v>
      </c>
      <c r="B66" s="52" t="s">
        <v>197</v>
      </c>
      <c r="C66" s="52" t="s">
        <v>198</v>
      </c>
      <c r="D66" s="52" t="s">
        <v>505</v>
      </c>
      <c r="E66" s="107">
        <v>76214.820000000007</v>
      </c>
      <c r="F66" s="54" t="s">
        <v>506</v>
      </c>
      <c r="G66" s="46" t="s">
        <v>260</v>
      </c>
      <c r="H66" s="52" t="s">
        <v>51</v>
      </c>
      <c r="I66" s="52" t="s">
        <v>52</v>
      </c>
      <c r="J66" s="55" t="s">
        <v>46</v>
      </c>
      <c r="K66" s="56"/>
    </row>
    <row r="67" ht="28.5" outlineLevel="1">
      <c r="A67" s="45">
        <v>2</v>
      </c>
      <c r="B67" s="46" t="s">
        <v>197</v>
      </c>
      <c r="C67" s="46" t="s">
        <v>507</v>
      </c>
      <c r="D67" s="46" t="s">
        <v>508</v>
      </c>
      <c r="E67" s="98">
        <v>4400</v>
      </c>
      <c r="F67" s="48" t="s">
        <v>509</v>
      </c>
      <c r="G67" s="108" t="s">
        <v>329</v>
      </c>
      <c r="H67" s="46"/>
      <c r="I67" s="46"/>
      <c r="J67" s="49" t="s">
        <v>46</v>
      </c>
      <c r="K67" s="50"/>
    </row>
    <row r="68" ht="28.5" outlineLevel="1">
      <c r="A68" s="45">
        <v>3</v>
      </c>
      <c r="B68" s="46" t="s">
        <v>197</v>
      </c>
      <c r="C68" s="46" t="s">
        <v>441</v>
      </c>
      <c r="D68" s="46" t="s">
        <v>510</v>
      </c>
      <c r="E68" s="98">
        <v>3500</v>
      </c>
      <c r="F68" s="48" t="s">
        <v>511</v>
      </c>
      <c r="G68" s="46" t="s">
        <v>260</v>
      </c>
      <c r="H68" s="46"/>
      <c r="I68" s="46"/>
      <c r="J68" s="49" t="s">
        <v>46</v>
      </c>
      <c r="K68" s="50"/>
    </row>
    <row r="69" ht="28.5" outlineLevel="1">
      <c r="A69" s="45">
        <v>4</v>
      </c>
      <c r="B69" s="46" t="s">
        <v>197</v>
      </c>
      <c r="C69" s="46" t="s">
        <v>512</v>
      </c>
      <c r="D69" s="46" t="s">
        <v>513</v>
      </c>
      <c r="E69" s="98">
        <v>3500</v>
      </c>
      <c r="F69" s="48" t="s">
        <v>514</v>
      </c>
      <c r="G69" s="108" t="s">
        <v>329</v>
      </c>
      <c r="H69" s="46"/>
      <c r="I69" s="46"/>
      <c r="J69" s="49" t="s">
        <v>46</v>
      </c>
      <c r="K69" s="50"/>
    </row>
    <row r="70" ht="14.25" customHeight="1" outlineLevel="1">
      <c r="A70" s="45">
        <v>5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6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7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8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9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10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11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12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13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14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15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s="34" customFormat="1" ht="25.5" customHeight="1" outlineLevel="1">
      <c r="A81" s="35"/>
      <c r="B81" s="36" t="s">
        <v>26</v>
      </c>
      <c r="C81" s="37"/>
      <c r="D81" s="37"/>
      <c r="E81" s="37"/>
      <c r="F81" s="37"/>
      <c r="G81" s="37"/>
      <c r="H81" s="37"/>
      <c r="I81" s="37"/>
      <c r="J81" s="37"/>
      <c r="K81" s="38"/>
    </row>
    <row r="82" ht="14.25" customHeight="1" outlineLevel="1">
      <c r="A82" s="51">
        <v>1</v>
      </c>
      <c r="B82" s="52"/>
      <c r="C82" s="52" t="s">
        <v>348</v>
      </c>
      <c r="D82" s="52"/>
      <c r="E82" s="107">
        <v>1300000</v>
      </c>
      <c r="F82" s="54"/>
      <c r="G82" s="52"/>
      <c r="H82" s="52"/>
      <c r="I82" s="52"/>
      <c r="J82" s="55" t="s">
        <v>46</v>
      </c>
      <c r="K82" s="56"/>
    </row>
    <row r="83" ht="14.25" customHeight="1" outlineLevel="1">
      <c r="A83" s="39">
        <v>2</v>
      </c>
      <c r="B83" s="40"/>
      <c r="C83" s="40"/>
      <c r="D83" s="40"/>
      <c r="E83" s="41"/>
      <c r="F83" s="42"/>
      <c r="G83" s="40"/>
      <c r="H83" s="40"/>
      <c r="I83" s="40"/>
      <c r="J83" s="43"/>
      <c r="K83" s="44"/>
    </row>
    <row r="84" ht="14.25" customHeight="1" outlineLevel="1">
      <c r="A84" s="39">
        <v>3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45">
        <v>4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</row>
    <row r="86" ht="15" customHeight="1" outlineLevel="1">
      <c r="A86" s="62">
        <v>5</v>
      </c>
      <c r="B86" s="57"/>
      <c r="C86" s="57"/>
      <c r="D86" s="57"/>
      <c r="E86" s="58"/>
      <c r="F86" s="59"/>
      <c r="G86" s="57"/>
      <c r="H86" s="57"/>
      <c r="I86" s="57"/>
      <c r="J86" s="60"/>
      <c r="K86" s="61"/>
    </row>
    <row r="87" ht="23.100000000000001" customHeight="1">
      <c r="A87" s="63" t="s">
        <v>27</v>
      </c>
      <c r="B87" s="64"/>
      <c r="C87" s="64"/>
      <c r="D87" s="64"/>
      <c r="E87" s="65">
        <f>SUM(E16:E86)</f>
        <v>29890898.969999999</v>
      </c>
    </row>
    <row r="88" ht="23.100000000000001" customHeight="1">
      <c r="A88" s="63" t="s">
        <v>28</v>
      </c>
      <c r="B88" s="64"/>
      <c r="C88" s="64"/>
      <c r="D88" s="64"/>
      <c r="E88" s="65">
        <f>E4-E87</f>
        <v>-28772461.16</v>
      </c>
      <c r="F88" s="66"/>
    </row>
    <row r="89" ht="30.75" customHeight="1">
      <c r="A89" s="66"/>
      <c r="B89" s="66"/>
      <c r="C89" s="66"/>
      <c r="D89" s="66"/>
      <c r="E89" s="66"/>
      <c r="F89" s="66"/>
    </row>
    <row r="90" ht="30" customHeight="1">
      <c r="A90" s="9" t="s">
        <v>515</v>
      </c>
      <c r="B90" s="10"/>
      <c r="C90" s="10"/>
      <c r="D90" s="11"/>
      <c r="E90" s="170">
        <f>SUM(E91:E91)</f>
        <v>107653.7</v>
      </c>
      <c r="F90" s="136" t="s">
        <v>39</v>
      </c>
      <c r="G90" s="68" t="s">
        <v>30</v>
      </c>
      <c r="H90" s="13"/>
      <c r="I90" s="13"/>
    </row>
    <row r="91" ht="15" customHeight="1">
      <c r="A91" s="69" t="s">
        <v>31</v>
      </c>
      <c r="B91" s="70"/>
      <c r="C91" s="70"/>
      <c r="D91" s="71"/>
      <c r="E91" s="72">
        <v>107653.7</v>
      </c>
      <c r="F91" s="238" t="s">
        <v>516</v>
      </c>
      <c r="G91" s="13"/>
      <c r="H91" s="13"/>
      <c r="I91" s="13"/>
    </row>
    <row r="92" ht="4.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25.5" customHeight="1" outlineLevel="1">
      <c r="A93" s="31" t="s">
        <v>10</v>
      </c>
      <c r="B93" s="31" t="s">
        <v>11</v>
      </c>
      <c r="C93" s="31" t="s">
        <v>12</v>
      </c>
      <c r="D93" s="31" t="s">
        <v>13</v>
      </c>
      <c r="E93" s="32" t="s">
        <v>14</v>
      </c>
      <c r="F93" s="31" t="s">
        <v>15</v>
      </c>
      <c r="G93" s="31" t="s">
        <v>16</v>
      </c>
      <c r="H93" s="33" t="s">
        <v>17</v>
      </c>
      <c r="I93" s="31" t="s">
        <v>18</v>
      </c>
      <c r="J93" s="31" t="s">
        <v>19</v>
      </c>
      <c r="K93" s="31" t="s">
        <v>32</v>
      </c>
    </row>
    <row r="94" s="34" customFormat="1" ht="25.5" customHeight="1" outlineLevel="1">
      <c r="A94" s="35"/>
      <c r="B94" s="37" t="s">
        <v>33</v>
      </c>
      <c r="C94" s="37"/>
      <c r="D94" s="37"/>
      <c r="E94" s="37"/>
      <c r="F94" s="37"/>
      <c r="G94" s="37"/>
      <c r="H94" s="37"/>
      <c r="I94" s="37"/>
      <c r="J94" s="37"/>
      <c r="K94" s="38"/>
    </row>
    <row r="95" ht="14.25" customHeight="1" outlineLevel="1">
      <c r="A95" s="39">
        <v>1</v>
      </c>
      <c r="B95" s="52" t="s">
        <v>112</v>
      </c>
      <c r="C95" s="52" t="s">
        <v>469</v>
      </c>
      <c r="D95" s="52" t="s">
        <v>517</v>
      </c>
      <c r="E95" s="107">
        <v>828618</v>
      </c>
      <c r="F95" s="54" t="s">
        <v>471</v>
      </c>
      <c r="G95" s="52" t="s">
        <v>260</v>
      </c>
      <c r="H95" s="52" t="s">
        <v>45</v>
      </c>
      <c r="I95" s="52"/>
      <c r="J95" s="55" t="s">
        <v>46</v>
      </c>
      <c r="K95" s="56"/>
    </row>
    <row r="96" ht="14.25" customHeight="1" outlineLevel="1">
      <c r="A96" s="39">
        <v>2</v>
      </c>
      <c r="B96" s="46" t="s">
        <v>101</v>
      </c>
      <c r="C96" s="46" t="s">
        <v>332</v>
      </c>
      <c r="D96" s="46" t="s">
        <v>518</v>
      </c>
      <c r="E96" s="172">
        <v>10000</v>
      </c>
      <c r="F96" s="48" t="s">
        <v>452</v>
      </c>
      <c r="G96" s="46" t="s">
        <v>260</v>
      </c>
      <c r="H96" s="46" t="s">
        <v>45</v>
      </c>
      <c r="I96" s="46"/>
      <c r="J96" s="49" t="s">
        <v>46</v>
      </c>
      <c r="K96" s="50"/>
    </row>
    <row r="97" ht="14.25" customHeight="1" outlineLevel="1">
      <c r="A97" s="39">
        <v>3</v>
      </c>
      <c r="B97" s="46" t="s">
        <v>202</v>
      </c>
      <c r="C97" s="46" t="s">
        <v>203</v>
      </c>
      <c r="D97" s="46" t="s">
        <v>519</v>
      </c>
      <c r="E97" s="172">
        <v>13200</v>
      </c>
      <c r="F97" s="48" t="s">
        <v>520</v>
      </c>
      <c r="G97" s="46" t="s">
        <v>260</v>
      </c>
      <c r="H97" s="46" t="s">
        <v>45</v>
      </c>
      <c r="I97" s="46"/>
      <c r="J97" s="49" t="s">
        <v>46</v>
      </c>
      <c r="K97" s="50"/>
    </row>
    <row r="98" ht="14.25" customHeight="1" outlineLevel="1">
      <c r="A98" s="39">
        <v>4</v>
      </c>
      <c r="B98" s="46" t="s">
        <v>141</v>
      </c>
      <c r="C98" s="46" t="s">
        <v>215</v>
      </c>
      <c r="D98" s="46" t="s">
        <v>521</v>
      </c>
      <c r="E98" s="172">
        <v>1462.3</v>
      </c>
      <c r="F98" s="48" t="s">
        <v>165</v>
      </c>
      <c r="G98" s="46" t="s">
        <v>260</v>
      </c>
      <c r="H98" s="46" t="s">
        <v>45</v>
      </c>
      <c r="I98" s="46"/>
      <c r="J98" s="49" t="s">
        <v>46</v>
      </c>
      <c r="K98" s="50"/>
    </row>
    <row r="99" ht="14.25" customHeight="1" outlineLevel="1">
      <c r="A99" s="39">
        <v>5</v>
      </c>
      <c r="B99" s="46" t="s">
        <v>101</v>
      </c>
      <c r="C99" s="46" t="s">
        <v>350</v>
      </c>
      <c r="D99" s="46" t="s">
        <v>351</v>
      </c>
      <c r="E99" s="172">
        <v>14490</v>
      </c>
      <c r="F99" s="48" t="s">
        <v>353</v>
      </c>
      <c r="G99" s="46" t="s">
        <v>260</v>
      </c>
      <c r="H99" s="46" t="s">
        <v>45</v>
      </c>
      <c r="I99" s="46" t="s">
        <v>52</v>
      </c>
      <c r="J99" s="49" t="s">
        <v>46</v>
      </c>
      <c r="K99" s="50"/>
    </row>
    <row r="100" ht="14.25" customHeight="1" outlineLevel="1">
      <c r="A100" s="39">
        <v>6</v>
      </c>
      <c r="B100" s="46" t="s">
        <v>522</v>
      </c>
      <c r="C100" s="46" t="s">
        <v>523</v>
      </c>
      <c r="D100" s="46" t="s">
        <v>524</v>
      </c>
      <c r="E100" s="172">
        <v>392631</v>
      </c>
      <c r="F100" s="48" t="s">
        <v>525</v>
      </c>
      <c r="G100" s="46" t="s">
        <v>260</v>
      </c>
      <c r="H100" s="46" t="s">
        <v>45</v>
      </c>
      <c r="I100" s="46"/>
      <c r="J100" s="49" t="s">
        <v>46</v>
      </c>
      <c r="K100" s="50"/>
    </row>
    <row r="101" ht="14.25" customHeight="1" outlineLevel="1">
      <c r="A101" s="39">
        <v>7</v>
      </c>
      <c r="B101" s="46"/>
      <c r="C101" s="46"/>
      <c r="D101" s="46"/>
      <c r="E101" s="244"/>
      <c r="F101" s="48"/>
      <c r="G101" s="46"/>
      <c r="H101" s="46"/>
      <c r="I101" s="46"/>
      <c r="J101" s="49"/>
      <c r="K101" s="50"/>
    </row>
    <row r="102" ht="14.25" customHeight="1" outlineLevel="1">
      <c r="A102" s="39">
        <v>8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9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10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11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12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13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14</v>
      </c>
      <c r="B108" s="46"/>
      <c r="C108" s="46"/>
      <c r="D108" s="46"/>
      <c r="E108" s="47">
        <v>100000</v>
      </c>
      <c r="F108" s="48"/>
      <c r="G108" s="46"/>
      <c r="H108" s="46"/>
      <c r="I108" s="46"/>
      <c r="J108" s="49"/>
      <c r="K108" s="50"/>
    </row>
    <row r="109" ht="14.25" customHeight="1" outlineLevel="1">
      <c r="A109" s="39">
        <v>15</v>
      </c>
      <c r="B109" s="57"/>
      <c r="C109" s="57"/>
      <c r="D109" s="57"/>
      <c r="E109" s="58"/>
      <c r="F109" s="59"/>
      <c r="G109" s="57"/>
      <c r="H109" s="57"/>
      <c r="I109" s="57"/>
      <c r="J109" s="60"/>
      <c r="K109" s="61"/>
    </row>
    <row r="110" s="34" customFormat="1" ht="25.5" customHeight="1" outlineLevel="1">
      <c r="A110" s="35"/>
      <c r="B110" s="37" t="s">
        <v>25</v>
      </c>
      <c r="C110" s="37"/>
      <c r="D110" s="37"/>
      <c r="E110" s="37"/>
      <c r="F110" s="37"/>
      <c r="G110" s="37"/>
      <c r="H110" s="37"/>
      <c r="I110" s="37"/>
      <c r="J110" s="37"/>
      <c r="K110" s="38"/>
    </row>
    <row r="111" ht="15" outlineLevel="1">
      <c r="A111" s="127">
        <v>1</v>
      </c>
      <c r="B111" s="48" t="s">
        <v>526</v>
      </c>
      <c r="C111" s="48" t="s">
        <v>47</v>
      </c>
      <c r="D111" s="48" t="s">
        <v>373</v>
      </c>
      <c r="E111" s="312">
        <v>2000</v>
      </c>
      <c r="F111" s="48" t="s">
        <v>527</v>
      </c>
      <c r="G111" s="48" t="s">
        <v>260</v>
      </c>
      <c r="H111" s="175"/>
      <c r="I111" s="313"/>
      <c r="J111" s="177" t="s">
        <v>46</v>
      </c>
      <c r="K111" s="56"/>
    </row>
    <row r="112" ht="14.25" customHeight="1" outlineLevel="1">
      <c r="A112" s="45">
        <v>2</v>
      </c>
      <c r="B112" s="46" t="s">
        <v>526</v>
      </c>
      <c r="C112" s="46" t="s">
        <v>512</v>
      </c>
      <c r="D112" s="46" t="s">
        <v>373</v>
      </c>
      <c r="E112" s="172">
        <v>899.94000000000005</v>
      </c>
      <c r="F112" s="48" t="s">
        <v>527</v>
      </c>
      <c r="G112" s="314" t="s">
        <v>358</v>
      </c>
      <c r="H112" s="40"/>
      <c r="I112" s="40"/>
      <c r="J112" s="49" t="s">
        <v>46</v>
      </c>
      <c r="K112" s="50"/>
    </row>
    <row r="113" ht="28.5" outlineLevel="1">
      <c r="A113" s="45">
        <v>3</v>
      </c>
      <c r="B113" s="46" t="s">
        <v>526</v>
      </c>
      <c r="C113" s="46" t="s">
        <v>345</v>
      </c>
      <c r="D113" s="46" t="s">
        <v>373</v>
      </c>
      <c r="E113" s="98">
        <v>1200</v>
      </c>
      <c r="F113" s="48" t="s">
        <v>528</v>
      </c>
      <c r="G113" s="46" t="s">
        <v>260</v>
      </c>
      <c r="H113" s="46"/>
      <c r="I113" s="46"/>
      <c r="J113" s="49" t="s">
        <v>46</v>
      </c>
      <c r="K113" s="50"/>
    </row>
    <row r="114" ht="14.25" customHeight="1" outlineLevel="1">
      <c r="A114" s="45">
        <v>4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5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6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7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8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9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10</v>
      </c>
      <c r="B120" s="57"/>
      <c r="C120" s="57"/>
      <c r="D120" s="57"/>
      <c r="E120" s="58"/>
      <c r="F120" s="59"/>
      <c r="G120" s="57"/>
      <c r="H120" s="57"/>
      <c r="I120" s="57"/>
      <c r="J120" s="60"/>
      <c r="K120" s="61"/>
    </row>
    <row r="121" ht="23.100000000000001" customHeight="1">
      <c r="A121" s="63" t="s">
        <v>34</v>
      </c>
      <c r="B121" s="64"/>
      <c r="C121" s="64"/>
      <c r="D121" s="73"/>
      <c r="E121" s="65">
        <f>SUM(E94:E120)</f>
        <v>1364501.24</v>
      </c>
    </row>
    <row r="122" ht="23.100000000000001" customHeight="1">
      <c r="A122" s="63" t="s">
        <v>28</v>
      </c>
      <c r="B122" s="64"/>
      <c r="C122" s="64"/>
      <c r="D122" s="73"/>
      <c r="E122" s="65">
        <f>E90-E121</f>
        <v>-1256847.54</v>
      </c>
      <c r="F122" s="66"/>
    </row>
    <row r="123" ht="24.75" customHeight="1">
      <c r="E123" s="1"/>
    </row>
    <row r="124" ht="30" customHeight="1">
      <c r="A124" s="74" t="s">
        <v>35</v>
      </c>
      <c r="B124" s="75"/>
      <c r="C124" s="75"/>
      <c r="D124" s="76"/>
      <c r="E124" s="77">
        <f>SUM(E125:E125)</f>
        <v>199307</v>
      </c>
      <c r="F124" s="13"/>
      <c r="G124" s="13"/>
      <c r="H124" s="13"/>
      <c r="I124" s="13"/>
    </row>
    <row r="125" ht="15" customHeight="1">
      <c r="A125" s="69" t="s">
        <v>36</v>
      </c>
      <c r="B125" s="70"/>
      <c r="C125" s="70"/>
      <c r="D125" s="71"/>
      <c r="E125" s="72">
        <v>199307</v>
      </c>
      <c r="F125" s="13"/>
      <c r="G125" s="13"/>
      <c r="H125" s="13"/>
      <c r="I125" s="13"/>
    </row>
    <row r="126" ht="5.2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25.5" customHeight="1" outlineLevel="1">
      <c r="A127" s="31" t="s">
        <v>10</v>
      </c>
      <c r="B127" s="31" t="s">
        <v>11</v>
      </c>
      <c r="C127" s="31" t="s">
        <v>12</v>
      </c>
      <c r="D127" s="31" t="s">
        <v>13</v>
      </c>
      <c r="E127" s="32" t="s">
        <v>14</v>
      </c>
      <c r="F127" s="31" t="s">
        <v>15</v>
      </c>
      <c r="G127" s="31" t="s">
        <v>16</v>
      </c>
      <c r="H127" s="33" t="s">
        <v>17</v>
      </c>
      <c r="I127" s="31" t="s">
        <v>18</v>
      </c>
      <c r="J127" s="31" t="s">
        <v>19</v>
      </c>
      <c r="K127" s="31" t="s">
        <v>32</v>
      </c>
    </row>
    <row r="128" s="34" customFormat="1" ht="18.75" customHeight="1" outlineLevel="1">
      <c r="A128" s="78"/>
      <c r="B128" s="79" t="s">
        <v>37</v>
      </c>
      <c r="C128" s="80"/>
      <c r="D128" s="81"/>
      <c r="E128" s="82"/>
      <c r="F128" s="79"/>
      <c r="G128" s="79"/>
      <c r="H128" s="79"/>
      <c r="I128" s="79"/>
      <c r="J128" s="79"/>
      <c r="K128" s="83"/>
    </row>
    <row r="129" ht="14.25" customHeight="1" outlineLevel="1">
      <c r="A129" s="51">
        <v>1</v>
      </c>
      <c r="B129" s="52"/>
      <c r="C129" s="52"/>
      <c r="D129" s="52"/>
      <c r="E129" s="53"/>
      <c r="F129" s="54"/>
      <c r="G129" s="52"/>
      <c r="H129" s="52"/>
      <c r="I129" s="52"/>
      <c r="J129" s="55"/>
      <c r="K129" s="56"/>
    </row>
    <row r="130" ht="14.25" customHeight="1" outlineLevel="1">
      <c r="A130" s="45">
        <v>2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3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4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5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6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7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8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9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10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11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12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13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14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62">
        <v>15</v>
      </c>
      <c r="B143" s="57"/>
      <c r="C143" s="57"/>
      <c r="D143" s="57"/>
      <c r="E143" s="58"/>
      <c r="F143" s="59"/>
      <c r="G143" s="57"/>
      <c r="H143" s="57"/>
      <c r="I143" s="57"/>
      <c r="J143" s="60"/>
      <c r="K143" s="61"/>
    </row>
    <row r="144" ht="23.100000000000001" customHeight="1">
      <c r="A144" s="84" t="s">
        <v>38</v>
      </c>
      <c r="B144" s="85"/>
      <c r="C144" s="85"/>
      <c r="D144" s="86"/>
      <c r="E144" s="87">
        <f>SUM(E128:E143)</f>
        <v>0</v>
      </c>
    </row>
    <row r="145" ht="23.100000000000001" customHeight="1">
      <c r="A145" s="84" t="s">
        <v>28</v>
      </c>
      <c r="B145" s="85"/>
      <c r="C145" s="85"/>
      <c r="D145" s="86"/>
      <c r="E145" s="87">
        <f>E124-E144</f>
        <v>199307</v>
      </c>
      <c r="F145" s="66"/>
    </row>
    <row r="146" ht="14.25">
      <c r="E146" s="1"/>
    </row>
    <row r="147" ht="14.25">
      <c r="E147" s="1"/>
    </row>
    <row r="148" ht="14.25">
      <c r="E148" s="1"/>
    </row>
    <row r="203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7:D87"/>
    <mergeCell ref="A88:D88"/>
    <mergeCell ref="A90:D90"/>
    <mergeCell ref="A91:D91"/>
    <mergeCell ref="A121:D121"/>
    <mergeCell ref="A122:D122"/>
    <mergeCell ref="A124:D124"/>
    <mergeCell ref="A125:D125"/>
    <mergeCell ref="A144:D144"/>
    <mergeCell ref="A145:D14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5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3007C-00DD-4E6F-9F1F-009A006A002F}" type="list" allowBlank="1" errorStyle="stop" imeMode="noControl" operator="between" showDropDown="0" showErrorMessage="1" showInputMessage="1">
          <x14:formula1>
            <xm:f>ДаНет</xm:f>
          </x14:formula1>
          <xm:sqref>H64:H78 H49:H52 H54 H55:H62 H127:H141 H80:H84 H93:H107 H110:H118 H17:H18 H28:H31 H34:H47 H32</xm:sqref>
        </x14:dataValidation>
        <x14:dataValidation xr:uid="{003D006E-00F5-48A9-B1DE-0063007400A3}" type="list" allowBlank="1" errorStyle="stop" imeMode="noControl" operator="between" showDropDown="0" showErrorMessage="1" showInputMessage="1">
          <x14:formula1>
            <xm:f>ДаНет</xm:f>
          </x14:formula1>
          <xm:sqref>H19 H25:H27 H20 H21 H22 H23 H24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9">
    <outlinePr applyStyles="0" summaryBelow="1" summaryRight="1" showOutlineSymbols="1"/>
    <pageSetUpPr autoPageBreaks="1" fitToPage="0"/>
  </sheetPr>
  <sheetViews>
    <sheetView showGridLines="0" showRuler="1" topLeftCell="A9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3.57421875"/>
    <col customWidth="1" min="4" max="4" style="1" width="22.140625"/>
    <col customWidth="1" min="5" max="5" style="1" width="26"/>
    <col customWidth="1" min="6" max="6" style="1" width="39.85156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'18'!C2+1</f>
        <v>46100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220727.21000000002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35884.279999999999</v>
      </c>
      <c r="F5" s="315">
        <f>E20+E23+E66+E67+E68+E82+E83+E29</f>
        <v>4505977.7599999998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9703.8600000000006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85058.850000000006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3</v>
      </c>
      <c r="B18" s="187"/>
      <c r="C18" s="316"/>
      <c r="D18" s="316"/>
      <c r="E18" s="317"/>
      <c r="F18" s="48"/>
      <c r="G18" s="46"/>
      <c r="H18" s="46"/>
      <c r="I18" s="46"/>
      <c r="J18" s="49"/>
      <c r="K18" s="50"/>
    </row>
    <row r="19" ht="14.25" customHeight="1" outlineLevel="1">
      <c r="A19" s="96">
        <v>4</v>
      </c>
      <c r="B19" s="291" t="s">
        <v>47</v>
      </c>
      <c r="C19" s="99" t="s">
        <v>57</v>
      </c>
      <c r="D19" s="186" t="s">
        <v>58</v>
      </c>
      <c r="E19" s="298">
        <v>10000000</v>
      </c>
      <c r="F19" s="141" t="s">
        <v>44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45">
        <v>6</v>
      </c>
      <c r="B20" s="46" t="s">
        <v>41</v>
      </c>
      <c r="C20" s="46" t="s">
        <v>48</v>
      </c>
      <c r="D20" s="46" t="s">
        <v>49</v>
      </c>
      <c r="E20" s="100">
        <v>1643280</v>
      </c>
      <c r="F20" s="94" t="s">
        <v>529</v>
      </c>
      <c r="G20" s="46"/>
      <c r="H20" s="46" t="s">
        <v>45</v>
      </c>
      <c r="I20" s="46"/>
      <c r="J20" s="49" t="s">
        <v>46</v>
      </c>
      <c r="K20" s="50"/>
    </row>
    <row r="21" ht="14.25" customHeight="1" outlineLevel="1">
      <c r="A21" s="96">
        <v>7</v>
      </c>
      <c r="B21" s="97" t="s">
        <v>47</v>
      </c>
      <c r="C21" s="46" t="s">
        <v>408</v>
      </c>
      <c r="D21" s="46" t="s">
        <v>409</v>
      </c>
      <c r="E21" s="301">
        <v>500000</v>
      </c>
      <c r="F21" s="48" t="s">
        <v>44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96">
        <v>8</v>
      </c>
      <c r="B22" s="97" t="s">
        <v>47</v>
      </c>
      <c r="C22" s="46" t="s">
        <v>408</v>
      </c>
      <c r="D22" s="46" t="s">
        <v>409</v>
      </c>
      <c r="E22" s="302">
        <v>1500000</v>
      </c>
      <c r="F22" s="48" t="s">
        <v>44</v>
      </c>
      <c r="G22" s="46"/>
      <c r="H22" s="46" t="s">
        <v>45</v>
      </c>
      <c r="I22" s="46"/>
      <c r="J22" s="49"/>
      <c r="K22" s="50"/>
    </row>
    <row r="23" ht="14.25" customHeight="1" outlineLevel="1">
      <c r="A23" s="92">
        <v>9</v>
      </c>
      <c r="B23" s="97" t="s">
        <v>47</v>
      </c>
      <c r="C23" s="46" t="s">
        <v>249</v>
      </c>
      <c r="D23" s="46" t="s">
        <v>250</v>
      </c>
      <c r="E23" s="301">
        <v>300000</v>
      </c>
      <c r="F23" s="48" t="s">
        <v>44</v>
      </c>
      <c r="G23" s="46"/>
      <c r="H23" s="46" t="s">
        <v>45</v>
      </c>
      <c r="I23" s="46"/>
      <c r="J23" s="49" t="s">
        <v>46</v>
      </c>
      <c r="K23" s="50"/>
    </row>
    <row r="24" ht="14.25" customHeight="1" outlineLevel="1">
      <c r="A24" s="45">
        <v>10</v>
      </c>
      <c r="B24" s="318"/>
      <c r="C24" s="46"/>
      <c r="D24" s="46"/>
      <c r="E24" s="319"/>
      <c r="F24" s="48"/>
      <c r="G24" s="46"/>
      <c r="H24" s="46"/>
      <c r="I24" s="46"/>
      <c r="J24" s="49"/>
      <c r="K24" s="50"/>
    </row>
    <row r="25" ht="14.25" customHeight="1" outlineLevel="1">
      <c r="A25" s="96">
        <v>11</v>
      </c>
      <c r="B25" s="273" t="s">
        <v>41</v>
      </c>
      <c r="C25" s="94" t="s">
        <v>42</v>
      </c>
      <c r="D25" s="94" t="s">
        <v>43</v>
      </c>
      <c r="E25" s="320">
        <v>5000000</v>
      </c>
      <c r="F25" s="156" t="s">
        <v>44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45">
        <v>12</v>
      </c>
      <c r="B26" s="46" t="s">
        <v>152</v>
      </c>
      <c r="C26" s="46" t="s">
        <v>154</v>
      </c>
      <c r="D26" s="283">
        <v>202057</v>
      </c>
      <c r="E26" s="301">
        <v>5000000</v>
      </c>
      <c r="F26" s="48"/>
      <c r="G26" s="46"/>
      <c r="H26" s="46"/>
      <c r="I26" s="46"/>
      <c r="J26" s="49" t="s">
        <v>46</v>
      </c>
      <c r="K26" s="50"/>
    </row>
    <row r="27" ht="14.25" customHeight="1" outlineLevel="1">
      <c r="A27" s="45">
        <v>13</v>
      </c>
      <c r="B27" s="46" t="s">
        <v>152</v>
      </c>
      <c r="C27" s="46" t="s">
        <v>153</v>
      </c>
      <c r="D27" s="284">
        <v>2022</v>
      </c>
      <c r="E27" s="307">
        <v>6500000</v>
      </c>
      <c r="F27" s="48"/>
      <c r="G27" s="46"/>
      <c r="H27" s="46"/>
      <c r="I27" s="46"/>
      <c r="J27" s="49" t="s">
        <v>46</v>
      </c>
      <c r="K27" s="50"/>
    </row>
    <row r="28" ht="14.25" customHeight="1" outlineLevel="1">
      <c r="A28" s="45">
        <v>14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15</v>
      </c>
      <c r="B29" s="321" t="s">
        <v>41</v>
      </c>
      <c r="C29" s="94" t="s">
        <v>48</v>
      </c>
      <c r="D29" s="94" t="s">
        <v>49</v>
      </c>
      <c r="E29" s="172">
        <v>1671570</v>
      </c>
      <c r="F29" s="156" t="s">
        <v>530</v>
      </c>
      <c r="G29" s="46"/>
      <c r="H29" s="46"/>
      <c r="I29" s="46"/>
      <c r="J29" s="49" t="s">
        <v>46</v>
      </c>
      <c r="K29" s="50"/>
    </row>
    <row r="30" ht="14.25" customHeight="1" outlineLevel="1">
      <c r="A30" s="45">
        <v>16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17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18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s="34" customFormat="1" ht="25.5" customHeight="1" outlineLevel="1">
      <c r="A33" s="35"/>
      <c r="B33" s="37" t="s">
        <v>23</v>
      </c>
      <c r="C33" s="37"/>
      <c r="D33" s="37"/>
      <c r="E33" s="37"/>
      <c r="F33" s="37"/>
      <c r="G33" s="37"/>
      <c r="H33" s="37"/>
      <c r="I33" s="37"/>
      <c r="J33" s="37"/>
      <c r="K33" s="38"/>
    </row>
    <row r="34" ht="14.25" customHeight="1" outlineLevel="1">
      <c r="A34" s="39">
        <v>1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ht="14.25" customHeight="1" outlineLevel="1">
      <c r="A35" s="45">
        <v>2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3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4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5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6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7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8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39">
        <v>9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10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11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12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13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14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15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s="34" customFormat="1" ht="25.5" customHeight="1" outlineLevel="1">
      <c r="A49" s="35"/>
      <c r="B49" s="37" t="s">
        <v>24</v>
      </c>
      <c r="C49" s="37"/>
      <c r="D49" s="37"/>
      <c r="E49" s="37"/>
      <c r="F49" s="37"/>
      <c r="G49" s="37"/>
      <c r="H49" s="37"/>
      <c r="I49" s="37"/>
      <c r="J49" s="37"/>
      <c r="K49" s="38"/>
    </row>
    <row r="50" ht="14.25" customHeight="1" outlineLevel="1">
      <c r="A50" s="51">
        <v>1</v>
      </c>
      <c r="B50" s="52" t="s">
        <v>101</v>
      </c>
      <c r="C50" s="52" t="s">
        <v>531</v>
      </c>
      <c r="D50" s="52" t="s">
        <v>333</v>
      </c>
      <c r="E50" s="167">
        <v>60000</v>
      </c>
      <c r="F50" s="54" t="s">
        <v>532</v>
      </c>
      <c r="G50" s="52"/>
      <c r="H50" s="52"/>
      <c r="I50" s="52"/>
      <c r="J50" s="55" t="s">
        <v>46</v>
      </c>
      <c r="K50" s="56"/>
    </row>
    <row r="51" ht="14.25" customHeight="1" outlineLevel="1">
      <c r="A51" s="45">
        <v>2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3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4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5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6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7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8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9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10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11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12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13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14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15</v>
      </c>
      <c r="B64" s="57"/>
      <c r="C64" s="57"/>
      <c r="D64" s="57"/>
      <c r="E64" s="58"/>
      <c r="F64" s="59"/>
      <c r="G64" s="57"/>
      <c r="H64" s="57"/>
      <c r="I64" s="57"/>
      <c r="J64" s="60"/>
      <c r="K64" s="61"/>
    </row>
    <row r="65" s="34" customFormat="1" ht="25.5" customHeight="1" outlineLevel="1">
      <c r="A65" s="35"/>
      <c r="B65" s="36" t="s">
        <v>25</v>
      </c>
      <c r="C65" s="37"/>
      <c r="D65" s="37"/>
      <c r="E65" s="37"/>
      <c r="F65" s="37"/>
      <c r="G65" s="37"/>
      <c r="H65" s="37"/>
      <c r="I65" s="37"/>
      <c r="J65" s="37"/>
      <c r="K65" s="38"/>
    </row>
    <row r="66" ht="14.25" customHeight="1" outlineLevel="1">
      <c r="A66" s="45">
        <v>1</v>
      </c>
      <c r="B66" s="142" t="s">
        <v>157</v>
      </c>
      <c r="C66" s="142" t="s">
        <v>267</v>
      </c>
      <c r="D66" s="142" t="s">
        <v>239</v>
      </c>
      <c r="E66" s="98">
        <v>24660.779999999999</v>
      </c>
      <c r="F66" s="48" t="s">
        <v>240</v>
      </c>
      <c r="G66" s="52" t="s">
        <v>260</v>
      </c>
      <c r="H66" s="52"/>
      <c r="I66" s="52"/>
      <c r="J66" s="55" t="s">
        <v>46</v>
      </c>
      <c r="K66" s="56"/>
    </row>
    <row r="67" ht="30" outlineLevel="1">
      <c r="A67" s="45">
        <v>2</v>
      </c>
      <c r="B67" s="211" t="s">
        <v>157</v>
      </c>
      <c r="C67" s="211" t="s">
        <v>266</v>
      </c>
      <c r="D67" s="211" t="s">
        <v>239</v>
      </c>
      <c r="E67" s="98">
        <v>19092.630000000001</v>
      </c>
      <c r="F67" s="48" t="s">
        <v>240</v>
      </c>
      <c r="G67" s="46" t="s">
        <v>260</v>
      </c>
      <c r="H67" s="46"/>
      <c r="I67" s="46"/>
      <c r="J67" s="49" t="s">
        <v>46</v>
      </c>
      <c r="K67" s="50"/>
    </row>
    <row r="68" ht="28.5" outlineLevel="1">
      <c r="A68" s="45">
        <v>3</v>
      </c>
      <c r="B68" s="211" t="s">
        <v>157</v>
      </c>
      <c r="C68" s="211" t="s">
        <v>238</v>
      </c>
      <c r="D68" s="211" t="s">
        <v>239</v>
      </c>
      <c r="E68" s="98">
        <v>68374.350000000006</v>
      </c>
      <c r="F68" s="48" t="s">
        <v>533</v>
      </c>
      <c r="G68" s="46" t="s">
        <v>260</v>
      </c>
      <c r="H68" s="46"/>
      <c r="I68" s="46"/>
      <c r="J68" s="49" t="s">
        <v>46</v>
      </c>
      <c r="K68" s="50"/>
    </row>
    <row r="69" ht="14.25" customHeight="1" outlineLevel="1">
      <c r="A69" s="45">
        <v>4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5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6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7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8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9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10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11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12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13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14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15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s="34" customFormat="1" ht="25.5" customHeight="1" outlineLevel="1">
      <c r="A81" s="35"/>
      <c r="B81" s="36" t="s">
        <v>26</v>
      </c>
      <c r="C81" s="37"/>
      <c r="D81" s="37"/>
      <c r="E81" s="37"/>
      <c r="F81" s="37"/>
      <c r="G81" s="37"/>
      <c r="H81" s="37"/>
      <c r="I81" s="37"/>
      <c r="J81" s="37"/>
      <c r="K81" s="38"/>
    </row>
    <row r="82" ht="33" customHeight="1" outlineLevel="1">
      <c r="A82" s="51">
        <v>1</v>
      </c>
      <c r="B82" s="52" t="s">
        <v>123</v>
      </c>
      <c r="C82" s="52" t="s">
        <v>124</v>
      </c>
      <c r="D82" s="52" t="s">
        <v>127</v>
      </c>
      <c r="E82" s="107">
        <v>479000</v>
      </c>
      <c r="F82" s="322" t="s">
        <v>534</v>
      </c>
      <c r="G82" s="52" t="s">
        <v>260</v>
      </c>
      <c r="H82" s="52"/>
      <c r="I82" s="322" t="s">
        <v>535</v>
      </c>
      <c r="J82" s="55" t="s">
        <v>46</v>
      </c>
      <c r="K82" s="56"/>
    </row>
    <row r="83" ht="14.25" customHeight="1" outlineLevel="1">
      <c r="A83" s="39">
        <v>2</v>
      </c>
      <c r="B83" s="40"/>
      <c r="C83" s="40" t="s">
        <v>348</v>
      </c>
      <c r="D83" s="40"/>
      <c r="E83" s="95">
        <v>300000</v>
      </c>
      <c r="F83" s="42"/>
      <c r="G83" s="40"/>
      <c r="H83" s="40"/>
      <c r="I83" s="40"/>
      <c r="J83" s="43" t="s">
        <v>46</v>
      </c>
      <c r="K83" s="44"/>
    </row>
    <row r="84" ht="14.25" customHeight="1" outlineLevel="1">
      <c r="A84" s="39">
        <v>3</v>
      </c>
      <c r="B84" s="40" t="s">
        <v>123</v>
      </c>
      <c r="C84" s="40" t="s">
        <v>536</v>
      </c>
      <c r="D84" s="40" t="s">
        <v>537</v>
      </c>
      <c r="E84" s="95">
        <v>23835.619999999999</v>
      </c>
      <c r="F84" s="323" t="s">
        <v>538</v>
      </c>
      <c r="G84" s="40"/>
      <c r="H84" s="40"/>
      <c r="I84" s="40" t="s">
        <v>539</v>
      </c>
      <c r="J84" s="43" t="s">
        <v>46</v>
      </c>
      <c r="K84" s="44"/>
    </row>
    <row r="85" ht="14.25" customHeight="1" outlineLevel="1">
      <c r="A85" s="45">
        <v>4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</row>
    <row r="86" ht="15" customHeight="1" outlineLevel="1">
      <c r="A86" s="62">
        <v>5</v>
      </c>
      <c r="B86" s="57"/>
      <c r="C86" s="57"/>
      <c r="D86" s="57"/>
      <c r="E86" s="58"/>
      <c r="F86" s="59"/>
      <c r="G86" s="57"/>
      <c r="H86" s="57"/>
      <c r="I86" s="57"/>
      <c r="J86" s="60"/>
      <c r="K86" s="61"/>
    </row>
    <row r="87" ht="23.100000000000001" customHeight="1">
      <c r="A87" s="63" t="s">
        <v>27</v>
      </c>
      <c r="B87" s="64"/>
      <c r="C87" s="64"/>
      <c r="D87" s="64"/>
      <c r="E87" s="65">
        <f>SUM(E16:E86)</f>
        <v>33089813.380000003</v>
      </c>
    </row>
    <row r="88" ht="23.100000000000001" customHeight="1">
      <c r="A88" s="63" t="s">
        <v>28</v>
      </c>
      <c r="B88" s="64"/>
      <c r="C88" s="64"/>
      <c r="D88" s="64"/>
      <c r="E88" s="65">
        <f>E4-E87</f>
        <v>-32869086.170000002</v>
      </c>
      <c r="F88" s="66"/>
    </row>
    <row r="89" ht="30.75" customHeight="1">
      <c r="A89" s="66"/>
      <c r="B89" s="66"/>
      <c r="C89" s="66"/>
      <c r="D89" s="66"/>
      <c r="E89" s="66"/>
      <c r="F89" s="66"/>
    </row>
    <row r="90" ht="30" customHeight="1">
      <c r="A90" s="9" t="s">
        <v>515</v>
      </c>
      <c r="B90" s="10"/>
      <c r="C90" s="10"/>
      <c r="D90" s="11"/>
      <c r="E90" s="170">
        <f>SUM(E91:E91)</f>
        <v>143152.45999999999</v>
      </c>
      <c r="F90" s="136" t="s">
        <v>39</v>
      </c>
      <c r="G90" s="68" t="s">
        <v>30</v>
      </c>
      <c r="H90" s="13"/>
      <c r="I90" s="13"/>
    </row>
    <row r="91" ht="15" customHeight="1">
      <c r="A91" s="69" t="s">
        <v>31</v>
      </c>
      <c r="B91" s="70"/>
      <c r="C91" s="70"/>
      <c r="D91" s="71"/>
      <c r="E91" s="72">
        <v>143152.45999999999</v>
      </c>
      <c r="F91" s="238" t="s">
        <v>540</v>
      </c>
      <c r="G91" s="13"/>
      <c r="H91" s="13"/>
      <c r="I91" s="13"/>
    </row>
    <row r="92" ht="4.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25.5" customHeight="1" outlineLevel="1">
      <c r="A93" s="31" t="s">
        <v>10</v>
      </c>
      <c r="B93" s="31" t="s">
        <v>11</v>
      </c>
      <c r="C93" s="31" t="s">
        <v>12</v>
      </c>
      <c r="D93" s="31" t="s">
        <v>13</v>
      </c>
      <c r="E93" s="32" t="s">
        <v>14</v>
      </c>
      <c r="F93" s="31" t="s">
        <v>15</v>
      </c>
      <c r="G93" s="31" t="s">
        <v>16</v>
      </c>
      <c r="H93" s="33" t="s">
        <v>17</v>
      </c>
      <c r="I93" s="31" t="s">
        <v>18</v>
      </c>
      <c r="J93" s="31" t="s">
        <v>19</v>
      </c>
      <c r="K93" s="31" t="s">
        <v>32</v>
      </c>
    </row>
    <row r="94" s="34" customFormat="1" ht="25.5" customHeight="1" outlineLevel="1">
      <c r="A94" s="35"/>
      <c r="B94" s="37" t="s">
        <v>33</v>
      </c>
      <c r="C94" s="37"/>
      <c r="D94" s="37"/>
      <c r="E94" s="37"/>
      <c r="F94" s="37"/>
      <c r="G94" s="37"/>
      <c r="H94" s="37"/>
      <c r="I94" s="37"/>
      <c r="J94" s="37"/>
      <c r="K94" s="38"/>
    </row>
    <row r="95" ht="14.25" customHeight="1" outlineLevel="1">
      <c r="A95" s="39">
        <v>1</v>
      </c>
      <c r="B95" s="52"/>
      <c r="C95" s="52"/>
      <c r="D95" s="52"/>
      <c r="E95" s="53"/>
      <c r="F95" s="54"/>
      <c r="G95" s="52"/>
      <c r="H95" s="52"/>
      <c r="I95" s="52"/>
      <c r="J95" s="55"/>
      <c r="K95" s="56"/>
    </row>
    <row r="96" ht="14.25" customHeight="1" outlineLevel="1">
      <c r="A96" s="39">
        <v>2</v>
      </c>
      <c r="B96" s="46"/>
      <c r="C96" s="46"/>
      <c r="D96" s="46"/>
      <c r="E96" s="47"/>
      <c r="F96" s="48"/>
      <c r="G96" s="46"/>
      <c r="H96" s="46"/>
      <c r="I96" s="46"/>
      <c r="J96" s="49"/>
      <c r="K96" s="50"/>
    </row>
    <row r="97" ht="14.25" customHeight="1" outlineLevel="1">
      <c r="A97" s="39">
        <v>3</v>
      </c>
      <c r="B97" s="46"/>
      <c r="C97" s="46" t="s">
        <v>221</v>
      </c>
      <c r="D97" s="46"/>
      <c r="E97" s="98">
        <v>106000</v>
      </c>
      <c r="F97" s="48"/>
      <c r="G97" s="46"/>
      <c r="H97" s="46"/>
      <c r="I97" s="46" t="s">
        <v>399</v>
      </c>
      <c r="J97" s="49" t="s">
        <v>46</v>
      </c>
      <c r="K97" s="50"/>
    </row>
    <row r="98" ht="14.25" customHeight="1" outlineLevel="1">
      <c r="A98" s="39">
        <v>4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5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6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7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8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9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10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11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12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13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14</v>
      </c>
      <c r="B108" s="46"/>
      <c r="C108" s="46"/>
      <c r="D108" s="46"/>
      <c r="E108" s="47">
        <v>100000</v>
      </c>
      <c r="F108" s="48"/>
      <c r="G108" s="46"/>
      <c r="H108" s="46"/>
      <c r="I108" s="46"/>
      <c r="J108" s="49"/>
      <c r="K108" s="50"/>
    </row>
    <row r="109" ht="14.25" customHeight="1" outlineLevel="1">
      <c r="A109" s="39">
        <v>15</v>
      </c>
      <c r="B109" s="57"/>
      <c r="C109" s="57"/>
      <c r="D109" s="57"/>
      <c r="E109" s="58"/>
      <c r="F109" s="59"/>
      <c r="G109" s="57"/>
      <c r="H109" s="57"/>
      <c r="I109" s="57"/>
      <c r="J109" s="60"/>
      <c r="K109" s="61"/>
    </row>
    <row r="110" s="34" customFormat="1" ht="25.5" customHeight="1" outlineLevel="1">
      <c r="A110" s="35"/>
      <c r="B110" s="37" t="s">
        <v>25</v>
      </c>
      <c r="C110" s="37"/>
      <c r="D110" s="37"/>
      <c r="E110" s="37"/>
      <c r="F110" s="37"/>
      <c r="G110" s="37"/>
      <c r="H110" s="37"/>
      <c r="I110" s="37"/>
      <c r="J110" s="37"/>
      <c r="K110" s="38"/>
    </row>
    <row r="111" ht="14.25" customHeight="1" outlineLevel="1">
      <c r="A111" s="127">
        <v>1</v>
      </c>
      <c r="B111" s="198" t="s">
        <v>223</v>
      </c>
      <c r="C111" s="199" t="s">
        <v>241</v>
      </c>
      <c r="D111" s="200" t="s">
        <v>239</v>
      </c>
      <c r="E111" s="201">
        <v>193799.57999999999</v>
      </c>
      <c r="F111" s="54" t="s">
        <v>242</v>
      </c>
      <c r="G111" s="52" t="s">
        <v>260</v>
      </c>
      <c r="H111" s="52"/>
      <c r="I111" s="52"/>
      <c r="J111" s="55" t="s">
        <v>46</v>
      </c>
      <c r="K111" s="56"/>
    </row>
    <row r="112" ht="14.25" customHeight="1" outlineLevel="1">
      <c r="A112" s="45">
        <v>2</v>
      </c>
      <c r="B112" s="40"/>
      <c r="C112" s="40"/>
      <c r="D112" s="40"/>
      <c r="E112" s="47"/>
      <c r="F112" s="48"/>
      <c r="G112" s="46"/>
      <c r="H112" s="46"/>
      <c r="I112" s="46"/>
      <c r="J112" s="49"/>
      <c r="K112" s="50"/>
    </row>
    <row r="113" ht="14.25" customHeight="1" outlineLevel="1">
      <c r="A113" s="45">
        <v>3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4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5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6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7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8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9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10</v>
      </c>
      <c r="B120" s="57"/>
      <c r="C120" s="57"/>
      <c r="D120" s="57"/>
      <c r="E120" s="58"/>
      <c r="F120" s="59"/>
      <c r="G120" s="57"/>
      <c r="H120" s="57"/>
      <c r="I120" s="57"/>
      <c r="J120" s="60"/>
      <c r="K120" s="61"/>
    </row>
    <row r="121" ht="23.100000000000001" customHeight="1">
      <c r="A121" s="63" t="s">
        <v>34</v>
      </c>
      <c r="B121" s="64"/>
      <c r="C121" s="64"/>
      <c r="D121" s="73"/>
      <c r="E121" s="65">
        <f>SUM(E94:E120)</f>
        <v>399799.57999999996</v>
      </c>
    </row>
    <row r="122" ht="23.100000000000001" customHeight="1">
      <c r="A122" s="63" t="s">
        <v>28</v>
      </c>
      <c r="B122" s="64"/>
      <c r="C122" s="64"/>
      <c r="D122" s="73"/>
      <c r="E122" s="65">
        <f>E90-E121</f>
        <v>-256647.11999999997</v>
      </c>
      <c r="F122" s="66"/>
    </row>
    <row r="123" ht="24.75" customHeight="1">
      <c r="E123" s="1"/>
    </row>
    <row r="124" ht="30" customHeight="1">
      <c r="A124" s="74" t="s">
        <v>35</v>
      </c>
      <c r="B124" s="75"/>
      <c r="C124" s="75"/>
      <c r="D124" s="76"/>
      <c r="E124" s="77">
        <f>SUM(E125:E125)</f>
        <v>199307</v>
      </c>
      <c r="F124" s="13"/>
      <c r="G124" s="13"/>
      <c r="H124" s="13"/>
      <c r="I124" s="13"/>
    </row>
    <row r="125" ht="15" customHeight="1">
      <c r="A125" s="69" t="s">
        <v>36</v>
      </c>
      <c r="B125" s="70"/>
      <c r="C125" s="70"/>
      <c r="D125" s="71"/>
      <c r="E125" s="72">
        <v>199307</v>
      </c>
      <c r="F125" s="13"/>
      <c r="G125" s="13"/>
      <c r="H125" s="13"/>
      <c r="I125" s="13"/>
    </row>
    <row r="126" ht="5.2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25.5" customHeight="1" outlineLevel="1">
      <c r="A127" s="31" t="s">
        <v>10</v>
      </c>
      <c r="B127" s="31" t="s">
        <v>11</v>
      </c>
      <c r="C127" s="31" t="s">
        <v>12</v>
      </c>
      <c r="D127" s="31" t="s">
        <v>13</v>
      </c>
      <c r="E127" s="32" t="s">
        <v>14</v>
      </c>
      <c r="F127" s="31" t="s">
        <v>15</v>
      </c>
      <c r="G127" s="31" t="s">
        <v>16</v>
      </c>
      <c r="H127" s="33" t="s">
        <v>17</v>
      </c>
      <c r="I127" s="31" t="s">
        <v>18</v>
      </c>
      <c r="J127" s="31" t="s">
        <v>19</v>
      </c>
      <c r="K127" s="31" t="s">
        <v>32</v>
      </c>
    </row>
    <row r="128" s="34" customFormat="1" ht="18.75" customHeight="1" outlineLevel="1">
      <c r="A128" s="78"/>
      <c r="B128" s="79" t="s">
        <v>37</v>
      </c>
      <c r="C128" s="80"/>
      <c r="D128" s="81"/>
      <c r="E128" s="82"/>
      <c r="F128" s="79"/>
      <c r="G128" s="79"/>
      <c r="H128" s="79"/>
      <c r="I128" s="79"/>
      <c r="J128" s="79"/>
      <c r="K128" s="83"/>
    </row>
    <row r="129" ht="14.25" customHeight="1" outlineLevel="1">
      <c r="A129" s="51">
        <v>1</v>
      </c>
      <c r="B129" s="52"/>
      <c r="C129" s="52"/>
      <c r="D129" s="52"/>
      <c r="E129" s="53"/>
      <c r="F129" s="54"/>
      <c r="G129" s="52"/>
      <c r="H129" s="52"/>
      <c r="I129" s="52"/>
      <c r="J129" s="55"/>
      <c r="K129" s="56"/>
    </row>
    <row r="130" ht="14.25" customHeight="1" outlineLevel="1">
      <c r="A130" s="45">
        <v>2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3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4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5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6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7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8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9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10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11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12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13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14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62">
        <v>15</v>
      </c>
      <c r="B143" s="57"/>
      <c r="C143" s="57"/>
      <c r="D143" s="57"/>
      <c r="E143" s="58"/>
      <c r="F143" s="59"/>
      <c r="G143" s="57"/>
      <c r="H143" s="57"/>
      <c r="I143" s="57"/>
      <c r="J143" s="60"/>
      <c r="K143" s="61"/>
    </row>
    <row r="144" ht="23.100000000000001" customHeight="1">
      <c r="A144" s="84" t="s">
        <v>38</v>
      </c>
      <c r="B144" s="85"/>
      <c r="C144" s="85"/>
      <c r="D144" s="86"/>
      <c r="E144" s="87">
        <f>SUM(E128:E143)</f>
        <v>0</v>
      </c>
    </row>
    <row r="145" ht="23.100000000000001" customHeight="1">
      <c r="A145" s="84" t="s">
        <v>28</v>
      </c>
      <c r="B145" s="85"/>
      <c r="C145" s="85"/>
      <c r="D145" s="86"/>
      <c r="E145" s="87">
        <f>E124-E144</f>
        <v>199307</v>
      </c>
      <c r="F145" s="66"/>
    </row>
    <row r="146" ht="14.25">
      <c r="E146" s="1"/>
    </row>
    <row r="147" ht="14.25">
      <c r="E147" s="1"/>
    </row>
    <row r="203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7:D87"/>
    <mergeCell ref="A88:D88"/>
    <mergeCell ref="A90:D90"/>
    <mergeCell ref="A91:D91"/>
    <mergeCell ref="A121:D121"/>
    <mergeCell ref="A122:D122"/>
    <mergeCell ref="A124:D124"/>
    <mergeCell ref="A125:D125"/>
    <mergeCell ref="A144:D144"/>
    <mergeCell ref="A145:D14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F0059-008C-42F6-AB00-00D400230047}" type="list" allowBlank="1" errorStyle="stop" imeMode="noControl" operator="between" showDropDown="0" showErrorMessage="1" showInputMessage="1">
          <x14:formula1>
            <xm:f>ДаНет</xm:f>
          </x14:formula1>
          <xm:sqref>H66:H80 H50:H64 H129:H143 H82:H86 H95:H96 H98:H109 H111:H120 H17:H32 H34:H48</xm:sqref>
        </x14:dataValidation>
        <x14:dataValidation xr:uid="{00630050-0077-4234-BF10-00FE00FE0006}" type="list" allowBlank="1" errorStyle="stop" imeMode="noControl" operator="between" showDropDown="0" showErrorMessage="1" showInputMessage="1">
          <x14:formula1>
            <xm:f>ДаНет</xm:f>
          </x14:formula1>
          <xm:sqref>H97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0">
    <tabColor theme="4" tint="-0.499984740745262"/>
    <outlinePr applyStyles="0" summaryBelow="1" summaryRight="1" showOutlineSymbols="1"/>
    <pageSetUpPr autoPageBreaks="1" fitToPage="0"/>
  </sheetPr>
  <sheetViews>
    <sheetView showGridLines="0" showRuler="1" topLeftCell="A1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7.57421875"/>
    <col customWidth="1" min="5" max="5" style="1" width="26"/>
    <col customWidth="1" min="6" max="6" style="1" width="62.574218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'19'!C2+1</f>
        <v>46101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4803275.1500000004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3829391.9199999999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9703.8600000000006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874099.15000000002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96">
        <v>2</v>
      </c>
      <c r="B17" s="273" t="s">
        <v>541</v>
      </c>
      <c r="C17" s="94" t="s">
        <v>542</v>
      </c>
      <c r="D17" s="94" t="s">
        <v>543</v>
      </c>
      <c r="E17" s="98">
        <v>900</v>
      </c>
      <c r="F17" s="156" t="s">
        <v>544</v>
      </c>
      <c r="G17" s="46"/>
      <c r="H17" s="46" t="s">
        <v>45</v>
      </c>
      <c r="I17" s="46"/>
      <c r="J17" s="49" t="s">
        <v>46</v>
      </c>
      <c r="K17" s="50"/>
    </row>
    <row r="18" ht="14.25" customHeight="1" outlineLevel="1">
      <c r="A18" s="45">
        <v>3</v>
      </c>
      <c r="B18" s="46"/>
      <c r="C18" s="46"/>
      <c r="D18" s="46"/>
      <c r="E18" s="157"/>
      <c r="F18" s="48"/>
      <c r="G18" s="46"/>
      <c r="H18" s="46"/>
      <c r="I18" s="46"/>
      <c r="J18" s="49"/>
      <c r="K18" s="50"/>
    </row>
    <row r="19" ht="14.25" customHeight="1" outlineLevel="1">
      <c r="A19" s="96">
        <v>4</v>
      </c>
      <c r="B19" s="190" t="s">
        <v>47</v>
      </c>
      <c r="C19" s="99" t="s">
        <v>57</v>
      </c>
      <c r="D19" s="186" t="s">
        <v>58</v>
      </c>
      <c r="E19" s="298">
        <v>5000000</v>
      </c>
      <c r="F19" s="141" t="s">
        <v>44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96">
        <v>5</v>
      </c>
      <c r="B20" s="48" t="s">
        <v>41</v>
      </c>
      <c r="C20" s="48" t="s">
        <v>48</v>
      </c>
      <c r="D20" s="48" t="s">
        <v>49</v>
      </c>
      <c r="E20" s="324">
        <v>1699405</v>
      </c>
      <c r="F20" s="156" t="s">
        <v>545</v>
      </c>
      <c r="G20" s="46"/>
      <c r="I20" s="46"/>
      <c r="J20" s="49" t="s">
        <v>46</v>
      </c>
      <c r="K20" s="50"/>
    </row>
    <row r="21" ht="14.25" customHeight="1" outlineLevel="1">
      <c r="A21" s="45">
        <v>6</v>
      </c>
      <c r="B21" s="46" t="s">
        <v>41</v>
      </c>
      <c r="C21" s="46" t="s">
        <v>48</v>
      </c>
      <c r="D21" s="46" t="s">
        <v>49</v>
      </c>
      <c r="E21" s="100">
        <v>1485205</v>
      </c>
      <c r="F21" s="156" t="s">
        <v>546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96">
        <v>7</v>
      </c>
      <c r="B22" s="97" t="s">
        <v>47</v>
      </c>
      <c r="C22" s="46" t="s">
        <v>408</v>
      </c>
      <c r="D22" s="46" t="s">
        <v>409</v>
      </c>
      <c r="E22" s="301">
        <v>500000</v>
      </c>
      <c r="F22" s="48" t="s">
        <v>44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96">
        <v>8</v>
      </c>
      <c r="B23" s="97" t="s">
        <v>47</v>
      </c>
      <c r="C23" s="46" t="s">
        <v>408</v>
      </c>
      <c r="D23" s="46" t="s">
        <v>409</v>
      </c>
      <c r="E23" s="302">
        <v>1000000</v>
      </c>
      <c r="F23" s="48" t="s">
        <v>44</v>
      </c>
      <c r="G23" s="46"/>
      <c r="H23" s="46" t="s">
        <v>45</v>
      </c>
      <c r="I23" s="46"/>
      <c r="J23" s="49"/>
      <c r="K23" s="50"/>
    </row>
    <row r="24" ht="14.25" customHeight="1" outlineLevel="1">
      <c r="A24" s="45">
        <v>9</v>
      </c>
      <c r="B24" s="97" t="s">
        <v>47</v>
      </c>
      <c r="C24" s="46" t="s">
        <v>249</v>
      </c>
      <c r="D24" s="46" t="s">
        <v>250</v>
      </c>
      <c r="E24" s="301">
        <v>1002000</v>
      </c>
      <c r="F24" s="48" t="s">
        <v>44</v>
      </c>
      <c r="G24" s="46"/>
      <c r="H24" s="46" t="s">
        <v>45</v>
      </c>
      <c r="I24" s="46"/>
      <c r="J24" s="49" t="s">
        <v>46</v>
      </c>
      <c r="K24" s="50"/>
    </row>
    <row r="25" ht="14.25" customHeight="1" outlineLevel="1">
      <c r="A25" s="96">
        <v>10</v>
      </c>
      <c r="B25" s="318"/>
      <c r="C25" s="46"/>
      <c r="D25" s="46"/>
      <c r="E25" s="319"/>
      <c r="F25" s="48"/>
      <c r="G25" s="46"/>
      <c r="H25" s="46"/>
      <c r="I25" s="46"/>
      <c r="J25" s="49"/>
      <c r="K25" s="50"/>
    </row>
    <row r="26" ht="14.25" customHeight="1" outlineLevel="1">
      <c r="A26" s="96">
        <v>11</v>
      </c>
      <c r="B26" s="273" t="s">
        <v>41</v>
      </c>
      <c r="C26" s="94" t="s">
        <v>42</v>
      </c>
      <c r="D26" s="94" t="s">
        <v>43</v>
      </c>
      <c r="E26" s="301">
        <v>5000000</v>
      </c>
      <c r="F26" s="156" t="s">
        <v>44</v>
      </c>
      <c r="G26" s="46"/>
      <c r="H26" s="46" t="s">
        <v>45</v>
      </c>
      <c r="I26" s="46"/>
      <c r="J26" s="49" t="s">
        <v>46</v>
      </c>
      <c r="K26" s="50"/>
    </row>
    <row r="27" ht="14.25" customHeight="1" outlineLevel="1">
      <c r="A27" s="45">
        <v>12</v>
      </c>
      <c r="B27" s="46" t="s">
        <v>152</v>
      </c>
      <c r="C27" s="46" t="s">
        <v>154</v>
      </c>
      <c r="D27" s="283">
        <v>202057</v>
      </c>
      <c r="E27" s="301">
        <v>5000000</v>
      </c>
      <c r="F27" s="48"/>
      <c r="G27" s="46"/>
      <c r="H27" s="46"/>
      <c r="I27" s="46"/>
      <c r="J27" s="49" t="s">
        <v>46</v>
      </c>
      <c r="K27" s="50"/>
    </row>
    <row r="28" ht="14.25" customHeight="1" outlineLevel="1">
      <c r="A28" s="96">
        <v>13</v>
      </c>
      <c r="B28" s="46" t="s">
        <v>152</v>
      </c>
      <c r="C28" s="46" t="s">
        <v>153</v>
      </c>
      <c r="D28" s="284">
        <v>2022</v>
      </c>
      <c r="E28" s="325"/>
      <c r="F28" s="48"/>
      <c r="G28" s="46"/>
      <c r="H28" s="46"/>
      <c r="I28" s="46"/>
      <c r="J28" s="49"/>
      <c r="K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28.5" customHeight="1" outlineLevel="1">
      <c r="A30" s="96">
        <v>15</v>
      </c>
      <c r="B30" s="97" t="s">
        <v>47</v>
      </c>
      <c r="C30" s="160" t="s">
        <v>547</v>
      </c>
      <c r="D30" s="97" t="s">
        <v>548</v>
      </c>
      <c r="E30" s="98">
        <v>1004400</v>
      </c>
      <c r="F30" s="156" t="s">
        <v>44</v>
      </c>
      <c r="G30" s="46"/>
      <c r="H30" s="46" t="s">
        <v>45</v>
      </c>
      <c r="I30" s="46"/>
      <c r="J30" s="49" t="s">
        <v>46</v>
      </c>
      <c r="K30" s="50"/>
    </row>
    <row r="31" ht="14.25" customHeight="1" outlineLevel="1">
      <c r="A31" s="96">
        <v>16</v>
      </c>
      <c r="B31" s="97" t="s">
        <v>47</v>
      </c>
      <c r="C31" s="46" t="s">
        <v>549</v>
      </c>
      <c r="D31" s="46" t="s">
        <v>550</v>
      </c>
      <c r="E31" s="98">
        <v>500000</v>
      </c>
      <c r="F31" s="156" t="s">
        <v>44</v>
      </c>
      <c r="G31" s="46"/>
      <c r="H31" s="46" t="s">
        <v>45</v>
      </c>
      <c r="I31" s="46"/>
      <c r="J31" s="49" t="s">
        <v>46</v>
      </c>
      <c r="K31" s="50"/>
    </row>
    <row r="32" ht="14.25" customHeight="1" outlineLevel="1">
      <c r="A32" s="45">
        <v>17</v>
      </c>
      <c r="B32" s="156" t="s">
        <v>41</v>
      </c>
      <c r="C32" s="156" t="s">
        <v>48</v>
      </c>
      <c r="D32" s="156" t="s">
        <v>49</v>
      </c>
      <c r="E32" s="172">
        <v>1739780</v>
      </c>
      <c r="F32" s="156" t="s">
        <v>551</v>
      </c>
      <c r="G32" s="46"/>
      <c r="H32" s="46"/>
      <c r="I32" s="46"/>
      <c r="J32" s="49" t="s">
        <v>46</v>
      </c>
      <c r="K32" s="50"/>
    </row>
    <row r="33" ht="14.25" customHeight="1" outlineLevel="1">
      <c r="A33" s="96">
        <v>18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s="34" customFormat="1" ht="25.5" customHeight="1" outlineLevel="1">
      <c r="A34" s="35"/>
      <c r="B34" s="37" t="s">
        <v>23</v>
      </c>
      <c r="C34" s="37"/>
      <c r="D34" s="37"/>
      <c r="E34" s="37"/>
      <c r="F34" s="37"/>
      <c r="G34" s="37"/>
      <c r="H34" s="37"/>
      <c r="I34" s="37"/>
      <c r="J34" s="37"/>
      <c r="K34" s="38"/>
    </row>
    <row r="35" ht="14.25" customHeight="1" outlineLevel="1">
      <c r="A35" s="39">
        <v>1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2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3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4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5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6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7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8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39">
        <v>9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10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11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12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s="34" customFormat="1" ht="25.5" customHeight="1" outlineLevel="1">
      <c r="A50" s="35"/>
      <c r="B50" s="37" t="s">
        <v>24</v>
      </c>
      <c r="C50" s="37"/>
      <c r="D50" s="37"/>
      <c r="E50" s="37"/>
      <c r="F50" s="37"/>
      <c r="G50" s="37"/>
      <c r="H50" s="37"/>
      <c r="I50" s="37"/>
      <c r="J50" s="37"/>
      <c r="K50" s="38"/>
    </row>
    <row r="51" ht="14.25" customHeight="1" outlineLevel="1">
      <c r="A51" s="51">
        <v>1</v>
      </c>
      <c r="B51" s="52"/>
      <c r="C51" s="52"/>
      <c r="D51" s="52"/>
      <c r="E51" s="53"/>
      <c r="F51" s="54"/>
      <c r="G51" s="52"/>
      <c r="H51" s="52"/>
      <c r="I51" s="52"/>
      <c r="J51" s="55"/>
      <c r="K51" s="56"/>
    </row>
    <row r="52" ht="14.25" customHeight="1" outlineLevel="1">
      <c r="A52" s="45">
        <v>2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3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4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5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6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7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8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9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10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11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12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13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14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15</v>
      </c>
      <c r="B65" s="57"/>
      <c r="C65" s="57"/>
      <c r="D65" s="57"/>
      <c r="E65" s="58"/>
      <c r="F65" s="59"/>
      <c r="G65" s="57"/>
      <c r="H65" s="57"/>
      <c r="I65" s="57"/>
      <c r="J65" s="60"/>
      <c r="K65" s="61"/>
    </row>
    <row r="66" s="34" customFormat="1" ht="25.5" customHeight="1" outlineLevel="1">
      <c r="A66" s="35"/>
      <c r="B66" s="36" t="s">
        <v>25</v>
      </c>
      <c r="C66" s="37"/>
      <c r="D66" s="37"/>
      <c r="E66" s="37"/>
      <c r="F66" s="37"/>
      <c r="G66" s="37"/>
      <c r="H66" s="37"/>
      <c r="I66" s="37"/>
      <c r="J66" s="37"/>
      <c r="K66" s="38"/>
    </row>
    <row r="67" ht="34.5" customHeight="1" outlineLevel="1">
      <c r="A67" s="45">
        <v>1</v>
      </c>
      <c r="B67" s="326"/>
      <c r="C67" s="327"/>
      <c r="D67" s="327"/>
      <c r="E67" s="328"/>
      <c r="F67" s="327"/>
      <c r="G67" s="246"/>
      <c r="H67" s="246"/>
      <c r="I67" s="246"/>
      <c r="J67" s="55"/>
      <c r="K67" s="56"/>
    </row>
    <row r="68" ht="14.25" customHeight="1" outlineLevel="1">
      <c r="A68" s="45">
        <v>2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3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4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5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6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7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8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9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10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11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12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13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14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15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s="34" customFormat="1" ht="25.5" customHeight="1" outlineLevel="1">
      <c r="A82" s="35"/>
      <c r="B82" s="36" t="s">
        <v>26</v>
      </c>
      <c r="C82" s="37"/>
      <c r="D82" s="37"/>
      <c r="E82" s="37"/>
      <c r="F82" s="37"/>
      <c r="G82" s="37"/>
      <c r="H82" s="37"/>
      <c r="I82" s="37"/>
      <c r="J82" s="37"/>
      <c r="K82" s="38"/>
    </row>
    <row r="83" ht="14.25" customHeight="1" outlineLevel="1">
      <c r="A83" s="51">
        <v>1</v>
      </c>
      <c r="B83" s="52"/>
      <c r="C83" s="52"/>
      <c r="D83" s="52"/>
      <c r="E83" s="53"/>
      <c r="F83" s="54"/>
      <c r="G83" s="52"/>
      <c r="H83" s="52"/>
      <c r="I83" s="52"/>
      <c r="J83" s="55"/>
      <c r="K83" s="56"/>
    </row>
    <row r="84" ht="14.25" customHeight="1" outlineLevel="1">
      <c r="A84" s="39">
        <v>2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39">
        <v>3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45">
        <v>4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5" customHeight="1" outlineLevel="1">
      <c r="A87" s="62">
        <v>5</v>
      </c>
      <c r="B87" s="57"/>
      <c r="C87" s="57"/>
      <c r="D87" s="57"/>
      <c r="E87" s="58"/>
      <c r="F87" s="59"/>
      <c r="G87" s="57"/>
      <c r="H87" s="57"/>
      <c r="I87" s="57"/>
      <c r="J87" s="60"/>
      <c r="K87" s="61"/>
    </row>
    <row r="88" ht="23.100000000000001" customHeight="1">
      <c r="A88" s="63" t="s">
        <v>27</v>
      </c>
      <c r="B88" s="64"/>
      <c r="C88" s="64"/>
      <c r="D88" s="64"/>
      <c r="E88" s="65">
        <f>SUM(E16:E87)</f>
        <v>23931690</v>
      </c>
    </row>
    <row r="89" ht="23.100000000000001" customHeight="1">
      <c r="A89" s="63" t="s">
        <v>28</v>
      </c>
      <c r="B89" s="64"/>
      <c r="C89" s="64"/>
      <c r="D89" s="64"/>
      <c r="E89" s="65">
        <f>E4-E88</f>
        <v>-19128414.850000001</v>
      </c>
      <c r="F89" s="66"/>
    </row>
    <row r="90" ht="30.75" customHeight="1">
      <c r="A90" s="66"/>
      <c r="B90" s="66"/>
      <c r="C90" s="66"/>
      <c r="D90" s="66"/>
      <c r="E90" s="66"/>
      <c r="F90" s="66"/>
    </row>
    <row r="91" ht="30" customHeight="1">
      <c r="A91" s="9" t="s">
        <v>515</v>
      </c>
      <c r="B91" s="10"/>
      <c r="C91" s="10"/>
      <c r="D91" s="11"/>
      <c r="E91" s="170">
        <f>SUM(E92:E92)</f>
        <v>180777.88</v>
      </c>
      <c r="F91" s="136" t="s">
        <v>39</v>
      </c>
      <c r="G91" s="68" t="s">
        <v>30</v>
      </c>
      <c r="H91" s="13"/>
      <c r="I91" s="13"/>
    </row>
    <row r="92" ht="15" customHeight="1">
      <c r="A92" s="69" t="s">
        <v>31</v>
      </c>
      <c r="B92" s="70"/>
      <c r="C92" s="70"/>
      <c r="D92" s="71"/>
      <c r="E92" s="72">
        <v>180777.88</v>
      </c>
      <c r="F92" s="13"/>
      <c r="G92" s="13"/>
      <c r="H92" s="13"/>
      <c r="I92" s="13"/>
    </row>
    <row r="93" ht="4.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25.5" customHeight="1" outlineLevel="1">
      <c r="A94" s="31" t="s">
        <v>10</v>
      </c>
      <c r="B94" s="31" t="s">
        <v>11</v>
      </c>
      <c r="C94" s="31" t="s">
        <v>12</v>
      </c>
      <c r="D94" s="31" t="s">
        <v>13</v>
      </c>
      <c r="E94" s="32" t="s">
        <v>14</v>
      </c>
      <c r="F94" s="31" t="s">
        <v>15</v>
      </c>
      <c r="G94" s="31" t="s">
        <v>16</v>
      </c>
      <c r="H94" s="33" t="s">
        <v>17</v>
      </c>
      <c r="I94" s="31" t="s">
        <v>18</v>
      </c>
      <c r="J94" s="31" t="s">
        <v>19</v>
      </c>
      <c r="K94" s="31" t="s">
        <v>32</v>
      </c>
    </row>
    <row r="95" s="34" customFormat="1" ht="25.5" customHeight="1" outlineLevel="1">
      <c r="A95" s="35"/>
      <c r="B95" s="37" t="s">
        <v>33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14.25" customHeight="1" outlineLevel="1">
      <c r="A96" s="39">
        <v>1</v>
      </c>
      <c r="B96" s="52"/>
      <c r="C96" s="52"/>
      <c r="D96" s="52"/>
      <c r="E96" s="53"/>
      <c r="F96" s="54"/>
      <c r="G96" s="52"/>
      <c r="H96" s="52"/>
      <c r="I96" s="52"/>
      <c r="J96" s="55"/>
      <c r="K96" s="56"/>
    </row>
    <row r="97" ht="14.25" customHeight="1" outlineLevel="1">
      <c r="A97" s="39">
        <v>2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3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4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5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6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7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8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9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10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11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12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13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14</v>
      </c>
      <c r="B109" s="46"/>
      <c r="C109" s="46"/>
      <c r="D109" s="46"/>
      <c r="E109" s="47">
        <v>100000</v>
      </c>
      <c r="F109" s="48"/>
      <c r="G109" s="46"/>
      <c r="H109" s="46"/>
      <c r="I109" s="46"/>
      <c r="J109" s="49"/>
      <c r="K109" s="50"/>
    </row>
    <row r="110" ht="14.25" customHeight="1" outlineLevel="1">
      <c r="A110" s="39">
        <v>15</v>
      </c>
      <c r="B110" s="57"/>
      <c r="C110" s="57"/>
      <c r="D110" s="57"/>
      <c r="E110" s="58"/>
      <c r="F110" s="59"/>
      <c r="G110" s="57"/>
      <c r="H110" s="57"/>
      <c r="I110" s="57"/>
      <c r="J110" s="60"/>
      <c r="K110" s="61"/>
    </row>
    <row r="111" s="34" customFormat="1" ht="25.5" customHeight="1" outlineLevel="1">
      <c r="A111" s="35"/>
      <c r="B111" s="37" t="s">
        <v>25</v>
      </c>
      <c r="C111" s="37"/>
      <c r="D111" s="37"/>
      <c r="E111" s="37"/>
      <c r="F111" s="37"/>
      <c r="G111" s="37"/>
      <c r="H111" s="37"/>
      <c r="I111" s="37"/>
      <c r="J111" s="37"/>
      <c r="K111" s="38"/>
    </row>
    <row r="112" ht="14.25" customHeight="1" outlineLevel="1">
      <c r="A112" s="51">
        <v>1</v>
      </c>
      <c r="B112" s="52"/>
      <c r="C112" s="52"/>
      <c r="D112" s="52"/>
      <c r="E112" s="53"/>
      <c r="F112" s="54"/>
      <c r="G112" s="52"/>
      <c r="H112" s="52"/>
      <c r="I112" s="52"/>
      <c r="J112" s="55"/>
      <c r="K112" s="56"/>
    </row>
    <row r="113" ht="14.25" customHeight="1" outlineLevel="1">
      <c r="A113" s="45">
        <v>2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3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4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5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6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7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8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9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10</v>
      </c>
      <c r="B121" s="57"/>
      <c r="C121" s="57"/>
      <c r="D121" s="57"/>
      <c r="E121" s="58"/>
      <c r="F121" s="59"/>
      <c r="G121" s="57"/>
      <c r="H121" s="57"/>
      <c r="I121" s="57"/>
      <c r="J121" s="60"/>
      <c r="K121" s="61"/>
    </row>
    <row r="122" ht="23.100000000000001" customHeight="1">
      <c r="A122" s="63" t="s">
        <v>34</v>
      </c>
      <c r="B122" s="64"/>
      <c r="C122" s="64"/>
      <c r="D122" s="73"/>
      <c r="E122" s="65">
        <f>SUM(E95:E121)</f>
        <v>100000</v>
      </c>
    </row>
    <row r="123" ht="23.100000000000001" customHeight="1">
      <c r="A123" s="63" t="s">
        <v>28</v>
      </c>
      <c r="B123" s="64"/>
      <c r="C123" s="64"/>
      <c r="D123" s="73"/>
      <c r="E123" s="65">
        <f>E91-E122</f>
        <v>80777.880000000005</v>
      </c>
      <c r="F123" s="66"/>
    </row>
    <row r="124" ht="24.75" customHeight="1">
      <c r="E124" s="1"/>
    </row>
    <row r="125" ht="30" customHeight="1">
      <c r="A125" s="74" t="s">
        <v>35</v>
      </c>
      <c r="B125" s="75"/>
      <c r="C125" s="75"/>
      <c r="D125" s="76"/>
      <c r="E125" s="77">
        <f>SUM(E126:E126)</f>
        <v>199307</v>
      </c>
      <c r="F125" s="13"/>
      <c r="G125" s="13"/>
      <c r="H125" s="13"/>
      <c r="I125" s="13"/>
    </row>
    <row r="126" ht="15" customHeight="1">
      <c r="A126" s="69" t="s">
        <v>36</v>
      </c>
      <c r="B126" s="70"/>
      <c r="C126" s="70"/>
      <c r="D126" s="71"/>
      <c r="E126" s="72">
        <v>199307</v>
      </c>
      <c r="F126" s="13"/>
      <c r="G126" s="13"/>
      <c r="H126" s="13"/>
      <c r="I126" s="13"/>
    </row>
    <row r="127" ht="5.2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25.5" customHeight="1" outlineLevel="1">
      <c r="A128" s="31" t="s">
        <v>10</v>
      </c>
      <c r="B128" s="31" t="s">
        <v>11</v>
      </c>
      <c r="C128" s="31" t="s">
        <v>12</v>
      </c>
      <c r="D128" s="31" t="s">
        <v>13</v>
      </c>
      <c r="E128" s="32" t="s">
        <v>14</v>
      </c>
      <c r="F128" s="31" t="s">
        <v>15</v>
      </c>
      <c r="G128" s="31" t="s">
        <v>16</v>
      </c>
      <c r="H128" s="33" t="s">
        <v>17</v>
      </c>
      <c r="I128" s="31" t="s">
        <v>18</v>
      </c>
      <c r="J128" s="31" t="s">
        <v>19</v>
      </c>
      <c r="K128" s="31" t="s">
        <v>32</v>
      </c>
    </row>
    <row r="129" s="34" customFormat="1" ht="18.75" customHeight="1" outlineLevel="1">
      <c r="A129" s="78"/>
      <c r="B129" s="79" t="s">
        <v>37</v>
      </c>
      <c r="C129" s="80"/>
      <c r="D129" s="81"/>
      <c r="E129" s="82"/>
      <c r="F129" s="79"/>
      <c r="G129" s="79"/>
      <c r="H129" s="79"/>
      <c r="I129" s="79"/>
      <c r="J129" s="79"/>
      <c r="K129" s="83"/>
    </row>
    <row r="130" ht="14.25" customHeight="1" outlineLevel="1">
      <c r="A130" s="51">
        <v>1</v>
      </c>
      <c r="B130" s="52"/>
      <c r="C130" s="52"/>
      <c r="D130" s="52"/>
      <c r="E130" s="53"/>
      <c r="F130" s="54"/>
      <c r="G130" s="52"/>
      <c r="H130" s="52"/>
      <c r="I130" s="52"/>
      <c r="J130" s="55"/>
      <c r="K130" s="56"/>
    </row>
    <row r="131" ht="14.25" customHeight="1" outlineLevel="1">
      <c r="A131" s="45">
        <v>2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3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4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5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6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7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8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9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10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11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12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13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14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62">
        <v>15</v>
      </c>
      <c r="B144" s="57"/>
      <c r="C144" s="57"/>
      <c r="D144" s="57"/>
      <c r="E144" s="58"/>
      <c r="F144" s="59"/>
      <c r="G144" s="57"/>
      <c r="H144" s="57"/>
      <c r="I144" s="57"/>
      <c r="J144" s="60"/>
      <c r="K144" s="61"/>
    </row>
    <row r="145" ht="23.100000000000001" customHeight="1">
      <c r="A145" s="84" t="s">
        <v>38</v>
      </c>
      <c r="B145" s="85"/>
      <c r="C145" s="85"/>
      <c r="D145" s="86"/>
      <c r="E145" s="87">
        <f>SUM(E129:E144)</f>
        <v>0</v>
      </c>
    </row>
    <row r="146" ht="23.100000000000001" customHeight="1">
      <c r="A146" s="84" t="s">
        <v>28</v>
      </c>
      <c r="B146" s="85"/>
      <c r="C146" s="85"/>
      <c r="D146" s="86"/>
      <c r="E146" s="87">
        <f>E125-E145</f>
        <v>199307</v>
      </c>
      <c r="F146" s="66"/>
    </row>
    <row r="147" ht="14.25">
      <c r="E147" s="1"/>
    </row>
    <row r="148" ht="14.25">
      <c r="E148" s="1"/>
    </row>
    <row r="204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8:D88"/>
    <mergeCell ref="A89:D89"/>
    <mergeCell ref="A91:D91"/>
    <mergeCell ref="A92:D92"/>
    <mergeCell ref="A122:D122"/>
    <mergeCell ref="A123:D123"/>
    <mergeCell ref="A125:D125"/>
    <mergeCell ref="A126:D126"/>
    <mergeCell ref="A145:D145"/>
    <mergeCell ref="A146:D146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24-0062-47C7-A4F0-00E600EA00E1}" type="list" allowBlank="1" errorStyle="stop" imeMode="noControl" operator="between" showDropDown="0" showErrorMessage="1" showInputMessage="1">
          <x14:formula1>
            <xm:f>ДаНет</xm:f>
          </x14:formula1>
          <xm:sqref>H67:H80 H50:H64 H129:H143 H82:H86 H95:H109 H111:H120 H17:H18 H29:H32 H34:H48</xm:sqref>
        </x14:dataValidation>
        <x14:dataValidation xr:uid="{00C400BC-00FD-4E7D-A471-008E008700D6}" type="list" allowBlank="1" errorStyle="stop" imeMode="noControl" operator="between" showDropDown="0" showErrorMessage="1" showInputMessage="1">
          <x14:formula1>
            <xm:f>ДаНет</xm:f>
          </x14:formula1>
          <xm:sqref>H19 H21:H28 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1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9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'20'!C2+1</f>
        <v>46102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515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230015-00C1-451D-911E-006800910020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2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9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'21'!C2+1</f>
        <v>46103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18" t="s">
        <v>552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18" t="s">
        <v>553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329" t="s">
        <v>554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515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C0056-00C2-4A8A-8BEE-0072001300BF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3">
    <outlinePr applyStyles="0" summaryBelow="1" summaryRight="1" showOutlineSymbols="1"/>
    <pageSetUpPr autoPageBreaks="1" fitToPage="1"/>
  </sheetPr>
  <sheetViews>
    <sheetView showGridLines="0" showRuler="1" topLeftCell="D29" zoomScale="90" workbookViewId="0">
      <selection activeCell="G37" activeCellId="0" sqref="G37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9.8515625"/>
    <col customWidth="1" min="5" max="5" style="1" width="26"/>
    <col customWidth="1" min="6" max="6" style="1" width="96.4218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'22'!C2+1</f>
        <v>46104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1147013.6499999999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1023130.42</v>
      </c>
      <c r="F5" s="89">
        <f>E33+E38+E39+E40+E41+E42+E43+E44+E45+E46+E54+E55+E56+E57+E59+E60+E61+E62+E63+E70+E86+E87+E88</f>
        <v>5239303.7700000005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9703.8600000000006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261"/>
      <c r="F17" s="42"/>
      <c r="G17" s="40"/>
      <c r="H17" s="40"/>
      <c r="I17" s="40"/>
      <c r="J17" s="43"/>
      <c r="K17" s="44"/>
    </row>
    <row r="18" ht="14.25" customHeight="1" outlineLevel="1">
      <c r="A18" s="96">
        <v>2</v>
      </c>
      <c r="B18" s="97" t="s">
        <v>47</v>
      </c>
      <c r="C18" s="99" t="s">
        <v>57</v>
      </c>
      <c r="D18" s="186" t="s">
        <v>58</v>
      </c>
      <c r="E18" s="330">
        <v>291000000</v>
      </c>
      <c r="F18" s="141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39">
        <v>3</v>
      </c>
      <c r="B19" s="97" t="s">
        <v>47</v>
      </c>
      <c r="C19" s="46" t="s">
        <v>408</v>
      </c>
      <c r="D19" s="46" t="s">
        <v>409</v>
      </c>
      <c r="E19" s="301">
        <v>500000</v>
      </c>
      <c r="F19" s="48" t="s">
        <v>44</v>
      </c>
      <c r="G19" s="46"/>
      <c r="H19" s="46" t="s">
        <v>45</v>
      </c>
      <c r="I19" s="46"/>
      <c r="J19" s="49"/>
      <c r="K19" s="50"/>
    </row>
    <row r="20" ht="14.25" customHeight="1" outlineLevel="1">
      <c r="A20" s="39">
        <v>4</v>
      </c>
      <c r="B20" s="97" t="s">
        <v>47</v>
      </c>
      <c r="C20" s="46" t="s">
        <v>408</v>
      </c>
      <c r="D20" s="46" t="s">
        <v>409</v>
      </c>
      <c r="E20" s="302">
        <v>2500000</v>
      </c>
      <c r="F20" s="156" t="s">
        <v>44</v>
      </c>
      <c r="G20" s="46"/>
      <c r="H20" s="46" t="s">
        <v>45</v>
      </c>
      <c r="I20" s="46"/>
      <c r="J20" s="49"/>
      <c r="K20" s="50"/>
    </row>
    <row r="21" ht="14.25" customHeight="1" outlineLevel="1">
      <c r="A21" s="96">
        <v>5</v>
      </c>
      <c r="B21" s="331" t="s">
        <v>41</v>
      </c>
      <c r="C21" s="156" t="s">
        <v>48</v>
      </c>
      <c r="D21" s="156" t="s">
        <v>49</v>
      </c>
      <c r="E21" s="312">
        <v>1581780</v>
      </c>
      <c r="F21" s="156" t="s">
        <v>555</v>
      </c>
      <c r="G21" s="46"/>
      <c r="H21" s="46"/>
      <c r="I21" s="46"/>
      <c r="J21" s="49"/>
      <c r="K21" s="50"/>
    </row>
    <row r="22" ht="14.25" customHeight="1" outlineLevel="1">
      <c r="A22" s="39">
        <v>6</v>
      </c>
      <c r="B22" s="331" t="s">
        <v>41</v>
      </c>
      <c r="C22" s="156" t="s">
        <v>48</v>
      </c>
      <c r="D22" s="156" t="s">
        <v>49</v>
      </c>
      <c r="E22" s="312">
        <v>1019405</v>
      </c>
      <c r="F22" s="156" t="s">
        <v>556</v>
      </c>
      <c r="G22" s="46"/>
      <c r="H22" s="46"/>
      <c r="I22" s="46"/>
      <c r="J22" s="49" t="s">
        <v>46</v>
      </c>
      <c r="K22" s="50"/>
    </row>
    <row r="23" ht="14.25" customHeight="1" outlineLevel="1">
      <c r="A23" s="39">
        <v>7</v>
      </c>
      <c r="B23" s="331" t="s">
        <v>41</v>
      </c>
      <c r="C23" s="156" t="s">
        <v>48</v>
      </c>
      <c r="D23" s="156" t="s">
        <v>49</v>
      </c>
      <c r="E23" s="312">
        <v>1104915</v>
      </c>
      <c r="F23" s="156" t="s">
        <v>557</v>
      </c>
      <c r="G23" s="46"/>
      <c r="H23" s="46"/>
      <c r="I23" s="46"/>
      <c r="J23" s="49" t="s">
        <v>46</v>
      </c>
      <c r="K23" s="50"/>
    </row>
    <row r="24" ht="14.25" customHeight="1" outlineLevel="1">
      <c r="A24" s="96">
        <v>8</v>
      </c>
      <c r="B24" s="331" t="s">
        <v>41</v>
      </c>
      <c r="C24" s="156" t="s">
        <v>48</v>
      </c>
      <c r="D24" s="156" t="s">
        <v>49</v>
      </c>
      <c r="E24" s="312">
        <v>974610</v>
      </c>
      <c r="F24" s="156" t="s">
        <v>558</v>
      </c>
      <c r="G24" s="46"/>
      <c r="H24" s="46"/>
      <c r="I24" s="46"/>
      <c r="J24" s="49" t="s">
        <v>46</v>
      </c>
      <c r="K24" s="50"/>
    </row>
    <row r="25" ht="14.25" customHeight="1" outlineLevel="1">
      <c r="A25" s="39">
        <v>9</v>
      </c>
      <c r="B25" s="331" t="s">
        <v>41</v>
      </c>
      <c r="C25" s="156" t="s">
        <v>48</v>
      </c>
      <c r="D25" s="156" t="s">
        <v>49</v>
      </c>
      <c r="E25" s="312">
        <v>883320</v>
      </c>
      <c r="F25" s="156" t="s">
        <v>559</v>
      </c>
      <c r="G25" s="46"/>
      <c r="H25" s="46"/>
      <c r="I25" s="46"/>
      <c r="J25" s="49" t="s">
        <v>46</v>
      </c>
      <c r="K25" s="50"/>
    </row>
    <row r="26" ht="14.25" customHeight="1" outlineLevel="1">
      <c r="A26" s="39">
        <v>10</v>
      </c>
      <c r="B26" s="331" t="s">
        <v>41</v>
      </c>
      <c r="C26" s="156" t="s">
        <v>48</v>
      </c>
      <c r="D26" s="156" t="s">
        <v>49</v>
      </c>
      <c r="E26" s="312">
        <v>877880</v>
      </c>
      <c r="F26" s="156" t="s">
        <v>560</v>
      </c>
      <c r="G26" s="46"/>
      <c r="H26" s="46"/>
      <c r="I26" s="46"/>
      <c r="J26" s="49" t="s">
        <v>46</v>
      </c>
      <c r="K26" s="50"/>
    </row>
    <row r="27" ht="14.25" customHeight="1" outlineLevel="1">
      <c r="A27" s="96">
        <v>11</v>
      </c>
      <c r="B27" s="331" t="s">
        <v>41</v>
      </c>
      <c r="C27" s="156" t="s">
        <v>48</v>
      </c>
      <c r="D27" s="156" t="s">
        <v>49</v>
      </c>
      <c r="E27" s="312">
        <v>1702465</v>
      </c>
      <c r="F27" s="156" t="s">
        <v>561</v>
      </c>
      <c r="G27" s="46"/>
      <c r="H27" s="46"/>
      <c r="I27" s="46"/>
      <c r="J27" s="49" t="s">
        <v>46</v>
      </c>
      <c r="K27" s="50"/>
    </row>
    <row r="28" ht="14.25" customHeight="1" outlineLevel="1">
      <c r="A28" s="39">
        <v>12</v>
      </c>
      <c r="B28" s="331" t="s">
        <v>41</v>
      </c>
      <c r="C28" s="156" t="s">
        <v>48</v>
      </c>
      <c r="D28" s="156" t="s">
        <v>49</v>
      </c>
      <c r="E28" s="312">
        <v>876095</v>
      </c>
      <c r="F28" s="156" t="s">
        <v>562</v>
      </c>
      <c r="G28" s="46"/>
      <c r="H28" s="46"/>
      <c r="I28" s="46"/>
      <c r="J28" s="49" t="s">
        <v>46</v>
      </c>
      <c r="K28" s="50"/>
    </row>
    <row r="29" ht="14.25" customHeight="1" outlineLevel="1">
      <c r="A29" s="39">
        <v>13</v>
      </c>
      <c r="B29" s="331" t="s">
        <v>41</v>
      </c>
      <c r="C29" s="156" t="s">
        <v>48</v>
      </c>
      <c r="D29" s="156" t="s">
        <v>49</v>
      </c>
      <c r="E29" s="312">
        <v>976990</v>
      </c>
      <c r="F29" s="156" t="s">
        <v>563</v>
      </c>
      <c r="G29" s="46"/>
      <c r="H29" s="46"/>
      <c r="I29" s="46"/>
      <c r="J29" s="49" t="s">
        <v>46</v>
      </c>
      <c r="K29" s="50"/>
    </row>
    <row r="30" ht="14.25" customHeight="1" outlineLevel="1">
      <c r="A30" s="96">
        <v>14</v>
      </c>
      <c r="B30" s="331" t="s">
        <v>41</v>
      </c>
      <c r="C30" s="156" t="s">
        <v>48</v>
      </c>
      <c r="D30" s="156" t="s">
        <v>49</v>
      </c>
      <c r="E30" s="312">
        <v>1739270</v>
      </c>
      <c r="F30" s="156" t="s">
        <v>564</v>
      </c>
      <c r="G30" s="46"/>
      <c r="H30" s="46"/>
      <c r="I30" s="46"/>
      <c r="J30" s="49" t="s">
        <v>46</v>
      </c>
      <c r="K30" s="50"/>
    </row>
    <row r="31" ht="14.25" customHeight="1" outlineLevel="1">
      <c r="A31" s="39">
        <v>15</v>
      </c>
      <c r="B31" s="332" t="s">
        <v>41</v>
      </c>
      <c r="C31" s="333" t="s">
        <v>42</v>
      </c>
      <c r="D31" s="333" t="s">
        <v>43</v>
      </c>
      <c r="E31" s="309">
        <v>4000000</v>
      </c>
      <c r="F31" s="156"/>
      <c r="G31" s="46"/>
      <c r="H31" s="46"/>
      <c r="I31" s="46"/>
      <c r="J31" s="49" t="s">
        <v>46</v>
      </c>
      <c r="K31" s="50"/>
    </row>
    <row r="32" ht="14.25" customHeight="1" outlineLevel="1">
      <c r="A32" s="39">
        <v>16</v>
      </c>
      <c r="B32" s="94" t="s">
        <v>41</v>
      </c>
      <c r="C32" s="94" t="s">
        <v>392</v>
      </c>
      <c r="D32" s="94" t="s">
        <v>393</v>
      </c>
      <c r="E32" s="302">
        <v>495000</v>
      </c>
      <c r="F32" s="156" t="s">
        <v>44</v>
      </c>
      <c r="G32" s="46"/>
      <c r="H32" s="46" t="s">
        <v>45</v>
      </c>
      <c r="I32" s="46"/>
      <c r="J32" s="49"/>
      <c r="K32" s="50"/>
    </row>
    <row r="33" ht="14.25" customHeight="1" outlineLevel="1">
      <c r="A33" s="96">
        <v>17</v>
      </c>
      <c r="B33" s="46"/>
      <c r="C33" s="46" t="s">
        <v>78</v>
      </c>
      <c r="D33" s="46"/>
      <c r="E33" s="98">
        <v>120000</v>
      </c>
      <c r="F33" s="48"/>
      <c r="G33" s="46"/>
      <c r="H33" s="46" t="s">
        <v>45</v>
      </c>
      <c r="I33" s="46"/>
      <c r="J33" s="49" t="s">
        <v>46</v>
      </c>
      <c r="K33" s="50"/>
    </row>
    <row r="34" ht="14.25" customHeight="1" outlineLevel="1">
      <c r="A34" s="39">
        <v>18</v>
      </c>
      <c r="B34" s="321" t="s">
        <v>41</v>
      </c>
      <c r="C34" s="321" t="s">
        <v>82</v>
      </c>
      <c r="D34" s="321" t="s">
        <v>83</v>
      </c>
      <c r="E34" s="207">
        <v>3209963</v>
      </c>
      <c r="F34" s="333" t="s">
        <v>44</v>
      </c>
      <c r="G34" s="46"/>
      <c r="H34" s="46"/>
      <c r="I34" s="46"/>
      <c r="J34" s="49"/>
      <c r="K34" s="50"/>
    </row>
    <row r="35" ht="14.25" customHeight="1" outlineLevel="1">
      <c r="A35" s="39">
        <v>19</v>
      </c>
      <c r="B35" s="46"/>
      <c r="C35" s="46" t="s">
        <v>565</v>
      </c>
      <c r="D35" s="46"/>
      <c r="E35" s="98">
        <v>1900000</v>
      </c>
      <c r="F35" s="48"/>
      <c r="G35" s="46"/>
      <c r="H35" s="46"/>
      <c r="I35" s="46"/>
      <c r="J35" s="49" t="s">
        <v>46</v>
      </c>
      <c r="K35" s="50"/>
    </row>
    <row r="36" ht="14.25" customHeight="1" outlineLevel="1">
      <c r="A36" s="96">
        <v>20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s="34" customFormat="1" ht="25.5" customHeight="1" outlineLevel="1">
      <c r="A37" s="35"/>
      <c r="B37" s="37" t="s">
        <v>23</v>
      </c>
      <c r="C37" s="37"/>
      <c r="D37" s="37"/>
      <c r="E37" s="37"/>
      <c r="F37" s="37"/>
      <c r="G37" s="37"/>
      <c r="H37" s="37"/>
      <c r="I37" s="37"/>
      <c r="J37" s="49" t="s">
        <v>46</v>
      </c>
      <c r="K37" s="38"/>
    </row>
    <row r="38" ht="14.25" customHeight="1" outlineLevel="1">
      <c r="A38" s="39">
        <v>1</v>
      </c>
      <c r="B38" s="229" t="s">
        <v>305</v>
      </c>
      <c r="C38" s="246" t="s">
        <v>566</v>
      </c>
      <c r="D38" s="246" t="s">
        <v>567</v>
      </c>
      <c r="E38" s="213">
        <v>23500</v>
      </c>
      <c r="F38" s="252" t="s">
        <v>100</v>
      </c>
      <c r="G38" s="46" t="s">
        <v>260</v>
      </c>
      <c r="H38" s="46" t="s">
        <v>45</v>
      </c>
      <c r="I38" s="46"/>
      <c r="J38" s="49" t="s">
        <v>46</v>
      </c>
      <c r="K38" s="50"/>
    </row>
    <row r="39" ht="14.25" customHeight="1" outlineLevel="1">
      <c r="A39" s="45">
        <v>2</v>
      </c>
      <c r="B39" s="248" t="s">
        <v>305</v>
      </c>
      <c r="C39" s="249" t="s">
        <v>418</v>
      </c>
      <c r="D39" s="249" t="s">
        <v>568</v>
      </c>
      <c r="E39" s="217">
        <v>40000</v>
      </c>
      <c r="F39" s="287" t="s">
        <v>100</v>
      </c>
      <c r="G39" s="46" t="s">
        <v>260</v>
      </c>
      <c r="H39" s="46" t="s">
        <v>45</v>
      </c>
      <c r="I39" s="46"/>
      <c r="J39" s="49" t="s">
        <v>46</v>
      </c>
      <c r="K39" s="50"/>
    </row>
    <row r="40" ht="14.25" customHeight="1" outlineLevel="1">
      <c r="A40" s="45">
        <v>3</v>
      </c>
      <c r="B40" s="248" t="s">
        <v>305</v>
      </c>
      <c r="C40" s="249" t="s">
        <v>569</v>
      </c>
      <c r="D40" s="249" t="s">
        <v>570</v>
      </c>
      <c r="E40" s="217">
        <v>73600</v>
      </c>
      <c r="F40" s="287" t="s">
        <v>100</v>
      </c>
      <c r="G40" s="46" t="s">
        <v>260</v>
      </c>
      <c r="H40" s="46" t="s">
        <v>45</v>
      </c>
      <c r="I40" s="46"/>
      <c r="J40" s="49" t="s">
        <v>46</v>
      </c>
      <c r="K40" s="50"/>
    </row>
    <row r="41" ht="14.25" customHeight="1" outlineLevel="1">
      <c r="A41" s="45">
        <v>4</v>
      </c>
      <c r="B41" s="248" t="s">
        <v>305</v>
      </c>
      <c r="C41" s="249" t="s">
        <v>571</v>
      </c>
      <c r="D41" s="249" t="s">
        <v>572</v>
      </c>
      <c r="E41" s="217">
        <v>32000</v>
      </c>
      <c r="F41" s="287" t="s">
        <v>100</v>
      </c>
      <c r="G41" s="46" t="s">
        <v>260</v>
      </c>
      <c r="H41" s="46" t="s">
        <v>45</v>
      </c>
      <c r="I41" s="46"/>
      <c r="J41" s="49" t="s">
        <v>46</v>
      </c>
      <c r="K41" s="50"/>
    </row>
    <row r="42" ht="14.25" customHeight="1" outlineLevel="1">
      <c r="A42" s="45">
        <v>5</v>
      </c>
      <c r="B42" s="248" t="s">
        <v>305</v>
      </c>
      <c r="C42" s="249" t="s">
        <v>573</v>
      </c>
      <c r="D42" s="249" t="s">
        <v>574</v>
      </c>
      <c r="E42" s="217">
        <v>21500</v>
      </c>
      <c r="F42" s="287" t="s">
        <v>100</v>
      </c>
      <c r="G42" s="46" t="s">
        <v>260</v>
      </c>
      <c r="H42" s="46" t="s">
        <v>45</v>
      </c>
      <c r="I42" s="46"/>
      <c r="J42" s="49" t="s">
        <v>46</v>
      </c>
      <c r="K42" s="50"/>
    </row>
    <row r="43" ht="14.25" customHeight="1" outlineLevel="1">
      <c r="A43" s="45">
        <v>6</v>
      </c>
      <c r="B43" s="248" t="s">
        <v>305</v>
      </c>
      <c r="C43" s="249" t="s">
        <v>306</v>
      </c>
      <c r="D43" s="249" t="s">
        <v>575</v>
      </c>
      <c r="E43" s="217">
        <v>7000</v>
      </c>
      <c r="F43" s="287" t="s">
        <v>100</v>
      </c>
      <c r="G43" s="46" t="s">
        <v>260</v>
      </c>
      <c r="H43" s="46" t="s">
        <v>45</v>
      </c>
      <c r="I43" s="46"/>
      <c r="J43" s="49" t="s">
        <v>46</v>
      </c>
      <c r="K43" s="50"/>
    </row>
    <row r="44" ht="14.25" customHeight="1" outlineLevel="1">
      <c r="A44" s="45">
        <v>7</v>
      </c>
      <c r="B44" s="248" t="s">
        <v>305</v>
      </c>
      <c r="C44" s="249" t="s">
        <v>576</v>
      </c>
      <c r="D44" s="249" t="s">
        <v>577</v>
      </c>
      <c r="E44" s="217">
        <v>4500</v>
      </c>
      <c r="F44" s="287" t="s">
        <v>412</v>
      </c>
      <c r="G44" s="46" t="s">
        <v>260</v>
      </c>
      <c r="H44" s="46" t="s">
        <v>45</v>
      </c>
      <c r="I44" s="46"/>
      <c r="J44" s="49" t="s">
        <v>46</v>
      </c>
      <c r="K44" s="50"/>
    </row>
    <row r="45" ht="14.25" customHeight="1" outlineLevel="1">
      <c r="A45" s="45">
        <v>8</v>
      </c>
      <c r="B45" s="248" t="s">
        <v>305</v>
      </c>
      <c r="C45" s="249" t="s">
        <v>578</v>
      </c>
      <c r="D45" s="249" t="s">
        <v>579</v>
      </c>
      <c r="E45" s="334">
        <v>8100</v>
      </c>
      <c r="F45" s="287" t="s">
        <v>412</v>
      </c>
      <c r="G45" s="46" t="s">
        <v>260</v>
      </c>
      <c r="H45" s="46" t="s">
        <v>45</v>
      </c>
      <c r="I45" s="46"/>
      <c r="J45" s="49" t="s">
        <v>46</v>
      </c>
      <c r="K45" s="50"/>
    </row>
    <row r="46" ht="14.25" customHeight="1" outlineLevel="1">
      <c r="A46" s="39">
        <v>9</v>
      </c>
      <c r="B46" s="46" t="s">
        <v>464</v>
      </c>
      <c r="C46" s="46" t="s">
        <v>465</v>
      </c>
      <c r="D46" s="46" t="s">
        <v>466</v>
      </c>
      <c r="E46" s="274">
        <f>12564+11670</f>
        <v>24234</v>
      </c>
      <c r="F46" s="335" t="s">
        <v>412</v>
      </c>
      <c r="G46" s="46" t="s">
        <v>260</v>
      </c>
      <c r="H46" s="46" t="s">
        <v>45</v>
      </c>
      <c r="I46" s="46"/>
      <c r="J46" s="49" t="s">
        <v>46</v>
      </c>
      <c r="K46" s="50"/>
    </row>
    <row r="47" ht="14.25" customHeight="1" outlineLevel="1">
      <c r="A47" s="45">
        <v>10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11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12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13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14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15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s="34" customFormat="1" ht="25.5" customHeight="1" outlineLevel="1">
      <c r="A53" s="35"/>
      <c r="B53" s="37" t="s">
        <v>24</v>
      </c>
      <c r="C53" s="37"/>
      <c r="D53" s="37"/>
      <c r="E53" s="37"/>
      <c r="F53" s="37"/>
      <c r="G53" s="37"/>
      <c r="H53" s="37"/>
      <c r="I53" s="37"/>
      <c r="J53" s="37"/>
      <c r="K53" s="38"/>
    </row>
    <row r="54" ht="14.25" customHeight="1" outlineLevel="1">
      <c r="A54" s="51">
        <v>1</v>
      </c>
      <c r="B54" s="52" t="s">
        <v>112</v>
      </c>
      <c r="C54" s="52" t="s">
        <v>580</v>
      </c>
      <c r="D54" s="52"/>
      <c r="E54" s="107">
        <v>27900</v>
      </c>
      <c r="F54" s="54" t="s">
        <v>581</v>
      </c>
      <c r="G54" s="229" t="s">
        <v>260</v>
      </c>
      <c r="H54" s="52"/>
      <c r="I54" s="52"/>
      <c r="J54" s="55" t="s">
        <v>46</v>
      </c>
      <c r="K54" s="56"/>
    </row>
    <row r="55" ht="14.25" customHeight="1" outlineLevel="1">
      <c r="A55" s="45">
        <v>2</v>
      </c>
      <c r="B55" s="46" t="s">
        <v>101</v>
      </c>
      <c r="C55" s="46" t="s">
        <v>182</v>
      </c>
      <c r="D55" s="46" t="s">
        <v>582</v>
      </c>
      <c r="E55" s="98">
        <v>50000</v>
      </c>
      <c r="F55" s="48" t="s">
        <v>184</v>
      </c>
      <c r="G55" s="229" t="s">
        <v>260</v>
      </c>
      <c r="H55" s="46" t="s">
        <v>45</v>
      </c>
      <c r="I55" s="46"/>
      <c r="J55" s="49" t="s">
        <v>46</v>
      </c>
      <c r="K55" s="50"/>
    </row>
    <row r="56" ht="14.25" customHeight="1" outlineLevel="1">
      <c r="A56" s="45">
        <v>3</v>
      </c>
      <c r="B56" s="46" t="s">
        <v>101</v>
      </c>
      <c r="C56" s="46" t="s">
        <v>129</v>
      </c>
      <c r="D56" s="46" t="s">
        <v>583</v>
      </c>
      <c r="E56" s="98">
        <v>13040</v>
      </c>
      <c r="F56" s="48" t="s">
        <v>584</v>
      </c>
      <c r="G56" s="336" t="s">
        <v>475</v>
      </c>
      <c r="H56" s="46" t="s">
        <v>45</v>
      </c>
      <c r="I56" s="46"/>
      <c r="J56" s="49" t="s">
        <v>46</v>
      </c>
      <c r="K56" s="50"/>
    </row>
    <row r="57" ht="14.25" customHeight="1" outlineLevel="1">
      <c r="A57" s="45">
        <v>4</v>
      </c>
      <c r="B57" s="46" t="s">
        <v>101</v>
      </c>
      <c r="C57" s="46" t="s">
        <v>129</v>
      </c>
      <c r="D57" s="46" t="s">
        <v>585</v>
      </c>
      <c r="E57" s="98">
        <v>28630</v>
      </c>
      <c r="F57" s="337" t="s">
        <v>586</v>
      </c>
      <c r="G57" s="229" t="s">
        <v>260</v>
      </c>
      <c r="H57" s="46" t="s">
        <v>45</v>
      </c>
      <c r="I57" s="46"/>
      <c r="J57" s="49" t="s">
        <v>46</v>
      </c>
      <c r="K57" s="50"/>
    </row>
    <row r="58" ht="28.5" outlineLevel="1">
      <c r="A58" s="45">
        <v>5</v>
      </c>
      <c r="B58" s="46" t="s">
        <v>101</v>
      </c>
      <c r="C58" s="183" t="s">
        <v>531</v>
      </c>
      <c r="D58" s="183" t="s">
        <v>333</v>
      </c>
      <c r="E58" s="191">
        <v>2200</v>
      </c>
      <c r="F58" s="182" t="s">
        <v>587</v>
      </c>
      <c r="G58" s="338" t="s">
        <v>588</v>
      </c>
      <c r="H58" s="46" t="s">
        <v>45</v>
      </c>
      <c r="I58" s="1"/>
      <c r="J58" s="49"/>
      <c r="K58" s="50"/>
    </row>
    <row r="59" ht="14.25" customHeight="1" outlineLevel="1">
      <c r="A59" s="45">
        <v>6</v>
      </c>
      <c r="B59" s="46" t="s">
        <v>101</v>
      </c>
      <c r="C59" s="46" t="s">
        <v>332</v>
      </c>
      <c r="D59" s="46" t="s">
        <v>333</v>
      </c>
      <c r="E59" s="98">
        <v>800</v>
      </c>
      <c r="F59" s="48" t="s">
        <v>589</v>
      </c>
      <c r="G59" s="336" t="s">
        <v>475</v>
      </c>
      <c r="H59" s="46" t="s">
        <v>45</v>
      </c>
      <c r="I59" s="46"/>
      <c r="J59" s="49" t="s">
        <v>46</v>
      </c>
      <c r="K59" s="50"/>
    </row>
    <row r="60" ht="14.25" customHeight="1" outlineLevel="1">
      <c r="A60" s="45">
        <v>7</v>
      </c>
      <c r="B60" s="106" t="s">
        <v>101</v>
      </c>
      <c r="C60" s="106" t="s">
        <v>590</v>
      </c>
      <c r="D60" s="106" t="s">
        <v>591</v>
      </c>
      <c r="E60" s="192">
        <v>1065</v>
      </c>
      <c r="F60" s="195" t="s">
        <v>592</v>
      </c>
      <c r="G60" s="229" t="s">
        <v>260</v>
      </c>
      <c r="H60" s="46" t="s">
        <v>45</v>
      </c>
      <c r="I60" s="46"/>
      <c r="J60" s="49" t="s">
        <v>46</v>
      </c>
      <c r="K60" s="50"/>
    </row>
    <row r="61" ht="14.25" customHeight="1" outlineLevel="1">
      <c r="A61" s="96">
        <v>8</v>
      </c>
      <c r="B61" s="222" t="s">
        <v>101</v>
      </c>
      <c r="C61" s="222" t="s">
        <v>593</v>
      </c>
      <c r="D61" s="222" t="s">
        <v>594</v>
      </c>
      <c r="E61" s="203">
        <v>6864.6899999999996</v>
      </c>
      <c r="F61" s="339" t="s">
        <v>595</v>
      </c>
      <c r="G61" s="229" t="s">
        <v>260</v>
      </c>
      <c r="H61" s="46" t="s">
        <v>51</v>
      </c>
      <c r="I61" s="46"/>
      <c r="J61" s="49" t="s">
        <v>46</v>
      </c>
      <c r="K61" s="50"/>
    </row>
    <row r="62" ht="14.25" customHeight="1" outlineLevel="1">
      <c r="A62" s="96">
        <v>9</v>
      </c>
      <c r="B62" s="222" t="s">
        <v>101</v>
      </c>
      <c r="C62" s="222" t="s">
        <v>253</v>
      </c>
      <c r="D62" s="222" t="s">
        <v>254</v>
      </c>
      <c r="E62" s="203">
        <v>160000</v>
      </c>
      <c r="F62" s="339" t="s">
        <v>596</v>
      </c>
      <c r="G62" s="229" t="s">
        <v>260</v>
      </c>
      <c r="H62" s="46" t="s">
        <v>45</v>
      </c>
      <c r="I62" s="46"/>
      <c r="J62" s="49" t="s">
        <v>46</v>
      </c>
      <c r="K62" s="50"/>
    </row>
    <row r="63" ht="28.5" outlineLevel="1">
      <c r="A63" s="96">
        <v>10</v>
      </c>
      <c r="B63" s="222" t="s">
        <v>597</v>
      </c>
      <c r="C63" s="222" t="s">
        <v>598</v>
      </c>
      <c r="D63" s="222" t="s">
        <v>599</v>
      </c>
      <c r="E63" s="203">
        <v>15480</v>
      </c>
      <c r="F63" s="339" t="s">
        <v>600</v>
      </c>
      <c r="G63" s="229" t="s">
        <v>260</v>
      </c>
      <c r="H63" s="46" t="s">
        <v>45</v>
      </c>
      <c r="I63" s="46"/>
      <c r="J63" s="49" t="s">
        <v>46</v>
      </c>
      <c r="K63" s="50"/>
    </row>
    <row r="64" ht="14.25" customHeight="1" outlineLevel="1">
      <c r="A64" s="45">
        <v>11</v>
      </c>
      <c r="B64" s="40"/>
      <c r="C64" s="40"/>
      <c r="D64" s="40"/>
      <c r="E64" s="41"/>
      <c r="F64" s="42"/>
      <c r="G64" s="46"/>
      <c r="H64" s="46"/>
      <c r="I64" s="46"/>
      <c r="J64" s="49"/>
      <c r="K64" s="50"/>
    </row>
    <row r="65" ht="14.25" customHeight="1" outlineLevel="1">
      <c r="A65" s="45">
        <v>12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13</v>
      </c>
      <c r="B66" s="46"/>
      <c r="C66" s="46"/>
      <c r="D66" s="46"/>
      <c r="E66" s="47"/>
      <c r="F66" s="48"/>
      <c r="G66" s="46"/>
      <c r="H66" s="46"/>
      <c r="I66" s="46"/>
      <c r="J66" s="49"/>
      <c r="K66" s="50"/>
    </row>
    <row r="67" ht="14.25" customHeight="1" outlineLevel="1">
      <c r="A67" s="45">
        <v>14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15</v>
      </c>
      <c r="B68" s="57"/>
      <c r="C68" s="57"/>
      <c r="D68" s="57"/>
      <c r="E68" s="58"/>
      <c r="F68" s="59"/>
      <c r="G68" s="57"/>
      <c r="H68" s="57"/>
      <c r="I68" s="57"/>
      <c r="J68" s="60"/>
      <c r="K68" s="61"/>
    </row>
    <row r="69" s="34" customFormat="1" ht="25.5" customHeight="1" outlineLevel="1">
      <c r="A69" s="35"/>
      <c r="B69" s="36" t="s">
        <v>25</v>
      </c>
      <c r="C69" s="37"/>
      <c r="D69" s="37"/>
      <c r="E69" s="37"/>
      <c r="F69" s="37"/>
      <c r="G69" s="37"/>
      <c r="H69" s="37"/>
      <c r="I69" s="37"/>
      <c r="J69" s="37"/>
      <c r="K69" s="38"/>
    </row>
    <row r="70" ht="28.5" outlineLevel="1">
      <c r="A70" s="45">
        <v>1</v>
      </c>
      <c r="B70" s="52" t="s">
        <v>197</v>
      </c>
      <c r="C70" s="52" t="s">
        <v>198</v>
      </c>
      <c r="D70" s="52" t="s">
        <v>601</v>
      </c>
      <c r="E70" s="107">
        <v>99252.080000000002</v>
      </c>
      <c r="F70" s="339" t="s">
        <v>602</v>
      </c>
      <c r="G70" s="52" t="s">
        <v>603</v>
      </c>
      <c r="H70" s="52" t="s">
        <v>51</v>
      </c>
      <c r="I70" s="52" t="s">
        <v>52</v>
      </c>
      <c r="J70" s="55" t="s">
        <v>46</v>
      </c>
      <c r="K70" s="56"/>
    </row>
    <row r="71" ht="30" customHeight="1" outlineLevel="1">
      <c r="A71" s="45">
        <v>2</v>
      </c>
      <c r="B71" s="142"/>
      <c r="C71" s="142"/>
      <c r="D71" s="142"/>
      <c r="E71" s="340"/>
      <c r="F71" s="142"/>
      <c r="G71" s="229"/>
      <c r="H71" s="229"/>
      <c r="I71" s="229"/>
      <c r="J71" s="49"/>
      <c r="K71" s="50"/>
    </row>
    <row r="72" ht="14.25" customHeight="1" outlineLevel="1">
      <c r="A72" s="45">
        <v>3</v>
      </c>
      <c r="B72" s="142"/>
      <c r="C72" s="142"/>
      <c r="D72" s="142"/>
      <c r="E72" s="340"/>
      <c r="F72" s="142"/>
      <c r="G72" s="229"/>
      <c r="H72" s="229"/>
      <c r="I72" s="229"/>
      <c r="J72" s="49"/>
      <c r="K72" s="50"/>
    </row>
    <row r="73" ht="14.25" customHeight="1" outlineLevel="1">
      <c r="A73" s="45">
        <v>4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5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6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7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8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9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10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11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12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13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ht="14.25" customHeight="1" outlineLevel="1">
      <c r="A83" s="45">
        <v>14</v>
      </c>
      <c r="B83" s="46"/>
      <c r="C83" s="46"/>
      <c r="D83" s="46"/>
      <c r="E83" s="47"/>
      <c r="F83" s="48"/>
      <c r="G83" s="46"/>
      <c r="H83" s="46"/>
      <c r="I83" s="46"/>
      <c r="J83" s="49"/>
      <c r="K83" s="50"/>
    </row>
    <row r="84" ht="14.25" customHeight="1" outlineLevel="1">
      <c r="A84" s="45">
        <v>15</v>
      </c>
      <c r="B84" s="46"/>
      <c r="C84" s="46"/>
      <c r="D84" s="46"/>
      <c r="E84" s="47"/>
      <c r="F84" s="48"/>
      <c r="G84" s="46"/>
      <c r="H84" s="46"/>
      <c r="I84" s="46"/>
      <c r="J84" s="49"/>
      <c r="K84" s="50"/>
    </row>
    <row r="85" s="34" customFormat="1" ht="25.5" customHeight="1" outlineLevel="1">
      <c r="A85" s="35"/>
      <c r="B85" s="36" t="s">
        <v>26</v>
      </c>
      <c r="C85" s="37"/>
      <c r="D85" s="37"/>
      <c r="E85" s="37"/>
      <c r="F85" s="37"/>
      <c r="G85" s="37"/>
      <c r="H85" s="37"/>
      <c r="I85" s="37"/>
      <c r="J85" s="37"/>
      <c r="K85" s="38"/>
    </row>
    <row r="86" ht="14.25" customHeight="1" outlineLevel="1">
      <c r="A86" s="51">
        <v>1</v>
      </c>
      <c r="B86" s="52" t="s">
        <v>123</v>
      </c>
      <c r="C86" s="52" t="s">
        <v>124</v>
      </c>
      <c r="D86" s="52" t="s">
        <v>604</v>
      </c>
      <c r="E86" s="107">
        <v>2678219.1800000002</v>
      </c>
      <c r="F86" s="54" t="s">
        <v>403</v>
      </c>
      <c r="G86" s="229" t="s">
        <v>260</v>
      </c>
      <c r="H86" s="52"/>
      <c r="I86" s="52"/>
      <c r="J86" s="55"/>
      <c r="K86" s="56"/>
    </row>
    <row r="87" ht="14.25" customHeight="1" outlineLevel="1">
      <c r="A87" s="39">
        <v>2</v>
      </c>
      <c r="B87" s="40" t="s">
        <v>123</v>
      </c>
      <c r="C87" s="40" t="s">
        <v>124</v>
      </c>
      <c r="D87" s="40" t="s">
        <v>605</v>
      </c>
      <c r="E87" s="95">
        <v>8856.7000000000007</v>
      </c>
      <c r="F87" s="42" t="s">
        <v>401</v>
      </c>
      <c r="G87" s="248" t="s">
        <v>260</v>
      </c>
      <c r="H87" s="40"/>
      <c r="I87" s="40"/>
      <c r="J87" s="43"/>
      <c r="K87" s="44"/>
    </row>
    <row r="88" ht="14.25" customHeight="1" outlineLevel="1">
      <c r="A88" s="39">
        <v>3</v>
      </c>
      <c r="B88" s="40" t="s">
        <v>123</v>
      </c>
      <c r="C88" s="40" t="s">
        <v>124</v>
      </c>
      <c r="D88" s="40" t="s">
        <v>605</v>
      </c>
      <c r="E88" s="95">
        <v>1794762.1200000001</v>
      </c>
      <c r="F88" s="42" t="s">
        <v>403</v>
      </c>
      <c r="G88" s="248" t="s">
        <v>260</v>
      </c>
      <c r="H88" s="40"/>
      <c r="I88" s="40"/>
      <c r="J88" s="43"/>
      <c r="K88" s="44"/>
    </row>
    <row r="89" ht="14.25" customHeight="1" outlineLevel="1">
      <c r="A89" s="45">
        <v>4</v>
      </c>
      <c r="B89" s="46"/>
      <c r="C89" s="46"/>
      <c r="D89" s="46"/>
      <c r="E89" s="47"/>
      <c r="F89" s="48"/>
      <c r="G89" s="46"/>
      <c r="H89" s="46"/>
      <c r="I89" s="46"/>
      <c r="J89" s="49"/>
      <c r="K89" s="50"/>
    </row>
    <row r="90" ht="15" customHeight="1" outlineLevel="1">
      <c r="A90" s="62">
        <v>5</v>
      </c>
      <c r="B90" s="57"/>
      <c r="C90" s="57"/>
      <c r="D90" s="57"/>
      <c r="E90" s="58"/>
      <c r="F90" s="59"/>
      <c r="G90" s="57"/>
      <c r="H90" s="57"/>
      <c r="I90" s="57"/>
      <c r="J90" s="60"/>
      <c r="K90" s="61"/>
    </row>
    <row r="91" ht="23.100000000000001" customHeight="1">
      <c r="A91" s="63" t="s">
        <v>27</v>
      </c>
      <c r="B91" s="64"/>
      <c r="C91" s="64"/>
      <c r="D91" s="64"/>
      <c r="E91" s="65">
        <f>SUM(E16:E90)</f>
        <v>320583196.76999998</v>
      </c>
    </row>
    <row r="92" ht="23.100000000000001" customHeight="1">
      <c r="A92" s="63" t="s">
        <v>28</v>
      </c>
      <c r="B92" s="64"/>
      <c r="C92" s="64"/>
      <c r="D92" s="64"/>
      <c r="E92" s="65">
        <f>E4-E91</f>
        <v>-319436183.12</v>
      </c>
      <c r="F92" s="66"/>
    </row>
    <row r="93" ht="30.75" customHeight="1">
      <c r="A93" s="66"/>
      <c r="B93" s="66"/>
      <c r="C93" s="66"/>
      <c r="D93" s="66"/>
      <c r="E93" s="66"/>
      <c r="F93" s="66"/>
    </row>
    <row r="94" ht="30" customHeight="1">
      <c r="A94" s="9" t="s">
        <v>515</v>
      </c>
      <c r="B94" s="10"/>
      <c r="C94" s="10"/>
      <c r="D94" s="11"/>
      <c r="E94" s="170">
        <f>SUM(E95:E95)</f>
        <v>180012.84</v>
      </c>
      <c r="F94" s="136" t="s">
        <v>39</v>
      </c>
      <c r="G94" s="68" t="s">
        <v>30</v>
      </c>
      <c r="H94" s="13"/>
      <c r="I94" s="13"/>
    </row>
    <row r="95" ht="15" customHeight="1">
      <c r="A95" s="69" t="s">
        <v>31</v>
      </c>
      <c r="B95" s="70"/>
      <c r="C95" s="70"/>
      <c r="D95" s="71"/>
      <c r="E95" s="72">
        <v>180012.84</v>
      </c>
      <c r="F95" s="13"/>
      <c r="G95" s="13"/>
      <c r="H95" s="13"/>
      <c r="I95" s="13"/>
    </row>
    <row r="96" ht="4.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ht="25.5" customHeight="1" outlineLevel="1">
      <c r="A97" s="31" t="s">
        <v>10</v>
      </c>
      <c r="B97" s="31" t="s">
        <v>11</v>
      </c>
      <c r="C97" s="31" t="s">
        <v>12</v>
      </c>
      <c r="D97" s="31" t="s">
        <v>13</v>
      </c>
      <c r="E97" s="32" t="s">
        <v>14</v>
      </c>
      <c r="F97" s="31" t="s">
        <v>15</v>
      </c>
      <c r="G97" s="31" t="s">
        <v>16</v>
      </c>
      <c r="H97" s="33" t="s">
        <v>17</v>
      </c>
      <c r="I97" s="31" t="s">
        <v>18</v>
      </c>
      <c r="J97" s="31" t="s">
        <v>19</v>
      </c>
      <c r="K97" s="31" t="s">
        <v>32</v>
      </c>
    </row>
    <row r="98" s="34" customFormat="1" ht="25.5" customHeight="1" outlineLevel="1">
      <c r="A98" s="35"/>
      <c r="B98" s="37" t="s">
        <v>33</v>
      </c>
      <c r="C98" s="37"/>
      <c r="D98" s="37"/>
      <c r="E98" s="37"/>
      <c r="F98" s="37"/>
      <c r="G98" s="37"/>
      <c r="H98" s="37"/>
      <c r="I98" s="37"/>
      <c r="J98" s="37"/>
      <c r="K98" s="38"/>
    </row>
    <row r="99" ht="14.25" customHeight="1" outlineLevel="1">
      <c r="A99" s="39">
        <v>1</v>
      </c>
      <c r="B99" s="52" t="s">
        <v>112</v>
      </c>
      <c r="C99" s="52" t="s">
        <v>356</v>
      </c>
      <c r="D99" s="52"/>
      <c r="E99" s="107">
        <v>27900</v>
      </c>
      <c r="F99" s="54" t="s">
        <v>581</v>
      </c>
      <c r="G99" s="289" t="s">
        <v>606</v>
      </c>
      <c r="H99" s="52"/>
      <c r="I99" s="52" t="s">
        <v>607</v>
      </c>
      <c r="J99" s="55" t="s">
        <v>46</v>
      </c>
      <c r="K99" s="56"/>
    </row>
    <row r="100" ht="14.25" customHeight="1" outlineLevel="1">
      <c r="A100" s="39">
        <v>2</v>
      </c>
      <c r="B100" s="46" t="s">
        <v>526</v>
      </c>
      <c r="C100" s="46" t="s">
        <v>608</v>
      </c>
      <c r="D100" s="46" t="s">
        <v>373</v>
      </c>
      <c r="E100" s="98">
        <v>2100</v>
      </c>
      <c r="F100" s="48" t="s">
        <v>609</v>
      </c>
      <c r="G100" s="46" t="s">
        <v>260</v>
      </c>
      <c r="H100" s="46"/>
      <c r="I100" s="46"/>
      <c r="J100" s="49" t="s">
        <v>46</v>
      </c>
      <c r="K100" s="50"/>
    </row>
    <row r="101" ht="14.25" customHeight="1" outlineLevel="1">
      <c r="A101" s="39">
        <v>3</v>
      </c>
      <c r="B101" s="46" t="s">
        <v>526</v>
      </c>
      <c r="C101" s="46" t="s">
        <v>372</v>
      </c>
      <c r="D101" s="46" t="s">
        <v>373</v>
      </c>
      <c r="E101" s="98">
        <v>2100</v>
      </c>
      <c r="F101" s="48" t="s">
        <v>609</v>
      </c>
      <c r="G101" s="46" t="s">
        <v>260</v>
      </c>
      <c r="H101" s="46"/>
      <c r="I101" s="46"/>
      <c r="J101" s="49" t="s">
        <v>46</v>
      </c>
      <c r="K101" s="50"/>
    </row>
    <row r="102" ht="14.25" customHeight="1" outlineLevel="1">
      <c r="A102" s="39">
        <v>4</v>
      </c>
      <c r="B102" s="46" t="s">
        <v>526</v>
      </c>
      <c r="C102" s="46" t="s">
        <v>610</v>
      </c>
      <c r="D102" s="46" t="s">
        <v>373</v>
      </c>
      <c r="E102" s="98">
        <v>2100</v>
      </c>
      <c r="F102" s="48" t="s">
        <v>609</v>
      </c>
      <c r="G102" s="341" t="s">
        <v>260</v>
      </c>
      <c r="H102" s="46"/>
      <c r="I102" s="46"/>
      <c r="J102" s="49" t="s">
        <v>46</v>
      </c>
      <c r="K102" s="50"/>
    </row>
    <row r="103" ht="14.25" customHeight="1" outlineLevel="1">
      <c r="A103" s="39">
        <v>5</v>
      </c>
      <c r="B103" s="46" t="s">
        <v>112</v>
      </c>
      <c r="C103" s="46" t="s">
        <v>611</v>
      </c>
      <c r="D103" s="46" t="s">
        <v>612</v>
      </c>
      <c r="E103" s="172">
        <v>20010</v>
      </c>
      <c r="F103" s="48" t="s">
        <v>613</v>
      </c>
      <c r="G103" s="46" t="s">
        <v>260</v>
      </c>
      <c r="H103" s="46" t="s">
        <v>45</v>
      </c>
      <c r="I103" s="46"/>
      <c r="J103" s="49" t="s">
        <v>46</v>
      </c>
      <c r="K103" s="50"/>
    </row>
    <row r="104" ht="14.25" customHeight="1" outlineLevel="1">
      <c r="A104" s="39">
        <v>6</v>
      </c>
      <c r="B104" s="46" t="s">
        <v>112</v>
      </c>
      <c r="C104" s="46" t="s">
        <v>112</v>
      </c>
      <c r="D104" s="46"/>
      <c r="E104" s="98">
        <v>8500</v>
      </c>
      <c r="F104" s="48" t="s">
        <v>614</v>
      </c>
      <c r="G104" s="46" t="s">
        <v>260</v>
      </c>
      <c r="H104" s="46"/>
      <c r="I104" s="46"/>
      <c r="J104" s="49" t="s">
        <v>46</v>
      </c>
      <c r="K104" s="50"/>
    </row>
    <row r="105" ht="14.25" customHeight="1" outlineLevel="1">
      <c r="A105" s="39">
        <v>7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8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9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10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11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12</v>
      </c>
      <c r="B110" s="46"/>
      <c r="C110" s="46"/>
      <c r="D110" s="46"/>
      <c r="E110" s="47"/>
      <c r="F110" s="48"/>
      <c r="G110" s="46"/>
      <c r="H110" s="46"/>
      <c r="I110" s="46"/>
      <c r="J110" s="49"/>
      <c r="K110" s="50"/>
    </row>
    <row r="111" ht="14.25" customHeight="1" outlineLevel="1">
      <c r="A111" s="39">
        <v>13</v>
      </c>
      <c r="B111" s="46"/>
      <c r="C111" s="46"/>
      <c r="D111" s="46"/>
      <c r="E111" s="47"/>
      <c r="F111" s="48"/>
      <c r="G111" s="46"/>
      <c r="H111" s="46"/>
      <c r="I111" s="46"/>
      <c r="J111" s="49"/>
      <c r="K111" s="50"/>
    </row>
    <row r="112" ht="14.25" customHeight="1" outlineLevel="1">
      <c r="A112" s="39">
        <v>14</v>
      </c>
      <c r="B112" s="46"/>
      <c r="C112" s="46"/>
      <c r="D112" s="46"/>
      <c r="E112" s="47">
        <v>100000</v>
      </c>
      <c r="F112" s="48"/>
      <c r="G112" s="46"/>
      <c r="H112" s="46"/>
      <c r="I112" s="46"/>
      <c r="J112" s="49"/>
      <c r="K112" s="50"/>
    </row>
    <row r="113" ht="14.25" customHeight="1" outlineLevel="1">
      <c r="A113" s="39">
        <v>15</v>
      </c>
      <c r="B113" s="57"/>
      <c r="C113" s="57"/>
      <c r="D113" s="57"/>
      <c r="E113" s="58"/>
      <c r="F113" s="59"/>
      <c r="G113" s="57"/>
      <c r="H113" s="57"/>
      <c r="I113" s="57"/>
      <c r="J113" s="60"/>
      <c r="K113" s="61"/>
    </row>
    <row r="114" s="34" customFormat="1" ht="25.5" customHeight="1" outlineLevel="1">
      <c r="A114" s="35"/>
      <c r="B114" s="37" t="s">
        <v>25</v>
      </c>
      <c r="C114" s="37"/>
      <c r="D114" s="37"/>
      <c r="E114" s="37"/>
      <c r="F114" s="37"/>
      <c r="G114" s="37"/>
      <c r="H114" s="37"/>
      <c r="I114" s="37"/>
      <c r="J114" s="37"/>
      <c r="K114" s="38"/>
    </row>
    <row r="115" ht="15" outlineLevel="1">
      <c r="A115" s="51">
        <v>1</v>
      </c>
      <c r="B115" s="326"/>
      <c r="C115" s="326"/>
      <c r="D115" s="326"/>
      <c r="E115" s="342"/>
      <c r="F115" s="326"/>
      <c r="G115" s="343"/>
      <c r="H115" s="343"/>
      <c r="I115" s="343"/>
      <c r="J115" s="55"/>
      <c r="K115" s="56"/>
    </row>
    <row r="116" ht="27" customHeight="1" outlineLevel="1">
      <c r="A116" s="96">
        <v>2</v>
      </c>
      <c r="B116" s="140"/>
      <c r="C116" s="140"/>
      <c r="D116" s="140"/>
      <c r="E116" s="140"/>
      <c r="F116" s="140"/>
      <c r="G116" s="140"/>
      <c r="H116" s="140"/>
      <c r="I116" s="140"/>
      <c r="J116" s="197"/>
      <c r="K116" s="50"/>
    </row>
    <row r="117" ht="14.25" customHeight="1" outlineLevel="1">
      <c r="A117" s="45">
        <v>3</v>
      </c>
      <c r="B117" s="40"/>
      <c r="C117" s="40"/>
      <c r="D117" s="40"/>
      <c r="E117" s="41"/>
      <c r="F117" s="42"/>
      <c r="G117" s="40"/>
      <c r="H117" s="40"/>
      <c r="I117" s="40"/>
      <c r="J117" s="49"/>
      <c r="K117" s="50"/>
    </row>
    <row r="118" ht="14.25" customHeight="1" outlineLevel="1">
      <c r="A118" s="45">
        <v>4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5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6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7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8</v>
      </c>
      <c r="B122" s="46"/>
      <c r="C122" s="46"/>
      <c r="D122" s="46"/>
      <c r="E122" s="47"/>
      <c r="F122" s="48"/>
      <c r="G122" s="46"/>
      <c r="H122" s="46"/>
      <c r="I122" s="46"/>
      <c r="J122" s="49"/>
      <c r="K122" s="50"/>
    </row>
    <row r="123" ht="14.25" customHeight="1" outlineLevel="1">
      <c r="A123" s="45">
        <v>9</v>
      </c>
      <c r="B123" s="46"/>
      <c r="C123" s="46"/>
      <c r="D123" s="46"/>
      <c r="E123" s="47"/>
      <c r="F123" s="48"/>
      <c r="G123" s="46"/>
      <c r="H123" s="46"/>
      <c r="I123" s="46"/>
      <c r="J123" s="49"/>
      <c r="K123" s="50"/>
    </row>
    <row r="124" ht="14.25" customHeight="1" outlineLevel="1">
      <c r="A124" s="45">
        <v>10</v>
      </c>
      <c r="B124" s="57"/>
      <c r="C124" s="57"/>
      <c r="D124" s="57"/>
      <c r="E124" s="58"/>
      <c r="F124" s="59"/>
      <c r="G124" s="57"/>
      <c r="H124" s="57"/>
      <c r="I124" s="57"/>
      <c r="J124" s="60"/>
      <c r="K124" s="61"/>
    </row>
    <row r="125" ht="23.100000000000001" customHeight="1">
      <c r="A125" s="63" t="s">
        <v>34</v>
      </c>
      <c r="B125" s="64"/>
      <c r="C125" s="64"/>
      <c r="D125" s="73"/>
      <c r="E125" s="65">
        <f>SUM(E98:E124)</f>
        <v>162710</v>
      </c>
    </row>
    <row r="126" ht="23.100000000000001" customHeight="1">
      <c r="A126" s="63" t="s">
        <v>28</v>
      </c>
      <c r="B126" s="64"/>
      <c r="C126" s="64"/>
      <c r="D126" s="73"/>
      <c r="E126" s="65">
        <f>E94-E125</f>
        <v>17302.839999999997</v>
      </c>
      <c r="F126" s="66"/>
    </row>
    <row r="127" ht="24.75" customHeight="1">
      <c r="E127" s="1"/>
    </row>
    <row r="128" ht="30" customHeight="1">
      <c r="A128" s="74" t="s">
        <v>35</v>
      </c>
      <c r="B128" s="75"/>
      <c r="C128" s="75"/>
      <c r="D128" s="76"/>
      <c r="E128" s="77">
        <f>SUM(E129:E129)</f>
        <v>199307</v>
      </c>
      <c r="F128" s="13"/>
      <c r="G128" s="13"/>
      <c r="H128" s="13"/>
      <c r="I128" s="13"/>
    </row>
    <row r="129" ht="15" customHeight="1">
      <c r="A129" s="69" t="s">
        <v>36</v>
      </c>
      <c r="B129" s="70"/>
      <c r="C129" s="70"/>
      <c r="D129" s="71"/>
      <c r="E129" s="72">
        <v>199307</v>
      </c>
      <c r="F129" s="13"/>
      <c r="G129" s="13"/>
      <c r="H129" s="13"/>
      <c r="I129" s="13"/>
    </row>
    <row r="130" ht="5.25" customHeight="1">
      <c r="A130" s="13"/>
      <c r="B130" s="13"/>
      <c r="C130" s="13"/>
      <c r="D130" s="13"/>
      <c r="E130" s="13"/>
      <c r="F130" s="13"/>
      <c r="G130" s="13"/>
      <c r="H130" s="13"/>
      <c r="I130" s="13"/>
    </row>
    <row r="131" ht="25.5" customHeight="1" outlineLevel="1">
      <c r="A131" s="31" t="s">
        <v>10</v>
      </c>
      <c r="B131" s="31" t="s">
        <v>11</v>
      </c>
      <c r="C131" s="31" t="s">
        <v>12</v>
      </c>
      <c r="D131" s="31" t="s">
        <v>13</v>
      </c>
      <c r="E131" s="32" t="s">
        <v>14</v>
      </c>
      <c r="F131" s="31" t="s">
        <v>15</v>
      </c>
      <c r="G131" s="31" t="s">
        <v>16</v>
      </c>
      <c r="H131" s="33" t="s">
        <v>17</v>
      </c>
      <c r="I131" s="31" t="s">
        <v>18</v>
      </c>
      <c r="J131" s="31" t="s">
        <v>19</v>
      </c>
      <c r="K131" s="31" t="s">
        <v>32</v>
      </c>
    </row>
    <row r="132" s="34" customFormat="1" ht="18.75" customHeight="1" outlineLevel="1">
      <c r="A132" s="78"/>
      <c r="B132" s="79" t="s">
        <v>37</v>
      </c>
      <c r="C132" s="80"/>
      <c r="D132" s="81"/>
      <c r="E132" s="82"/>
      <c r="F132" s="79"/>
      <c r="G132" s="79"/>
      <c r="H132" s="79"/>
      <c r="I132" s="79"/>
      <c r="J132" s="79"/>
      <c r="K132" s="83"/>
    </row>
    <row r="133" ht="14.25" customHeight="1" outlineLevel="1">
      <c r="A133" s="51">
        <v>1</v>
      </c>
      <c r="B133" s="52"/>
      <c r="C133" s="52"/>
      <c r="D133" s="52"/>
      <c r="E133" s="53"/>
      <c r="F133" s="54"/>
      <c r="G133" s="52"/>
      <c r="H133" s="52"/>
      <c r="I133" s="52"/>
      <c r="J133" s="55"/>
      <c r="K133" s="56"/>
    </row>
    <row r="134" ht="14.25" customHeight="1" outlineLevel="1">
      <c r="A134" s="45">
        <v>2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3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4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5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4.25" customHeight="1" outlineLevel="1">
      <c r="A138" s="45">
        <v>6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4.25" customHeight="1" outlineLevel="1">
      <c r="A139" s="45">
        <v>7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8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9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10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11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12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45">
        <v>13</v>
      </c>
      <c r="B145" s="46"/>
      <c r="C145" s="46"/>
      <c r="D145" s="46"/>
      <c r="E145" s="47"/>
      <c r="F145" s="48"/>
      <c r="G145" s="46"/>
      <c r="H145" s="46"/>
      <c r="I145" s="46"/>
      <c r="J145" s="49"/>
      <c r="K145" s="50"/>
    </row>
    <row r="146" ht="15.75" customHeight="1" outlineLevel="1">
      <c r="A146" s="45">
        <v>14</v>
      </c>
      <c r="B146" s="46"/>
      <c r="C146" s="46"/>
      <c r="D146" s="46"/>
      <c r="E146" s="47"/>
      <c r="F146" s="48"/>
      <c r="G146" s="46"/>
      <c r="H146" s="46"/>
      <c r="I146" s="46"/>
      <c r="J146" s="49"/>
      <c r="K146" s="50"/>
    </row>
    <row r="147" ht="15.75" customHeight="1" outlineLevel="1">
      <c r="A147" s="62">
        <v>15</v>
      </c>
      <c r="B147" s="57"/>
      <c r="C147" s="57"/>
      <c r="D147" s="57"/>
      <c r="E147" s="58"/>
      <c r="F147" s="59"/>
      <c r="G147" s="57"/>
      <c r="H147" s="57"/>
      <c r="I147" s="57"/>
      <c r="J147" s="60"/>
      <c r="K147" s="61"/>
    </row>
    <row r="148" ht="23.100000000000001" customHeight="1">
      <c r="A148" s="84" t="s">
        <v>38</v>
      </c>
      <c r="B148" s="85"/>
      <c r="C148" s="85"/>
      <c r="D148" s="86"/>
      <c r="E148" s="87">
        <f>SUM(E132:E147)</f>
        <v>0</v>
      </c>
    </row>
    <row r="149" ht="23.100000000000001" customHeight="1">
      <c r="A149" s="84" t="s">
        <v>28</v>
      </c>
      <c r="B149" s="85"/>
      <c r="C149" s="85"/>
      <c r="D149" s="86"/>
      <c r="E149" s="87">
        <f>E128-E148</f>
        <v>199307</v>
      </c>
      <c r="F149" s="66"/>
    </row>
    <row r="153" ht="14.25">
      <c r="E153" s="1"/>
    </row>
    <row r="154" ht="14.25">
      <c r="E154" s="1"/>
    </row>
    <row r="155" ht="14.25">
      <c r="E155" s="1"/>
    </row>
    <row r="156" ht="14.25">
      <c r="E156" s="1"/>
    </row>
    <row r="207" ht="25.5" customHeight="1"/>
  </sheetData>
  <autoFilter ref="A15:K92"/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91:D91"/>
    <mergeCell ref="A92:D92"/>
    <mergeCell ref="A94:D94"/>
    <mergeCell ref="A95:D95"/>
    <mergeCell ref="A125:D125"/>
    <mergeCell ref="A126:D126"/>
    <mergeCell ref="A128:D128"/>
    <mergeCell ref="A129:D129"/>
    <mergeCell ref="A148:D148"/>
    <mergeCell ref="A149:D149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44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7500DE-00E1-4E9F-A316-00BD003C00AC}" type="list" allowBlank="1" errorStyle="stop" imeMode="noControl" operator="between" showDropDown="0" showErrorMessage="1" showInputMessage="1">
          <x14:formula1>
            <xm:f>ДаНет</xm:f>
          </x14:formula1>
          <xm:sqref>H61 H64:H75 H45:H48 H50:H59 H49 H124:H138 H77:H81 H90:H104 H107:H109 H111:H115 H17:H27 H29:H43 G47 G79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4">
    <outlinePr applyStyles="0" summaryBelow="1" summaryRight="1" showOutlineSymbols="1"/>
    <pageSetUpPr autoPageBreaks="1" fitToPage="0"/>
  </sheetPr>
  <sheetViews>
    <sheetView showGridLines="0" showRuler="1" topLeftCell="A11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5.4218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'23'!C2+1</f>
        <v>46105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9542714.8400000017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9428535.4700000007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0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7" t="s">
        <v>615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92">
        <v>1</v>
      </c>
      <c r="B17" s="97" t="s">
        <v>47</v>
      </c>
      <c r="C17" s="99" t="s">
        <v>57</v>
      </c>
      <c r="D17" s="186" t="s">
        <v>58</v>
      </c>
      <c r="E17" s="298">
        <v>10000000</v>
      </c>
      <c r="F17" s="209" t="s">
        <v>44</v>
      </c>
      <c r="G17" s="40"/>
      <c r="H17" s="40" t="s">
        <v>45</v>
      </c>
      <c r="I17" s="40"/>
      <c r="J17" s="43" t="s">
        <v>46</v>
      </c>
      <c r="K17" s="44"/>
    </row>
    <row r="18" ht="14.25" customHeight="1" outlineLevel="1">
      <c r="A18" s="96">
        <v>2</v>
      </c>
      <c r="B18" s="97" t="s">
        <v>47</v>
      </c>
      <c r="C18" s="46" t="s">
        <v>408</v>
      </c>
      <c r="D18" s="46" t="s">
        <v>409</v>
      </c>
      <c r="E18" s="301">
        <v>500000</v>
      </c>
      <c r="F18" s="48" t="s">
        <v>44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96">
        <v>3</v>
      </c>
      <c r="B19" s="97" t="s">
        <v>47</v>
      </c>
      <c r="C19" s="46" t="s">
        <v>408</v>
      </c>
      <c r="D19" s="46" t="s">
        <v>409</v>
      </c>
      <c r="E19" s="302">
        <v>2000000</v>
      </c>
      <c r="F19" s="156" t="s">
        <v>44</v>
      </c>
      <c r="G19" s="46"/>
      <c r="H19" s="46" t="s">
        <v>45</v>
      </c>
      <c r="I19" s="46"/>
      <c r="J19" s="49"/>
      <c r="K19" s="50"/>
    </row>
    <row r="20" ht="14.25" customHeight="1" outlineLevel="1">
      <c r="A20" s="45">
        <v>4</v>
      </c>
      <c r="B20" s="156"/>
      <c r="C20" s="156"/>
      <c r="D20" s="156"/>
      <c r="E20" s="344"/>
      <c r="F20" s="156"/>
      <c r="G20" s="46"/>
      <c r="H20" s="46"/>
      <c r="I20" s="46"/>
      <c r="J20" s="49"/>
      <c r="K20" s="50"/>
    </row>
    <row r="21" ht="14.25" customHeight="1" outlineLevel="1">
      <c r="A21" s="45">
        <v>14</v>
      </c>
      <c r="B21" s="156" t="s">
        <v>41</v>
      </c>
      <c r="C21" s="156" t="s">
        <v>42</v>
      </c>
      <c r="D21" s="156" t="s">
        <v>43</v>
      </c>
      <c r="E21" s="309">
        <v>2000000</v>
      </c>
      <c r="F21" s="156"/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15</v>
      </c>
      <c r="B22" s="94" t="s">
        <v>41</v>
      </c>
      <c r="C22" s="94" t="s">
        <v>392</v>
      </c>
      <c r="D22" s="94" t="s">
        <v>393</v>
      </c>
      <c r="E22" s="301">
        <v>495000</v>
      </c>
      <c r="F22" s="156" t="s">
        <v>44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45"/>
      <c r="B23" s="46"/>
      <c r="C23" s="46"/>
      <c r="D23" s="46"/>
      <c r="E23" s="101"/>
      <c r="F23" s="48"/>
      <c r="G23" s="46"/>
      <c r="H23" s="46"/>
      <c r="I23" s="46"/>
      <c r="J23" s="49"/>
      <c r="K23" s="50"/>
    </row>
    <row r="24" ht="14.25" customHeight="1" outlineLevel="1">
      <c r="A24" s="45"/>
      <c r="B24" s="94" t="s">
        <v>41</v>
      </c>
      <c r="C24" s="94" t="s">
        <v>82</v>
      </c>
      <c r="D24" s="94" t="s">
        <v>83</v>
      </c>
      <c r="E24" s="98">
        <v>1300000</v>
      </c>
      <c r="F24" s="156" t="s">
        <v>44</v>
      </c>
      <c r="G24" s="46"/>
      <c r="H24" s="46" t="s">
        <v>45</v>
      </c>
      <c r="I24" s="46"/>
      <c r="J24" s="49" t="s">
        <v>46</v>
      </c>
      <c r="K24" s="50"/>
    </row>
    <row r="25" ht="14.25" customHeight="1" outlineLevel="1">
      <c r="A25" s="45"/>
      <c r="B25" s="46"/>
      <c r="C25" s="46"/>
      <c r="D25" s="46"/>
      <c r="E25" s="101"/>
      <c r="F25" s="48"/>
      <c r="G25" s="46"/>
      <c r="H25" s="46"/>
      <c r="I25" s="46"/>
      <c r="J25" s="49"/>
      <c r="K25" s="50"/>
    </row>
    <row r="26" ht="14.25" customHeight="1" outlineLevel="1">
      <c r="A26" s="345"/>
      <c r="B26" s="346" t="s">
        <v>41</v>
      </c>
      <c r="C26" s="346" t="s">
        <v>48</v>
      </c>
      <c r="D26" s="346" t="s">
        <v>49</v>
      </c>
      <c r="E26" s="98">
        <v>1528300</v>
      </c>
      <c r="F26" s="347" t="s">
        <v>616</v>
      </c>
      <c r="G26" s="348"/>
      <c r="H26" s="348" t="s">
        <v>45</v>
      </c>
      <c r="I26" s="348"/>
      <c r="J26" s="349" t="s">
        <v>46</v>
      </c>
      <c r="K26" s="350"/>
    </row>
    <row r="27" ht="14.25" customHeight="1" outlineLevel="1">
      <c r="A27" s="345"/>
      <c r="B27" s="346" t="s">
        <v>41</v>
      </c>
      <c r="C27" s="346" t="s">
        <v>48</v>
      </c>
      <c r="D27" s="346" t="s">
        <v>49</v>
      </c>
      <c r="E27" s="98">
        <v>1530000</v>
      </c>
      <c r="F27" s="347" t="s">
        <v>617</v>
      </c>
      <c r="G27" s="348"/>
      <c r="H27" s="348" t="s">
        <v>45</v>
      </c>
      <c r="I27" s="348"/>
      <c r="J27" s="349" t="s">
        <v>46</v>
      </c>
      <c r="K27" s="350"/>
    </row>
    <row r="28" ht="14.25" customHeight="1" outlineLevel="1">
      <c r="A28" s="345"/>
      <c r="B28" s="346" t="s">
        <v>41</v>
      </c>
      <c r="C28" s="346" t="s">
        <v>48</v>
      </c>
      <c r="D28" s="346" t="s">
        <v>49</v>
      </c>
      <c r="E28" s="98">
        <v>876095</v>
      </c>
      <c r="F28" s="347" t="s">
        <v>618</v>
      </c>
      <c r="G28" s="348"/>
      <c r="H28" s="348" t="s">
        <v>45</v>
      </c>
      <c r="I28" s="348"/>
      <c r="J28" s="349" t="s">
        <v>46</v>
      </c>
      <c r="K28" s="350"/>
    </row>
    <row r="29" ht="14.25" customHeight="1" outlineLevel="1">
      <c r="A29" s="45"/>
      <c r="B29" s="46"/>
      <c r="C29" s="46" t="s">
        <v>78</v>
      </c>
      <c r="D29" s="46"/>
      <c r="E29" s="98">
        <v>1450000</v>
      </c>
      <c r="F29" s="48"/>
      <c r="G29" s="46"/>
      <c r="H29" s="46" t="s">
        <v>45</v>
      </c>
      <c r="I29" s="46"/>
      <c r="J29" s="49" t="s">
        <v>46</v>
      </c>
      <c r="K29" s="50"/>
    </row>
    <row r="30" ht="14.25" customHeight="1" outlineLevel="1">
      <c r="A30" s="45">
        <v>17</v>
      </c>
      <c r="B30" s="46" t="s">
        <v>152</v>
      </c>
      <c r="C30" s="46" t="s">
        <v>154</v>
      </c>
      <c r="D30" s="283">
        <v>202057</v>
      </c>
      <c r="E30" s="301">
        <v>5000000</v>
      </c>
      <c r="F30" s="48"/>
      <c r="G30" s="46"/>
      <c r="H30" s="46" t="s">
        <v>45</v>
      </c>
      <c r="I30" s="46"/>
      <c r="J30" s="49" t="s">
        <v>46</v>
      </c>
      <c r="K30" s="50"/>
    </row>
    <row r="31" ht="14.25" customHeight="1" outlineLevel="1">
      <c r="A31" s="45">
        <v>18</v>
      </c>
      <c r="B31" s="46" t="s">
        <v>152</v>
      </c>
      <c r="C31" s="46" t="s">
        <v>153</v>
      </c>
      <c r="D31" s="284">
        <v>2022</v>
      </c>
      <c r="E31" s="307">
        <v>5000000</v>
      </c>
      <c r="F31" s="48"/>
      <c r="G31" s="46"/>
      <c r="H31" s="46" t="s">
        <v>45</v>
      </c>
      <c r="I31" s="46"/>
      <c r="J31" s="49" t="s">
        <v>46</v>
      </c>
      <c r="K31" s="50"/>
    </row>
    <row r="32" s="34" customFormat="1" ht="25.5" customHeight="1" outlineLevel="1">
      <c r="A32" s="35"/>
      <c r="B32" s="37" t="s">
        <v>23</v>
      </c>
      <c r="C32" s="37"/>
      <c r="D32" s="193"/>
      <c r="E32" s="37"/>
      <c r="F32" s="37"/>
      <c r="G32" s="37"/>
      <c r="H32" s="37"/>
      <c r="I32" s="37"/>
      <c r="J32" s="37"/>
      <c r="K32" s="38"/>
    </row>
    <row r="33" ht="14.25" customHeight="1" outlineLevel="1">
      <c r="A33" s="39">
        <v>1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2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ht="14.25" customHeight="1" outlineLevel="1">
      <c r="A35" s="45">
        <v>3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4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5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6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7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8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39">
        <v>9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10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11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12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13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14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15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s="34" customFormat="1" ht="25.5" customHeight="1" outlineLevel="1">
      <c r="A48" s="35"/>
      <c r="B48" s="37" t="s">
        <v>24</v>
      </c>
      <c r="C48" s="37"/>
      <c r="D48" s="37"/>
      <c r="E48" s="37"/>
      <c r="F48" s="37"/>
      <c r="G48" s="37"/>
      <c r="H48" s="37"/>
      <c r="I48" s="37"/>
      <c r="J48" s="37"/>
      <c r="K48" s="38"/>
    </row>
    <row r="49" ht="14.25" customHeight="1" outlineLevel="1">
      <c r="A49" s="51">
        <v>1</v>
      </c>
      <c r="B49" s="52"/>
      <c r="C49" s="52"/>
      <c r="D49" s="52"/>
      <c r="E49" s="53"/>
      <c r="F49" s="54"/>
      <c r="G49" s="52"/>
      <c r="H49" s="52"/>
      <c r="I49" s="52"/>
      <c r="J49" s="55"/>
      <c r="K49" s="56"/>
    </row>
    <row r="50" ht="14.25" customHeight="1" outlineLevel="1">
      <c r="A50" s="45">
        <v>2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3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4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5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6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7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8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9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10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11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12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13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14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15</v>
      </c>
      <c r="B63" s="57"/>
      <c r="C63" s="57"/>
      <c r="D63" s="57"/>
      <c r="E63" s="58"/>
      <c r="F63" s="59"/>
      <c r="G63" s="57"/>
      <c r="H63" s="57"/>
      <c r="I63" s="57"/>
      <c r="J63" s="60"/>
      <c r="K63" s="61"/>
    </row>
    <row r="64" s="34" customFormat="1" ht="25.5" customHeight="1" outlineLevel="1">
      <c r="A64" s="35"/>
      <c r="B64" s="36" t="s">
        <v>25</v>
      </c>
      <c r="C64" s="37"/>
      <c r="D64" s="37"/>
      <c r="E64" s="37"/>
      <c r="F64" s="37"/>
      <c r="G64" s="37"/>
      <c r="H64" s="37"/>
      <c r="I64" s="37"/>
      <c r="J64" s="37"/>
      <c r="K64" s="38"/>
    </row>
    <row r="65" ht="28.5" outlineLevel="1">
      <c r="A65" s="45">
        <v>1</v>
      </c>
      <c r="B65" s="46" t="s">
        <v>157</v>
      </c>
      <c r="C65" s="46" t="s">
        <v>261</v>
      </c>
      <c r="D65" s="46" t="s">
        <v>262</v>
      </c>
      <c r="E65" s="98">
        <v>15008</v>
      </c>
      <c r="F65" s="48" t="s">
        <v>619</v>
      </c>
      <c r="G65" s="46" t="s">
        <v>260</v>
      </c>
      <c r="H65" s="46"/>
      <c r="I65" s="46"/>
      <c r="J65" s="49" t="s">
        <v>46</v>
      </c>
      <c r="K65" s="50"/>
    </row>
    <row r="66" ht="28.5" outlineLevel="1">
      <c r="A66" s="45">
        <v>2</v>
      </c>
      <c r="B66" s="46" t="s">
        <v>157</v>
      </c>
      <c r="C66" s="46" t="s">
        <v>264</v>
      </c>
      <c r="D66" s="46" t="s">
        <v>262</v>
      </c>
      <c r="E66" s="98">
        <v>32957.910000000003</v>
      </c>
      <c r="F66" s="48" t="s">
        <v>619</v>
      </c>
      <c r="G66" s="46" t="s">
        <v>260</v>
      </c>
      <c r="H66" s="46"/>
      <c r="I66" s="46"/>
      <c r="J66" s="49" t="s">
        <v>46</v>
      </c>
      <c r="K66" s="50"/>
    </row>
    <row r="67" ht="28.5" outlineLevel="1">
      <c r="A67" s="45">
        <v>3</v>
      </c>
      <c r="B67" s="46" t="s">
        <v>157</v>
      </c>
      <c r="C67" s="46" t="s">
        <v>265</v>
      </c>
      <c r="D67" s="46" t="s">
        <v>262</v>
      </c>
      <c r="E67" s="98">
        <v>29195.139999999999</v>
      </c>
      <c r="F67" s="48" t="s">
        <v>619</v>
      </c>
      <c r="G67" s="46" t="s">
        <v>260</v>
      </c>
      <c r="H67" s="46"/>
      <c r="I67" s="46"/>
      <c r="J67" s="49" t="s">
        <v>46</v>
      </c>
      <c r="K67" s="50"/>
    </row>
    <row r="68" ht="28.5" outlineLevel="1">
      <c r="A68" s="45">
        <v>4</v>
      </c>
      <c r="B68" s="46" t="s">
        <v>157</v>
      </c>
      <c r="C68" s="46" t="s">
        <v>266</v>
      </c>
      <c r="D68" s="46" t="s">
        <v>239</v>
      </c>
      <c r="E68" s="98">
        <v>123370.77</v>
      </c>
      <c r="F68" s="48" t="s">
        <v>619</v>
      </c>
      <c r="G68" s="46" t="s">
        <v>260</v>
      </c>
      <c r="H68" s="46"/>
      <c r="I68" s="46"/>
      <c r="J68" s="49" t="s">
        <v>46</v>
      </c>
      <c r="K68" s="50"/>
    </row>
    <row r="69" ht="28.5" outlineLevel="1">
      <c r="A69" s="45">
        <v>5</v>
      </c>
      <c r="B69" s="46" t="s">
        <v>157</v>
      </c>
      <c r="C69" s="46" t="s">
        <v>238</v>
      </c>
      <c r="D69" s="46" t="s">
        <v>239</v>
      </c>
      <c r="E69" s="98">
        <v>627330.44999999995</v>
      </c>
      <c r="F69" s="48" t="s">
        <v>619</v>
      </c>
      <c r="G69" s="46" t="s">
        <v>260</v>
      </c>
      <c r="H69" s="46"/>
      <c r="I69" s="46"/>
      <c r="J69" s="49" t="s">
        <v>46</v>
      </c>
      <c r="K69" s="50"/>
    </row>
    <row r="70" ht="28.5" outlineLevel="1">
      <c r="A70" s="45">
        <v>6</v>
      </c>
      <c r="B70" s="46" t="s">
        <v>157</v>
      </c>
      <c r="C70" s="46" t="s">
        <v>117</v>
      </c>
      <c r="D70" s="46" t="s">
        <v>118</v>
      </c>
      <c r="E70" s="98">
        <v>1190500</v>
      </c>
      <c r="F70" s="48" t="s">
        <v>620</v>
      </c>
      <c r="G70" s="46" t="s">
        <v>260</v>
      </c>
      <c r="H70" s="46" t="s">
        <v>225</v>
      </c>
      <c r="I70" s="46" t="s">
        <v>621</v>
      </c>
      <c r="J70" s="49" t="s">
        <v>46</v>
      </c>
      <c r="K70" s="50"/>
    </row>
    <row r="71" ht="14.25" customHeight="1" outlineLevel="1">
      <c r="A71" s="45">
        <v>7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8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9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10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11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12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13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14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15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s="34" customFormat="1" ht="25.5" customHeight="1" outlineLevel="1">
      <c r="A80" s="35"/>
      <c r="B80" s="36" t="s">
        <v>26</v>
      </c>
      <c r="C80" s="37"/>
      <c r="D80" s="37"/>
      <c r="E80" s="37"/>
      <c r="F80" s="37"/>
      <c r="G80" s="37"/>
      <c r="H80" s="37"/>
      <c r="I80" s="37"/>
      <c r="J80" s="37"/>
      <c r="K80" s="38"/>
    </row>
    <row r="81" ht="14.25" customHeight="1" outlineLevel="1">
      <c r="A81" s="51">
        <v>1</v>
      </c>
      <c r="B81" s="52"/>
      <c r="C81" s="52"/>
      <c r="D81" s="52"/>
      <c r="E81" s="53"/>
      <c r="F81" s="54"/>
      <c r="G81" s="52"/>
      <c r="H81" s="52"/>
      <c r="I81" s="52"/>
      <c r="J81" s="55"/>
      <c r="K81" s="56"/>
    </row>
    <row r="82" ht="14.25" customHeight="1" outlineLevel="1">
      <c r="A82" s="39">
        <v>2</v>
      </c>
      <c r="B82" s="40"/>
      <c r="C82" s="40" t="s">
        <v>348</v>
      </c>
      <c r="D82" s="40"/>
      <c r="E82" s="95">
        <v>150000</v>
      </c>
      <c r="F82" s="42"/>
      <c r="G82" s="40"/>
      <c r="H82" s="40"/>
      <c r="I82" s="40"/>
      <c r="J82" s="43" t="s">
        <v>46</v>
      </c>
      <c r="K82" s="44"/>
    </row>
    <row r="83" ht="14.25" customHeight="1" outlineLevel="1">
      <c r="A83" s="39">
        <v>3</v>
      </c>
      <c r="B83" s="40"/>
      <c r="C83" s="40"/>
      <c r="D83" s="40"/>
      <c r="E83" s="41"/>
      <c r="F83" s="42"/>
      <c r="G83" s="40"/>
      <c r="H83" s="40"/>
      <c r="I83" s="40"/>
      <c r="J83" s="43"/>
      <c r="K83" s="44"/>
    </row>
    <row r="84" ht="14.25" customHeight="1" outlineLevel="1">
      <c r="A84" s="45">
        <v>4</v>
      </c>
      <c r="B84" s="46"/>
      <c r="C84" s="46"/>
      <c r="D84" s="46"/>
      <c r="E84" s="47"/>
      <c r="F84" s="48"/>
      <c r="G84" s="46"/>
      <c r="H84" s="46"/>
      <c r="I84" s="46"/>
      <c r="J84" s="49"/>
      <c r="K84" s="50"/>
    </row>
    <row r="85" ht="15" customHeight="1" outlineLevel="1">
      <c r="A85" s="62">
        <v>5</v>
      </c>
      <c r="B85" s="57"/>
      <c r="C85" s="57"/>
      <c r="D85" s="57"/>
      <c r="E85" s="58"/>
      <c r="F85" s="59"/>
      <c r="G85" s="57"/>
      <c r="H85" s="57"/>
      <c r="I85" s="57"/>
      <c r="J85" s="60"/>
      <c r="K85" s="61"/>
    </row>
    <row r="86" ht="23.100000000000001" customHeight="1">
      <c r="A86" s="63" t="s">
        <v>27</v>
      </c>
      <c r="B86" s="64"/>
      <c r="C86" s="64"/>
      <c r="D86" s="64"/>
      <c r="E86" s="65">
        <f>SUM(E16:E85)</f>
        <v>33847757.269999996</v>
      </c>
    </row>
    <row r="87" ht="23.100000000000001" customHeight="1">
      <c r="A87" s="63" t="s">
        <v>28</v>
      </c>
      <c r="B87" s="64"/>
      <c r="C87" s="64"/>
      <c r="D87" s="64"/>
      <c r="E87" s="65">
        <f>E4-E86</f>
        <v>-24305042.429999992</v>
      </c>
      <c r="F87" s="66"/>
    </row>
    <row r="88" ht="30.75" customHeight="1">
      <c r="A88" s="66"/>
      <c r="B88" s="66"/>
      <c r="C88" s="66"/>
      <c r="D88" s="66"/>
      <c r="E88" s="66"/>
      <c r="F88" s="66"/>
    </row>
    <row r="89" ht="30" customHeight="1">
      <c r="A89" s="9" t="s">
        <v>515</v>
      </c>
      <c r="B89" s="10"/>
      <c r="C89" s="10"/>
      <c r="D89" s="11"/>
      <c r="E89" s="170">
        <f>SUM(E90:E90)</f>
        <v>86705.940000000002</v>
      </c>
      <c r="F89" s="136" t="s">
        <v>39</v>
      </c>
      <c r="G89" s="68" t="s">
        <v>30</v>
      </c>
      <c r="H89" s="13"/>
      <c r="I89" s="13"/>
    </row>
    <row r="90" ht="15" customHeight="1">
      <c r="A90" s="69" t="s">
        <v>31</v>
      </c>
      <c r="B90" s="70"/>
      <c r="C90" s="70"/>
      <c r="D90" s="71"/>
      <c r="E90" s="72">
        <v>86705.940000000002</v>
      </c>
      <c r="F90" s="238" t="s">
        <v>622</v>
      </c>
      <c r="G90" s="13"/>
      <c r="H90" s="13"/>
      <c r="I90" s="13"/>
    </row>
    <row r="91" ht="4.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 ht="25.5" customHeight="1" outlineLevel="1">
      <c r="A92" s="31" t="s">
        <v>10</v>
      </c>
      <c r="B92" s="31" t="s">
        <v>11</v>
      </c>
      <c r="C92" s="31" t="s">
        <v>12</v>
      </c>
      <c r="D92" s="31" t="s">
        <v>13</v>
      </c>
      <c r="E92" s="32" t="s">
        <v>14</v>
      </c>
      <c r="F92" s="31" t="s">
        <v>15</v>
      </c>
      <c r="G92" s="31" t="s">
        <v>16</v>
      </c>
      <c r="H92" s="33" t="s">
        <v>17</v>
      </c>
      <c r="I92" s="31" t="s">
        <v>18</v>
      </c>
      <c r="J92" s="31" t="s">
        <v>19</v>
      </c>
      <c r="K92" s="31" t="s">
        <v>32</v>
      </c>
    </row>
    <row r="93" s="34" customFormat="1" ht="25.5" customHeight="1" outlineLevel="1">
      <c r="A93" s="35"/>
      <c r="B93" s="37" t="s">
        <v>33</v>
      </c>
      <c r="C93" s="37"/>
      <c r="D93" s="37"/>
      <c r="E93" s="37"/>
      <c r="F93" s="37"/>
      <c r="G93" s="37"/>
      <c r="H93" s="37"/>
      <c r="I93" s="37"/>
      <c r="J93" s="37"/>
      <c r="K93" s="38"/>
    </row>
    <row r="94" ht="14.25" customHeight="1" outlineLevel="1">
      <c r="A94" s="39">
        <v>1</v>
      </c>
      <c r="B94" s="52"/>
      <c r="C94" s="52"/>
      <c r="D94" s="52"/>
      <c r="E94" s="53"/>
      <c r="F94" s="54"/>
      <c r="G94" s="52"/>
      <c r="H94" s="52"/>
      <c r="I94" s="52"/>
      <c r="J94" s="55"/>
      <c r="K94" s="56"/>
    </row>
    <row r="95" ht="14.25" customHeight="1" outlineLevel="1">
      <c r="A95" s="39">
        <v>2</v>
      </c>
      <c r="B95" s="46"/>
      <c r="C95" s="46"/>
      <c r="D95" s="46"/>
      <c r="E95" s="47"/>
      <c r="F95" s="48"/>
      <c r="G95" s="46"/>
      <c r="H95" s="46"/>
      <c r="I95" s="46"/>
      <c r="J95" s="49"/>
      <c r="K95" s="50"/>
    </row>
    <row r="96" ht="14.25" customHeight="1" outlineLevel="1">
      <c r="A96" s="39">
        <v>3</v>
      </c>
      <c r="B96" s="46"/>
      <c r="C96" s="46"/>
      <c r="D96" s="46"/>
      <c r="E96" s="47"/>
      <c r="F96" s="48"/>
      <c r="G96" s="46"/>
      <c r="H96" s="46"/>
      <c r="I96" s="46"/>
      <c r="J96" s="49"/>
      <c r="K96" s="50"/>
    </row>
    <row r="97" ht="14.25" customHeight="1" outlineLevel="1">
      <c r="A97" s="39">
        <v>4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5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6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7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8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9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10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11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12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13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14</v>
      </c>
      <c r="B107" s="46"/>
      <c r="C107" s="46"/>
      <c r="D107" s="46"/>
      <c r="E107" s="47">
        <v>100000</v>
      </c>
      <c r="F107" s="48"/>
      <c r="G107" s="46"/>
      <c r="H107" s="46"/>
      <c r="I107" s="46"/>
      <c r="J107" s="49"/>
      <c r="K107" s="50"/>
    </row>
    <row r="108" ht="14.25" customHeight="1" outlineLevel="1">
      <c r="A108" s="39">
        <v>15</v>
      </c>
      <c r="B108" s="57"/>
      <c r="C108" s="57"/>
      <c r="D108" s="57"/>
      <c r="E108" s="58"/>
      <c r="F108" s="59"/>
      <c r="G108" s="57"/>
      <c r="H108" s="57"/>
      <c r="I108" s="57"/>
      <c r="J108" s="60"/>
      <c r="K108" s="61"/>
    </row>
    <row r="109" s="34" customFormat="1" ht="25.5" customHeight="1" outlineLevel="1">
      <c r="A109" s="35"/>
      <c r="B109" s="37" t="s">
        <v>25</v>
      </c>
      <c r="C109" s="37"/>
      <c r="D109" s="37"/>
      <c r="E109" s="37"/>
      <c r="F109" s="37"/>
      <c r="G109" s="37"/>
      <c r="H109" s="37"/>
      <c r="I109" s="37"/>
      <c r="J109" s="37"/>
      <c r="K109" s="38"/>
    </row>
    <row r="110" ht="14.25" customHeight="1" outlineLevel="1">
      <c r="A110" s="127">
        <v>1</v>
      </c>
      <c r="B110" s="198" t="s">
        <v>223</v>
      </c>
      <c r="C110" s="199" t="s">
        <v>241</v>
      </c>
      <c r="D110" s="200" t="s">
        <v>239</v>
      </c>
      <c r="E110" s="201">
        <v>110586.41</v>
      </c>
      <c r="F110" s="54" t="s">
        <v>623</v>
      </c>
      <c r="G110" s="52" t="s">
        <v>260</v>
      </c>
      <c r="H110" s="52"/>
      <c r="I110" s="52"/>
      <c r="J110" s="55" t="s">
        <v>46</v>
      </c>
      <c r="K110" s="56"/>
    </row>
    <row r="111" ht="14.25" customHeight="1" outlineLevel="1">
      <c r="A111" s="96">
        <v>2</v>
      </c>
      <c r="B111" s="198" t="s">
        <v>223</v>
      </c>
      <c r="C111" s="199" t="s">
        <v>241</v>
      </c>
      <c r="D111" s="200" t="s">
        <v>239</v>
      </c>
      <c r="E111" s="268">
        <v>21382.639999999999</v>
      </c>
      <c r="F111" s="48" t="s">
        <v>624</v>
      </c>
      <c r="G111" s="46" t="s">
        <v>260</v>
      </c>
      <c r="H111" s="46"/>
      <c r="I111" s="46"/>
      <c r="J111" s="49" t="s">
        <v>46</v>
      </c>
      <c r="K111" s="50"/>
    </row>
    <row r="112" ht="14.25" customHeight="1" outlineLevel="1">
      <c r="A112" s="45">
        <v>3</v>
      </c>
      <c r="B112" s="40"/>
      <c r="C112" s="40"/>
      <c r="D112" s="40"/>
      <c r="E112" s="47"/>
      <c r="F112" s="48"/>
      <c r="G112" s="46"/>
      <c r="H112" s="46"/>
      <c r="I112" s="46"/>
      <c r="J112" s="49"/>
      <c r="K112" s="50"/>
    </row>
    <row r="113" ht="14.25" customHeight="1" outlineLevel="1">
      <c r="A113" s="45">
        <v>4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45">
        <v>5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6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7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8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9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10</v>
      </c>
      <c r="B119" s="57"/>
      <c r="C119" s="57"/>
      <c r="D119" s="57"/>
      <c r="E119" s="58"/>
      <c r="F119" s="59"/>
      <c r="G119" s="57"/>
      <c r="H119" s="57"/>
      <c r="I119" s="57"/>
      <c r="J119" s="60"/>
      <c r="K119" s="61"/>
    </row>
    <row r="120" ht="23.100000000000001" customHeight="1">
      <c r="A120" s="63" t="s">
        <v>34</v>
      </c>
      <c r="B120" s="64"/>
      <c r="C120" s="64"/>
      <c r="D120" s="73"/>
      <c r="E120" s="65">
        <f>SUM(E93:E119)</f>
        <v>231969.04999999999</v>
      </c>
    </row>
    <row r="121" ht="23.100000000000001" customHeight="1">
      <c r="A121" s="63" t="s">
        <v>28</v>
      </c>
      <c r="B121" s="64"/>
      <c r="C121" s="64"/>
      <c r="D121" s="73"/>
      <c r="E121" s="65">
        <f>E89-E120</f>
        <v>-145263.10999999999</v>
      </c>
      <c r="F121" s="66"/>
    </row>
    <row r="122" ht="24.75" customHeight="1"/>
    <row r="123" ht="30" customHeight="1">
      <c r="A123" s="74" t="s">
        <v>35</v>
      </c>
      <c r="B123" s="75"/>
      <c r="C123" s="75"/>
      <c r="D123" s="76"/>
      <c r="E123" s="77">
        <f>SUM(E124:E124)</f>
        <v>0</v>
      </c>
      <c r="F123" s="13"/>
      <c r="G123" s="13"/>
      <c r="H123" s="13"/>
      <c r="I123" s="13"/>
    </row>
    <row r="124" ht="15" customHeight="1">
      <c r="A124" s="69" t="s">
        <v>36</v>
      </c>
      <c r="B124" s="70"/>
      <c r="C124" s="70"/>
      <c r="D124" s="71"/>
      <c r="E124" s="72"/>
      <c r="F124" s="13"/>
      <c r="G124" s="13"/>
      <c r="H124" s="13"/>
      <c r="I124" s="13"/>
    </row>
    <row r="125" ht="5.2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25.5" customHeight="1" outlineLevel="1">
      <c r="A126" s="31" t="s">
        <v>10</v>
      </c>
      <c r="B126" s="31" t="s">
        <v>11</v>
      </c>
      <c r="C126" s="31" t="s">
        <v>12</v>
      </c>
      <c r="D126" s="31" t="s">
        <v>13</v>
      </c>
      <c r="E126" s="32" t="s">
        <v>14</v>
      </c>
      <c r="F126" s="31" t="s">
        <v>15</v>
      </c>
      <c r="G126" s="31" t="s">
        <v>16</v>
      </c>
      <c r="H126" s="33" t="s">
        <v>17</v>
      </c>
      <c r="I126" s="31" t="s">
        <v>18</v>
      </c>
      <c r="J126" s="31" t="s">
        <v>19</v>
      </c>
      <c r="K126" s="31" t="s">
        <v>32</v>
      </c>
    </row>
    <row r="127" s="34" customFormat="1" ht="18.75" customHeight="1" outlineLevel="1">
      <c r="A127" s="78"/>
      <c r="B127" s="79" t="s">
        <v>37</v>
      </c>
      <c r="C127" s="80"/>
      <c r="D127" s="81"/>
      <c r="E127" s="82"/>
      <c r="F127" s="79"/>
      <c r="G127" s="79"/>
      <c r="H127" s="79"/>
      <c r="I127" s="79"/>
      <c r="J127" s="79"/>
      <c r="K127" s="83"/>
    </row>
    <row r="128" ht="14.25" customHeight="1" outlineLevel="1">
      <c r="A128" s="51">
        <v>1</v>
      </c>
      <c r="B128" s="52"/>
      <c r="C128" s="52"/>
      <c r="D128" s="52"/>
      <c r="E128" s="53"/>
      <c r="F128" s="54"/>
      <c r="G128" s="52"/>
      <c r="H128" s="52"/>
      <c r="I128" s="52"/>
      <c r="J128" s="55"/>
      <c r="K128" s="56"/>
    </row>
    <row r="129" ht="14.25" customHeight="1" outlineLevel="1">
      <c r="A129" s="45">
        <v>2</v>
      </c>
      <c r="B129" s="46"/>
      <c r="C129" s="46"/>
      <c r="D129" s="46"/>
      <c r="E129" s="47"/>
      <c r="F129" s="48"/>
      <c r="G129" s="46"/>
      <c r="H129" s="46"/>
      <c r="I129" s="46"/>
      <c r="J129" s="49"/>
      <c r="K129" s="50"/>
    </row>
    <row r="130" ht="14.25" customHeight="1" outlineLevel="1">
      <c r="A130" s="45">
        <v>3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4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5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6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7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5.75" customHeight="1" outlineLevel="1">
      <c r="A135" s="45">
        <v>8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5.75" customHeight="1" outlineLevel="1">
      <c r="A136" s="45">
        <v>9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10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11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12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13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14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62">
        <v>15</v>
      </c>
      <c r="B142" s="57"/>
      <c r="C142" s="57"/>
      <c r="D142" s="57"/>
      <c r="E142" s="58"/>
      <c r="F142" s="59"/>
      <c r="G142" s="57"/>
      <c r="H142" s="57"/>
      <c r="I142" s="57"/>
      <c r="J142" s="60"/>
      <c r="K142" s="61"/>
    </row>
    <row r="143" ht="23.100000000000001" customHeight="1">
      <c r="A143" s="84" t="s">
        <v>38</v>
      </c>
      <c r="B143" s="85"/>
      <c r="C143" s="85"/>
      <c r="D143" s="86"/>
      <c r="E143" s="87">
        <f>SUM(E127:E142)</f>
        <v>0</v>
      </c>
    </row>
    <row r="144" ht="23.100000000000001" customHeight="1">
      <c r="A144" s="84" t="s">
        <v>28</v>
      </c>
      <c r="B144" s="85"/>
      <c r="C144" s="85"/>
      <c r="D144" s="86"/>
      <c r="E144" s="87">
        <f>E123-E143</f>
        <v>0</v>
      </c>
      <c r="F144" s="66"/>
    </row>
    <row r="146" ht="14.25">
      <c r="E146" s="1"/>
    </row>
    <row r="147" ht="14.25">
      <c r="E147" s="1"/>
    </row>
    <row r="202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6:D86"/>
    <mergeCell ref="A87:D87"/>
    <mergeCell ref="A89:D89"/>
    <mergeCell ref="A90:D90"/>
    <mergeCell ref="A120:D120"/>
    <mergeCell ref="A121:D121"/>
    <mergeCell ref="A123:D123"/>
    <mergeCell ref="A124:D124"/>
    <mergeCell ref="A143:D143"/>
    <mergeCell ref="A144:D144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A00AA-00B1-456A-9534-00F5006D0068}" type="list" allowBlank="1" errorStyle="stop" imeMode="noControl" operator="between" showDropDown="0" showErrorMessage="1" showInputMessage="1">
          <x14:formula1>
            <xm:f>ДаНет</xm:f>
          </x14:formula1>
          <xm:sqref>H65:H69 H71:H79 H49:H63 H128:H142 H81:H85 H94:H108 H110:H119 H17:H18 H20:H21 H23:H26 H29:H31 H33:H47 H19 H22 H27 H28</xm:sqref>
        </x14:dataValidation>
        <x14:dataValidation xr:uid="{00930082-00B6-4ED4-83C7-00A100120042}" type="list" allowBlank="1" errorStyle="stop" imeMode="noControl" operator="between" showDropDown="0" showErrorMessage="1" showInputMessage="1">
          <x14:formula1>
            <xm:f>ДаНет</xm:f>
          </x14:formula1>
          <xm:sqref>H70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5">
    <outlinePr applyStyles="0" summaryBelow="1" summaryRight="1" showOutlineSymbols="1"/>
    <pageSetUpPr autoPageBreaks="1" fitToPage="1"/>
  </sheetPr>
  <sheetViews>
    <sheetView showGridLines="0" showRuler="1" topLeftCell="A14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9.28125"/>
    <col customWidth="1" min="5" max="5" style="1" width="26"/>
    <col customWidth="1" min="6" max="6" style="1" width="37.2812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'24'!C2+1</f>
        <v>46106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555391.42999999993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439960.06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1252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92">
        <v>1</v>
      </c>
      <c r="B17" s="97" t="s">
        <v>47</v>
      </c>
      <c r="C17" s="99" t="s">
        <v>57</v>
      </c>
      <c r="D17" s="186" t="s">
        <v>58</v>
      </c>
      <c r="E17" s="298">
        <v>5000000</v>
      </c>
      <c r="F17" s="351" t="s">
        <v>44</v>
      </c>
      <c r="G17" s="153"/>
      <c r="H17" s="153" t="s">
        <v>45</v>
      </c>
      <c r="I17" s="153"/>
      <c r="J17" s="352" t="s">
        <v>46</v>
      </c>
      <c r="K17" s="44"/>
    </row>
    <row r="18" ht="14.25" customHeight="1" outlineLevel="1">
      <c r="A18" s="96">
        <v>2</v>
      </c>
      <c r="B18" s="97" t="s">
        <v>47</v>
      </c>
      <c r="C18" s="94" t="s">
        <v>408</v>
      </c>
      <c r="D18" s="94" t="s">
        <v>409</v>
      </c>
      <c r="E18" s="301">
        <v>1000000</v>
      </c>
      <c r="F18" s="156" t="s">
        <v>44</v>
      </c>
      <c r="G18" s="94"/>
      <c r="H18" s="94" t="s">
        <v>45</v>
      </c>
      <c r="I18" s="94"/>
      <c r="J18" s="353" t="s">
        <v>46</v>
      </c>
      <c r="K18" s="50"/>
    </row>
    <row r="19" ht="14.25" customHeight="1" outlineLevel="1">
      <c r="A19" s="96">
        <v>3</v>
      </c>
      <c r="B19" s="97" t="s">
        <v>47</v>
      </c>
      <c r="C19" s="94" t="s">
        <v>408</v>
      </c>
      <c r="D19" s="94" t="s">
        <v>409</v>
      </c>
      <c r="E19" s="302" t="s">
        <v>625</v>
      </c>
      <c r="F19" s="156" t="s">
        <v>44</v>
      </c>
      <c r="G19" s="94"/>
      <c r="H19" s="94" t="s">
        <v>45</v>
      </c>
      <c r="I19" s="94"/>
      <c r="J19" s="353"/>
      <c r="K19" s="50"/>
    </row>
    <row r="20" ht="14.25" customHeight="1" outlineLevel="1">
      <c r="A20" s="45">
        <v>4</v>
      </c>
      <c r="B20" s="156"/>
      <c r="C20" s="156"/>
      <c r="D20" s="156"/>
      <c r="E20" s="344"/>
      <c r="F20" s="156"/>
      <c r="G20" s="94"/>
      <c r="H20" s="94"/>
      <c r="I20" s="94"/>
      <c r="J20" s="353"/>
      <c r="K20" s="50"/>
    </row>
    <row r="21" ht="14.25" customHeight="1" outlineLevel="1">
      <c r="A21" s="45">
        <v>5</v>
      </c>
      <c r="B21" s="333" t="s">
        <v>41</v>
      </c>
      <c r="C21" s="333" t="s">
        <v>42</v>
      </c>
      <c r="D21" s="333" t="s">
        <v>43</v>
      </c>
      <c r="E21" s="309">
        <v>2000000</v>
      </c>
      <c r="F21" s="354" t="s">
        <v>44</v>
      </c>
      <c r="G21" s="94"/>
      <c r="H21" s="94" t="s">
        <v>45</v>
      </c>
      <c r="I21" s="94"/>
      <c r="J21" s="353" t="s">
        <v>46</v>
      </c>
      <c r="K21" s="50"/>
    </row>
    <row r="22" ht="14.25" customHeight="1" outlineLevel="1">
      <c r="A22" s="45">
        <v>7</v>
      </c>
      <c r="B22" s="46" t="s">
        <v>152</v>
      </c>
      <c r="C22" s="46" t="s">
        <v>153</v>
      </c>
      <c r="D22" s="284">
        <v>2022</v>
      </c>
      <c r="E22" s="307">
        <v>4000000</v>
      </c>
      <c r="F22" s="156"/>
      <c r="G22" s="94"/>
      <c r="H22" s="94"/>
      <c r="I22" s="94"/>
      <c r="J22" s="353" t="s">
        <v>46</v>
      </c>
      <c r="K22" s="50"/>
    </row>
    <row r="23" ht="14.25" customHeight="1" outlineLevel="1">
      <c r="A23" s="39">
        <v>9</v>
      </c>
      <c r="B23" s="46" t="s">
        <v>152</v>
      </c>
      <c r="C23" s="46" t="s">
        <v>154</v>
      </c>
      <c r="D23" s="284">
        <v>202057</v>
      </c>
      <c r="E23" s="307">
        <v>8000000</v>
      </c>
      <c r="F23" s="156"/>
      <c r="G23" s="94"/>
      <c r="H23" s="94"/>
      <c r="I23" s="94"/>
      <c r="J23" s="353" t="s">
        <v>46</v>
      </c>
      <c r="K23" s="50"/>
    </row>
    <row r="24" ht="28.5" outlineLevel="1">
      <c r="A24" s="45">
        <v>10</v>
      </c>
      <c r="B24" s="156" t="s">
        <v>41</v>
      </c>
      <c r="C24" s="156" t="s">
        <v>48</v>
      </c>
      <c r="D24" s="156" t="s">
        <v>49</v>
      </c>
      <c r="E24" s="109">
        <v>465630</v>
      </c>
      <c r="F24" s="355" t="s">
        <v>626</v>
      </c>
      <c r="G24" s="94"/>
      <c r="H24" s="94" t="s">
        <v>45</v>
      </c>
      <c r="I24" s="94"/>
      <c r="J24" s="353" t="s">
        <v>46</v>
      </c>
      <c r="K24" s="50"/>
    </row>
    <row r="25" ht="28.5" outlineLevel="1">
      <c r="A25" s="45">
        <v>11</v>
      </c>
      <c r="B25" s="156" t="s">
        <v>41</v>
      </c>
      <c r="C25" s="156" t="s">
        <v>48</v>
      </c>
      <c r="D25" s="156" t="s">
        <v>49</v>
      </c>
      <c r="E25" s="109">
        <v>890290</v>
      </c>
      <c r="F25" s="355" t="s">
        <v>627</v>
      </c>
      <c r="G25" s="94"/>
      <c r="H25" s="94" t="s">
        <v>45</v>
      </c>
      <c r="I25" s="94"/>
      <c r="J25" s="353" t="s">
        <v>46</v>
      </c>
      <c r="K25" s="50"/>
    </row>
    <row r="26" ht="28.5" outlineLevel="1">
      <c r="A26" s="45">
        <v>12</v>
      </c>
      <c r="B26" s="156" t="s">
        <v>41</v>
      </c>
      <c r="C26" s="156" t="s">
        <v>48</v>
      </c>
      <c r="D26" s="156" t="s">
        <v>49</v>
      </c>
      <c r="E26" s="109">
        <v>1564085</v>
      </c>
      <c r="F26" s="355" t="s">
        <v>628</v>
      </c>
      <c r="G26" s="94"/>
      <c r="H26" s="94" t="s">
        <v>45</v>
      </c>
      <c r="I26" s="94"/>
      <c r="J26" s="353" t="s">
        <v>46</v>
      </c>
      <c r="K26" s="50"/>
    </row>
    <row r="27" ht="28.5" outlineLevel="1">
      <c r="A27" s="45">
        <v>13</v>
      </c>
      <c r="B27" s="156" t="s">
        <v>41</v>
      </c>
      <c r="C27" s="156" t="s">
        <v>48</v>
      </c>
      <c r="D27" s="156" t="s">
        <v>49</v>
      </c>
      <c r="E27" s="109">
        <v>889100</v>
      </c>
      <c r="F27" s="355" t="s">
        <v>629</v>
      </c>
      <c r="G27" s="46"/>
      <c r="H27" s="94" t="s">
        <v>45</v>
      </c>
      <c r="I27" s="46"/>
      <c r="J27" s="49" t="s">
        <v>46</v>
      </c>
      <c r="K27" s="50"/>
    </row>
    <row r="28" ht="14.25" customHeight="1" outlineLevel="1">
      <c r="A28" s="45">
        <v>14</v>
      </c>
      <c r="B28" s="46"/>
      <c r="C28" s="46" t="s">
        <v>630</v>
      </c>
      <c r="D28" s="46"/>
      <c r="E28" s="98">
        <v>1700000</v>
      </c>
      <c r="F28" s="48"/>
      <c r="G28" s="46"/>
      <c r="H28" s="94" t="s">
        <v>45</v>
      </c>
      <c r="I28" s="46"/>
      <c r="J28" s="49" t="s">
        <v>46</v>
      </c>
      <c r="K28" s="50"/>
    </row>
    <row r="29" ht="14.25" customHeight="1" outlineLevel="1">
      <c r="A29" s="45">
        <v>15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31.5" customHeight="1" outlineLevel="1">
      <c r="A30" s="45">
        <v>16</v>
      </c>
      <c r="B30" s="333" t="s">
        <v>41</v>
      </c>
      <c r="C30" s="333" t="s">
        <v>48</v>
      </c>
      <c r="D30" s="333" t="s">
        <v>49</v>
      </c>
      <c r="E30" s="109">
        <v>1599000</v>
      </c>
      <c r="F30" s="356" t="s">
        <v>631</v>
      </c>
      <c r="G30" s="46"/>
      <c r="H30" s="46"/>
      <c r="I30" s="46"/>
      <c r="J30" s="49" t="s">
        <v>46</v>
      </c>
      <c r="K30" s="50"/>
    </row>
    <row r="31" ht="14.25" customHeight="1" outlineLevel="1">
      <c r="A31" s="45">
        <v>17</v>
      </c>
      <c r="B31" s="94" t="s">
        <v>41</v>
      </c>
      <c r="C31" s="94" t="s">
        <v>82</v>
      </c>
      <c r="D31" s="94" t="s">
        <v>83</v>
      </c>
      <c r="E31" s="98">
        <v>2000000</v>
      </c>
      <c r="F31" s="156" t="s">
        <v>44</v>
      </c>
      <c r="G31" s="46"/>
      <c r="H31" s="46"/>
      <c r="I31" s="46"/>
      <c r="J31" s="49" t="s">
        <v>46</v>
      </c>
      <c r="K31" s="50"/>
    </row>
    <row r="32" ht="14.25" customHeight="1" outlineLevel="1">
      <c r="A32" s="45"/>
      <c r="B32" s="321" t="s">
        <v>41</v>
      </c>
      <c r="C32" s="321" t="s">
        <v>82</v>
      </c>
      <c r="D32" s="321" t="s">
        <v>83</v>
      </c>
      <c r="E32" s="207">
        <v>1000000</v>
      </c>
      <c r="F32" s="333" t="s">
        <v>44</v>
      </c>
      <c r="G32" s="46"/>
      <c r="H32" s="46"/>
      <c r="I32" s="46"/>
      <c r="J32" s="49"/>
      <c r="K32" s="50"/>
    </row>
    <row r="33" ht="14.25" customHeight="1" outlineLevel="1">
      <c r="A33" s="45">
        <v>18</v>
      </c>
      <c r="B33" s="46"/>
      <c r="C33" s="46" t="s">
        <v>632</v>
      </c>
      <c r="D33" s="46"/>
      <c r="E33" s="98">
        <v>800000</v>
      </c>
      <c r="F33" s="48"/>
      <c r="G33" s="46"/>
      <c r="H33" s="46"/>
      <c r="I33" s="46"/>
      <c r="J33" s="49" t="s">
        <v>46</v>
      </c>
      <c r="K33" s="50"/>
    </row>
    <row r="34" s="34" customFormat="1" ht="25.5" customHeight="1" outlineLevel="1">
      <c r="A34" s="35"/>
      <c r="B34" s="37" t="s">
        <v>23</v>
      </c>
      <c r="C34" s="37"/>
      <c r="D34" s="37"/>
      <c r="E34" s="37"/>
      <c r="F34" s="37"/>
      <c r="G34" s="37"/>
      <c r="H34" s="37"/>
      <c r="I34" s="37"/>
      <c r="J34" s="37"/>
      <c r="K34" s="38"/>
    </row>
    <row r="35" ht="14.25" customHeight="1" outlineLevel="1">
      <c r="A35" s="39">
        <v>1</v>
      </c>
      <c r="B35" s="46" t="s">
        <v>97</v>
      </c>
      <c r="C35" s="46" t="s">
        <v>633</v>
      </c>
      <c r="D35" s="46" t="s">
        <v>634</v>
      </c>
      <c r="E35" s="98">
        <v>167000</v>
      </c>
      <c r="F35" s="48" t="s">
        <v>100</v>
      </c>
      <c r="G35" s="46" t="s">
        <v>260</v>
      </c>
      <c r="H35" s="46" t="s">
        <v>45</v>
      </c>
      <c r="I35" s="46"/>
      <c r="J35" s="49" t="s">
        <v>46</v>
      </c>
      <c r="K35" s="50"/>
    </row>
    <row r="36" ht="14.25" customHeight="1" outlineLevel="1">
      <c r="A36" s="45">
        <v>2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3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4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5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6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7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8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39">
        <v>9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10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11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12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s="34" customFormat="1" ht="25.5" customHeight="1" outlineLevel="1">
      <c r="A50" s="35"/>
      <c r="B50" s="37" t="s">
        <v>24</v>
      </c>
      <c r="C50" s="37"/>
      <c r="D50" s="37"/>
      <c r="E50" s="37"/>
      <c r="F50" s="37"/>
      <c r="G50" s="37"/>
      <c r="H50" s="37"/>
      <c r="I50" s="37"/>
      <c r="J50" s="37"/>
      <c r="K50" s="38"/>
    </row>
    <row r="51" ht="14.4" outlineLevel="1">
      <c r="A51" s="51">
        <v>1</v>
      </c>
      <c r="B51" s="52" t="s">
        <v>101</v>
      </c>
      <c r="C51" s="52" t="s">
        <v>635</v>
      </c>
      <c r="D51" s="52" t="s">
        <v>636</v>
      </c>
      <c r="E51" s="357">
        <v>5500</v>
      </c>
      <c r="F51" s="54" t="s">
        <v>637</v>
      </c>
      <c r="G51" s="46" t="s">
        <v>260</v>
      </c>
      <c r="H51" s="52" t="s">
        <v>45</v>
      </c>
      <c r="I51" s="358" t="s">
        <v>638</v>
      </c>
      <c r="J51" s="55" t="s">
        <v>46</v>
      </c>
      <c r="K51" s="56"/>
    </row>
    <row r="52" ht="14.25" customHeight="1" outlineLevel="1">
      <c r="A52" s="45">
        <v>2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3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4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5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6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7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8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9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10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11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12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13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14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15</v>
      </c>
      <c r="B65" s="57"/>
      <c r="C65" s="57"/>
      <c r="D65" s="57"/>
      <c r="E65" s="58"/>
      <c r="F65" s="59"/>
      <c r="G65" s="57"/>
      <c r="H65" s="57"/>
      <c r="I65" s="57"/>
      <c r="J65" s="60"/>
      <c r="K65" s="61"/>
    </row>
    <row r="66" s="34" customFormat="1" ht="25.5" customHeight="1" outlineLevel="1">
      <c r="A66" s="35"/>
      <c r="B66" s="36" t="s">
        <v>25</v>
      </c>
      <c r="C66" s="37"/>
      <c r="D66" s="37"/>
      <c r="E66" s="37"/>
      <c r="F66" s="37"/>
      <c r="G66" s="37"/>
      <c r="H66" s="37"/>
      <c r="I66" s="37"/>
      <c r="J66" s="37"/>
      <c r="K66" s="38"/>
    </row>
    <row r="67" ht="28.5" outlineLevel="1">
      <c r="A67" s="45">
        <v>1</v>
      </c>
      <c r="B67" s="326" t="s">
        <v>157</v>
      </c>
      <c r="C67" s="326" t="s">
        <v>267</v>
      </c>
      <c r="D67" s="326" t="s">
        <v>239</v>
      </c>
      <c r="E67" s="255">
        <v>283707.82000000001</v>
      </c>
      <c r="F67" s="237" t="s">
        <v>619</v>
      </c>
      <c r="G67" s="52" t="s">
        <v>260</v>
      </c>
      <c r="H67" s="52"/>
      <c r="I67" s="52"/>
      <c r="J67" s="55" t="s">
        <v>46</v>
      </c>
      <c r="K67" s="56"/>
    </row>
    <row r="68" ht="28.5" outlineLevel="1">
      <c r="A68" s="45">
        <v>2</v>
      </c>
      <c r="B68" s="46" t="s">
        <v>157</v>
      </c>
      <c r="C68" s="46" t="s">
        <v>274</v>
      </c>
      <c r="D68" s="46" t="s">
        <v>262</v>
      </c>
      <c r="E68" s="98">
        <v>22446</v>
      </c>
      <c r="F68" s="48" t="s">
        <v>619</v>
      </c>
      <c r="G68" s="341" t="s">
        <v>260</v>
      </c>
      <c r="H68" s="46"/>
      <c r="I68" s="46"/>
      <c r="J68" s="49" t="s">
        <v>46</v>
      </c>
      <c r="K68" s="50"/>
    </row>
    <row r="69" ht="14.4" outlineLevel="1">
      <c r="A69" s="45">
        <v>3</v>
      </c>
      <c r="B69" s="46" t="s">
        <v>378</v>
      </c>
      <c r="C69" s="46" t="s">
        <v>117</v>
      </c>
      <c r="D69" s="46" t="s">
        <v>118</v>
      </c>
      <c r="E69" s="98">
        <v>611224</v>
      </c>
      <c r="F69" s="48" t="s">
        <v>639</v>
      </c>
      <c r="G69" s="46" t="s">
        <v>640</v>
      </c>
      <c r="H69" s="46"/>
      <c r="I69" s="46"/>
      <c r="J69" s="49" t="s">
        <v>46</v>
      </c>
      <c r="K69" s="50"/>
    </row>
    <row r="70" ht="14.4" outlineLevel="1">
      <c r="A70" s="45">
        <v>4</v>
      </c>
      <c r="B70" s="46" t="s">
        <v>157</v>
      </c>
      <c r="C70" s="46" t="s">
        <v>266</v>
      </c>
      <c r="D70" s="46" t="s">
        <v>239</v>
      </c>
      <c r="E70" s="98">
        <v>18924.919999999998</v>
      </c>
      <c r="F70" s="48" t="s">
        <v>240</v>
      </c>
      <c r="G70" s="46" t="s">
        <v>260</v>
      </c>
      <c r="H70" s="46"/>
      <c r="I70" s="46"/>
      <c r="J70" s="49" t="s">
        <v>46</v>
      </c>
      <c r="K70" s="50"/>
    </row>
    <row r="71" ht="15" outlineLevel="1">
      <c r="A71" s="45">
        <v>5</v>
      </c>
      <c r="B71" s="110" t="s">
        <v>157</v>
      </c>
      <c r="C71" s="110" t="s">
        <v>267</v>
      </c>
      <c r="D71" s="110" t="s">
        <v>239</v>
      </c>
      <c r="E71" s="203">
        <v>3666.1999999999998</v>
      </c>
      <c r="F71" s="260" t="s">
        <v>240</v>
      </c>
      <c r="G71" s="46" t="s">
        <v>260</v>
      </c>
      <c r="H71" s="46"/>
      <c r="I71" s="46"/>
      <c r="J71" s="49" t="s">
        <v>46</v>
      </c>
      <c r="K71" s="50"/>
    </row>
    <row r="72" ht="14.25" customHeight="1" outlineLevel="1">
      <c r="A72" s="45">
        <v>6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7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8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9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10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11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12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13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14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15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s="34" customFormat="1" ht="25.5" customHeight="1" outlineLevel="1">
      <c r="A82" s="35"/>
      <c r="B82" s="36" t="s">
        <v>26</v>
      </c>
      <c r="C82" s="37"/>
      <c r="D82" s="37"/>
      <c r="E82" s="37"/>
      <c r="F82" s="37"/>
      <c r="G82" s="37"/>
      <c r="H82" s="37"/>
      <c r="I82" s="37"/>
      <c r="J82" s="37"/>
      <c r="K82" s="38"/>
    </row>
    <row r="83" ht="14.25" customHeight="1" outlineLevel="1">
      <c r="A83" s="51">
        <v>1</v>
      </c>
      <c r="B83" s="52"/>
      <c r="C83" s="52"/>
      <c r="D83" s="52"/>
      <c r="E83" s="53"/>
      <c r="F83" s="54"/>
      <c r="G83" s="52"/>
      <c r="H83" s="52"/>
      <c r="I83" s="52"/>
      <c r="J83" s="55"/>
      <c r="K83" s="56"/>
    </row>
    <row r="84" ht="14.25" customHeight="1" outlineLevel="1">
      <c r="A84" s="39">
        <v>2</v>
      </c>
      <c r="B84" s="40"/>
      <c r="C84" s="40"/>
      <c r="D84" s="40"/>
      <c r="E84" s="41"/>
      <c r="F84" s="42"/>
      <c r="G84" s="40"/>
      <c r="H84" s="40"/>
      <c r="I84" s="40"/>
      <c r="J84" s="43"/>
      <c r="K84" s="44"/>
    </row>
    <row r="85" ht="14.25" customHeight="1" outlineLevel="1">
      <c r="A85" s="39">
        <v>3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45">
        <v>4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5" customHeight="1" outlineLevel="1">
      <c r="A87" s="62">
        <v>5</v>
      </c>
      <c r="B87" s="57"/>
      <c r="C87" s="57"/>
      <c r="D87" s="57"/>
      <c r="E87" s="58"/>
      <c r="F87" s="59"/>
      <c r="G87" s="57"/>
      <c r="H87" s="57"/>
      <c r="I87" s="57"/>
      <c r="J87" s="60"/>
      <c r="K87" s="61"/>
    </row>
    <row r="88" ht="23.100000000000001" customHeight="1">
      <c r="A88" s="63" t="s">
        <v>27</v>
      </c>
      <c r="B88" s="64"/>
      <c r="C88" s="64"/>
      <c r="D88" s="64"/>
      <c r="E88" s="65">
        <f>SUM(E16:E87)</f>
        <v>32020573.940000001</v>
      </c>
    </row>
    <row r="89" ht="23.100000000000001" customHeight="1">
      <c r="A89" s="63" t="s">
        <v>28</v>
      </c>
      <c r="B89" s="64"/>
      <c r="C89" s="64"/>
      <c r="D89" s="64"/>
      <c r="E89" s="65">
        <f>E4-E88</f>
        <v>-31465182.510000002</v>
      </c>
      <c r="F89" s="66"/>
    </row>
    <row r="90" ht="30.75" customHeight="1">
      <c r="A90" s="66"/>
      <c r="B90" s="66"/>
      <c r="C90" s="66"/>
      <c r="D90" s="66"/>
      <c r="E90" s="66"/>
      <c r="F90" s="66"/>
    </row>
    <row r="91" ht="30" customHeight="1">
      <c r="A91" s="9" t="s">
        <v>515</v>
      </c>
      <c r="B91" s="10"/>
      <c r="C91" s="10"/>
      <c r="D91" s="11"/>
      <c r="E91" s="170">
        <f>SUM(E92:E92)</f>
        <v>91703.889999999999</v>
      </c>
      <c r="F91" s="136" t="s">
        <v>39</v>
      </c>
      <c r="G91" s="68" t="s">
        <v>30</v>
      </c>
      <c r="H91" s="13"/>
      <c r="I91" s="13"/>
    </row>
    <row r="92" ht="15" customHeight="1">
      <c r="A92" s="69" t="s">
        <v>31</v>
      </c>
      <c r="B92" s="70"/>
      <c r="C92" s="70"/>
      <c r="D92" s="71"/>
      <c r="E92" s="72">
        <v>91703.889999999999</v>
      </c>
      <c r="F92" s="238" t="s">
        <v>641</v>
      </c>
      <c r="G92" s="13"/>
      <c r="H92" s="13"/>
      <c r="I92" s="13"/>
    </row>
    <row r="93" ht="4.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25.5" customHeight="1" outlineLevel="1">
      <c r="A94" s="31" t="s">
        <v>10</v>
      </c>
      <c r="B94" s="31" t="s">
        <v>11</v>
      </c>
      <c r="C94" s="31" t="s">
        <v>12</v>
      </c>
      <c r="D94" s="31" t="s">
        <v>13</v>
      </c>
      <c r="E94" s="32" t="s">
        <v>14</v>
      </c>
      <c r="F94" s="31" t="s">
        <v>15</v>
      </c>
      <c r="G94" s="31" t="s">
        <v>16</v>
      </c>
      <c r="H94" s="33" t="s">
        <v>17</v>
      </c>
      <c r="I94" s="31" t="s">
        <v>18</v>
      </c>
      <c r="J94" s="31" t="s">
        <v>19</v>
      </c>
      <c r="K94" s="31" t="s">
        <v>32</v>
      </c>
    </row>
    <row r="95" s="34" customFormat="1" ht="25.5" customHeight="1" outlineLevel="1">
      <c r="A95" s="35"/>
      <c r="B95" s="37" t="s">
        <v>33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14.25" customHeight="1" outlineLevel="1">
      <c r="A96" s="39">
        <v>1</v>
      </c>
      <c r="B96" s="46" t="s">
        <v>112</v>
      </c>
      <c r="C96" s="46" t="s">
        <v>642</v>
      </c>
      <c r="D96" s="46"/>
      <c r="E96" s="98">
        <v>7944</v>
      </c>
      <c r="F96" s="48" t="s">
        <v>643</v>
      </c>
      <c r="G96" s="108" t="s">
        <v>644</v>
      </c>
      <c r="H96" s="46"/>
      <c r="I96" s="46"/>
      <c r="J96" s="49" t="s">
        <v>46</v>
      </c>
      <c r="K96" s="50"/>
    </row>
    <row r="97" ht="14.25" customHeight="1" outlineLevel="1">
      <c r="A97" s="39">
        <v>2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3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4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5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6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7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8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9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10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11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12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13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14</v>
      </c>
      <c r="B109" s="46"/>
      <c r="C109" s="46"/>
      <c r="D109" s="46"/>
      <c r="E109" s="47">
        <v>100000</v>
      </c>
      <c r="F109" s="48"/>
      <c r="G109" s="46"/>
      <c r="H109" s="46"/>
      <c r="I109" s="46"/>
      <c r="J109" s="49"/>
      <c r="K109" s="50"/>
    </row>
    <row r="110" ht="14.25" customHeight="1" outlineLevel="1">
      <c r="A110" s="39">
        <v>15</v>
      </c>
      <c r="B110" s="57"/>
      <c r="C110" s="57"/>
      <c r="D110" s="57"/>
      <c r="E110" s="58"/>
      <c r="F110" s="59"/>
      <c r="G110" s="57"/>
      <c r="H110" s="57"/>
      <c r="I110" s="57"/>
      <c r="J110" s="60"/>
      <c r="K110" s="61"/>
    </row>
    <row r="111" s="34" customFormat="1" ht="25.5" customHeight="1" outlineLevel="1">
      <c r="A111" s="35"/>
      <c r="B111" s="37" t="s">
        <v>25</v>
      </c>
      <c r="C111" s="37"/>
      <c r="D111" s="37"/>
      <c r="E111" s="37"/>
      <c r="F111" s="37"/>
      <c r="G111" s="37"/>
      <c r="H111" s="37"/>
      <c r="I111" s="37"/>
      <c r="J111" s="37"/>
      <c r="K111" s="38"/>
    </row>
    <row r="112" ht="14.25" customHeight="1" outlineLevel="1">
      <c r="A112" s="127">
        <v>1</v>
      </c>
      <c r="B112" s="198" t="s">
        <v>223</v>
      </c>
      <c r="C112" s="199" t="s">
        <v>241</v>
      </c>
      <c r="D112" s="200" t="s">
        <v>239</v>
      </c>
      <c r="E112" s="359">
        <v>147653.09</v>
      </c>
      <c r="F112" s="54" t="s">
        <v>242</v>
      </c>
      <c r="G112" s="46" t="s">
        <v>260</v>
      </c>
      <c r="H112" s="52"/>
      <c r="I112" s="52"/>
      <c r="J112" s="55" t="s">
        <v>46</v>
      </c>
      <c r="K112" s="56"/>
    </row>
    <row r="113" ht="14.25" customHeight="1" outlineLevel="1">
      <c r="A113" s="45">
        <v>2</v>
      </c>
      <c r="B113" s="360"/>
      <c r="C113" s="361"/>
      <c r="D113" s="361"/>
      <c r="E113" s="362"/>
      <c r="F113" s="363"/>
      <c r="G113" s="46"/>
      <c r="H113" s="46"/>
      <c r="I113" s="46"/>
      <c r="J113" s="49"/>
      <c r="K113" s="50"/>
    </row>
    <row r="114" ht="14.25" customHeight="1" outlineLevel="1">
      <c r="A114" s="96">
        <v>3</v>
      </c>
      <c r="B114" s="110" t="s">
        <v>223</v>
      </c>
      <c r="C114" s="110" t="s">
        <v>288</v>
      </c>
      <c r="D114" s="110" t="s">
        <v>262</v>
      </c>
      <c r="E114" s="173">
        <v>14178.639999999999</v>
      </c>
      <c r="F114" s="364" t="s">
        <v>645</v>
      </c>
      <c r="G114" s="46" t="s">
        <v>260</v>
      </c>
      <c r="H114" s="46"/>
      <c r="I114" s="46"/>
      <c r="J114" s="49" t="s">
        <v>46</v>
      </c>
      <c r="K114" s="50"/>
    </row>
    <row r="115" ht="14.25" customHeight="1" outlineLevel="1">
      <c r="A115" s="96">
        <v>4</v>
      </c>
      <c r="B115" s="110" t="s">
        <v>223</v>
      </c>
      <c r="C115" s="110" t="s">
        <v>241</v>
      </c>
      <c r="D115" s="110" t="s">
        <v>239</v>
      </c>
      <c r="E115" s="173">
        <v>2849550.4900000002</v>
      </c>
      <c r="F115" s="364" t="s">
        <v>645</v>
      </c>
      <c r="G115" s="46" t="s">
        <v>260</v>
      </c>
      <c r="H115" s="46"/>
      <c r="I115" s="365" t="s">
        <v>646</v>
      </c>
      <c r="J115" s="49" t="s">
        <v>46</v>
      </c>
      <c r="K115" s="50"/>
    </row>
    <row r="116" ht="14.25" customHeight="1" outlineLevel="1">
      <c r="A116" s="45">
        <v>5</v>
      </c>
      <c r="B116" s="40"/>
      <c r="C116" s="40"/>
      <c r="D116" s="40"/>
      <c r="E116" s="41"/>
      <c r="F116" s="42"/>
      <c r="G116" s="46"/>
      <c r="H116" s="46"/>
      <c r="I116" s="46"/>
      <c r="J116" s="49"/>
      <c r="K116" s="50"/>
    </row>
    <row r="117" ht="14.25" customHeight="1" outlineLevel="1">
      <c r="A117" s="45">
        <v>6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7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8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9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10</v>
      </c>
      <c r="B121" s="57"/>
      <c r="C121" s="57"/>
      <c r="D121" s="57"/>
      <c r="E121" s="58"/>
      <c r="F121" s="59"/>
      <c r="G121" s="57"/>
      <c r="H121" s="57"/>
      <c r="I121" s="57"/>
      <c r="J121" s="60"/>
      <c r="K121" s="61"/>
    </row>
    <row r="122" ht="23.100000000000001" customHeight="1">
      <c r="A122" s="63" t="s">
        <v>34</v>
      </c>
      <c r="B122" s="64"/>
      <c r="C122" s="64"/>
      <c r="D122" s="73"/>
      <c r="E122" s="65">
        <f>SUM(E95:E121)</f>
        <v>3119326.2200000002</v>
      </c>
    </row>
    <row r="123" ht="23.100000000000001" customHeight="1">
      <c r="A123" s="63" t="s">
        <v>28</v>
      </c>
      <c r="B123" s="64"/>
      <c r="C123" s="64"/>
      <c r="D123" s="73"/>
      <c r="E123" s="65">
        <f>E91-E122</f>
        <v>-3027622.3300000001</v>
      </c>
      <c r="F123" s="66"/>
    </row>
    <row r="124" ht="24.75" customHeight="1">
      <c r="E124" s="1"/>
    </row>
    <row r="125" ht="30" customHeight="1">
      <c r="A125" s="74" t="s">
        <v>35</v>
      </c>
      <c r="B125" s="75"/>
      <c r="C125" s="75"/>
      <c r="D125" s="76"/>
      <c r="E125" s="77">
        <f>SUM(E126:E126)</f>
        <v>199307</v>
      </c>
      <c r="F125" s="13"/>
      <c r="G125" s="13"/>
      <c r="H125" s="13"/>
      <c r="I125" s="13"/>
    </row>
    <row r="126" ht="15" customHeight="1">
      <c r="A126" s="69" t="s">
        <v>36</v>
      </c>
      <c r="B126" s="70"/>
      <c r="C126" s="70"/>
      <c r="D126" s="71"/>
      <c r="E126" s="72">
        <v>199307</v>
      </c>
      <c r="F126" s="13"/>
      <c r="G126" s="13"/>
      <c r="H126" s="13"/>
      <c r="I126" s="13"/>
    </row>
    <row r="127" ht="5.2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25.5" customHeight="1" outlineLevel="1">
      <c r="A128" s="31" t="s">
        <v>10</v>
      </c>
      <c r="B128" s="31" t="s">
        <v>11</v>
      </c>
      <c r="C128" s="31" t="s">
        <v>12</v>
      </c>
      <c r="D128" s="31" t="s">
        <v>13</v>
      </c>
      <c r="E128" s="32" t="s">
        <v>14</v>
      </c>
      <c r="F128" s="31" t="s">
        <v>15</v>
      </c>
      <c r="G128" s="31" t="s">
        <v>16</v>
      </c>
      <c r="H128" s="33" t="s">
        <v>17</v>
      </c>
      <c r="I128" s="31" t="s">
        <v>18</v>
      </c>
      <c r="J128" s="31" t="s">
        <v>19</v>
      </c>
      <c r="K128" s="31" t="s">
        <v>32</v>
      </c>
    </row>
    <row r="129" s="34" customFormat="1" ht="18.75" customHeight="1" outlineLevel="1">
      <c r="A129" s="78"/>
      <c r="B129" s="79" t="s">
        <v>37</v>
      </c>
      <c r="C129" s="80"/>
      <c r="D129" s="81"/>
      <c r="E129" s="82"/>
      <c r="F129" s="79"/>
      <c r="G129" s="79"/>
      <c r="H129" s="79"/>
      <c r="I129" s="79"/>
      <c r="J129" s="79"/>
      <c r="K129" s="83"/>
    </row>
    <row r="130" ht="14.25" customHeight="1" outlineLevel="1">
      <c r="A130" s="51">
        <v>1</v>
      </c>
      <c r="B130" s="52"/>
      <c r="C130" s="52"/>
      <c r="D130" s="52"/>
      <c r="E130" s="53"/>
      <c r="F130" s="54"/>
      <c r="G130" s="52"/>
      <c r="H130" s="52"/>
      <c r="I130" s="52"/>
      <c r="J130" s="55"/>
      <c r="K130" s="56"/>
    </row>
    <row r="131" ht="14.25" customHeight="1" outlineLevel="1">
      <c r="A131" s="45">
        <v>2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3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4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5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6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7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8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9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10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11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12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13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14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62">
        <v>15</v>
      </c>
      <c r="B144" s="57"/>
      <c r="C144" s="57"/>
      <c r="D144" s="57"/>
      <c r="E144" s="58"/>
      <c r="F144" s="59"/>
      <c r="G144" s="57"/>
      <c r="H144" s="57"/>
      <c r="I144" s="57"/>
      <c r="J144" s="60"/>
      <c r="K144" s="61"/>
    </row>
    <row r="145" ht="23.100000000000001" customHeight="1">
      <c r="A145" s="84" t="s">
        <v>38</v>
      </c>
      <c r="B145" s="85"/>
      <c r="C145" s="85"/>
      <c r="D145" s="86"/>
      <c r="E145" s="87">
        <f>SUM(E129:E144)</f>
        <v>0</v>
      </c>
    </row>
    <row r="146" ht="23.100000000000001" customHeight="1">
      <c r="A146" s="84" t="s">
        <v>28</v>
      </c>
      <c r="B146" s="85"/>
      <c r="C146" s="85"/>
      <c r="D146" s="86"/>
      <c r="E146" s="87">
        <f>E125-E145</f>
        <v>199307</v>
      </c>
      <c r="F146" s="66"/>
    </row>
    <row r="147" ht="14.25">
      <c r="E147" s="1"/>
    </row>
    <row r="148" ht="14.25">
      <c r="E148" s="1"/>
    </row>
    <row r="204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8:D88"/>
    <mergeCell ref="A89:D89"/>
    <mergeCell ref="A91:D91"/>
    <mergeCell ref="A92:D92"/>
    <mergeCell ref="A122:D122"/>
    <mergeCell ref="A123:D123"/>
    <mergeCell ref="A125:D125"/>
    <mergeCell ref="A126:D126"/>
    <mergeCell ref="A145:D145"/>
    <mergeCell ref="A146:D14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7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200C0-00DD-4CB6-A8F3-008700F400CA}" type="list" allowBlank="1" errorStyle="stop" imeMode="noControl" operator="between" showDropDown="0" showErrorMessage="1" showInputMessage="1">
          <x14:formula1>
            <xm:f>ДаНет</xm:f>
          </x14:formula1>
          <xm:sqref>H66:H80 H50:H64 H129:H143 H82:H86 H95:H109 H111:H120 H29:H32 H34:H48</xm:sqref>
        </x14:dataValidation>
        <x14:dataValidation xr:uid="{00C7002E-00B4-485E-9A14-00D6007D001A}" type="list" allowBlank="1" errorStyle="stop" imeMode="noControl" operator="between" showDropDown="0" showErrorMessage="1" showInputMessage="1">
          <x14:formula1>
            <xm:f>ДаНет</xm:f>
          </x14:formula1>
          <xm:sqref>H17:H18 H20:H21 H22:H24 H19 H25 H26 H27 H28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6">
    <outlinePr applyStyles="0" summaryBelow="1" summaryRight="1" showOutlineSymbols="1"/>
    <pageSetUpPr autoPageBreaks="1" fitToPage="1"/>
  </sheetPr>
  <sheetViews>
    <sheetView showGridLines="0" showRuler="1" topLeftCell="A10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36.8515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'25'!C2+1</f>
        <v>46107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119928.81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49658.040000000001</v>
      </c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>
        <v>1252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90" t="s">
        <v>21</v>
      </c>
      <c r="C16" s="91"/>
      <c r="D16" s="91"/>
      <c r="E16" s="91"/>
      <c r="F16" s="91"/>
      <c r="G16" s="37"/>
      <c r="H16" s="37"/>
      <c r="I16" s="37"/>
      <c r="J16" s="37"/>
      <c r="K16" s="38"/>
    </row>
    <row r="17" ht="14.25" customHeight="1" outlineLevel="1">
      <c r="A17" s="92">
        <v>1</v>
      </c>
      <c r="B17" s="97" t="s">
        <v>47</v>
      </c>
      <c r="C17" s="46" t="s">
        <v>249</v>
      </c>
      <c r="D17" s="46" t="s">
        <v>250</v>
      </c>
      <c r="E17" s="366">
        <v>1200000</v>
      </c>
      <c r="F17" s="48" t="s">
        <v>44</v>
      </c>
      <c r="G17" s="40"/>
      <c r="H17" s="40" t="s">
        <v>45</v>
      </c>
      <c r="I17" s="40"/>
      <c r="J17" s="43" t="s">
        <v>46</v>
      </c>
      <c r="K17" s="44"/>
    </row>
    <row r="18" ht="30" customHeight="1" outlineLevel="1">
      <c r="A18" s="96">
        <v>2</v>
      </c>
      <c r="B18" s="97" t="s">
        <v>47</v>
      </c>
      <c r="C18" s="99" t="s">
        <v>57</v>
      </c>
      <c r="D18" s="186" t="s">
        <v>58</v>
      </c>
      <c r="E18" s="367">
        <v>5000000</v>
      </c>
      <c r="F18" s="368" t="s">
        <v>44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96">
        <v>3</v>
      </c>
      <c r="B19" s="97" t="s">
        <v>47</v>
      </c>
      <c r="C19" s="94" t="s">
        <v>408</v>
      </c>
      <c r="D19" s="94" t="s">
        <v>409</v>
      </c>
      <c r="E19" s="366">
        <v>1000000</v>
      </c>
      <c r="F19" s="156" t="s">
        <v>44</v>
      </c>
      <c r="G19" s="46"/>
      <c r="H19" s="46" t="s">
        <v>45</v>
      </c>
      <c r="I19" s="46"/>
      <c r="J19" s="49" t="s">
        <v>46</v>
      </c>
      <c r="K19" s="50"/>
    </row>
    <row r="20" ht="31.5" customHeight="1" outlineLevel="1">
      <c r="A20" s="45">
        <v>5</v>
      </c>
      <c r="B20" s="333" t="s">
        <v>41</v>
      </c>
      <c r="C20" s="333" t="s">
        <v>42</v>
      </c>
      <c r="D20" s="333" t="s">
        <v>43</v>
      </c>
      <c r="E20" s="369">
        <v>3000000</v>
      </c>
      <c r="F20" s="333" t="s">
        <v>44</v>
      </c>
      <c r="G20" s="46"/>
      <c r="H20" s="46" t="s">
        <v>45</v>
      </c>
      <c r="I20" s="46"/>
      <c r="J20" s="49" t="s">
        <v>46</v>
      </c>
      <c r="K20" s="50"/>
    </row>
    <row r="21" ht="14.25" customHeight="1" outlineLevel="1">
      <c r="A21" s="45">
        <v>6</v>
      </c>
      <c r="B21" s="46" t="s">
        <v>152</v>
      </c>
      <c r="C21" s="46" t="s">
        <v>153</v>
      </c>
      <c r="D21" s="284">
        <v>2022</v>
      </c>
      <c r="E21" s="370">
        <v>3000000</v>
      </c>
      <c r="F21" s="156"/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7</v>
      </c>
      <c r="B22" s="46" t="s">
        <v>152</v>
      </c>
      <c r="C22" s="46" t="s">
        <v>154</v>
      </c>
      <c r="D22" s="284">
        <v>202057</v>
      </c>
      <c r="E22" s="325"/>
      <c r="F22" s="156"/>
      <c r="G22" s="46"/>
      <c r="H22" s="46" t="s">
        <v>45</v>
      </c>
      <c r="I22" s="46"/>
      <c r="J22" s="49"/>
      <c r="K22" s="50"/>
    </row>
    <row r="23" ht="26.25" customHeight="1" outlineLevel="1">
      <c r="A23" s="45">
        <v>8</v>
      </c>
      <c r="B23" s="156" t="s">
        <v>41</v>
      </c>
      <c r="C23" s="156" t="s">
        <v>48</v>
      </c>
      <c r="D23" s="156" t="s">
        <v>49</v>
      </c>
      <c r="E23" s="371">
        <v>1649840</v>
      </c>
      <c r="F23" s="156" t="s">
        <v>647</v>
      </c>
      <c r="G23" s="46"/>
      <c r="H23" s="46" t="s">
        <v>45</v>
      </c>
      <c r="I23" s="46"/>
      <c r="J23" s="49" t="s">
        <v>46</v>
      </c>
      <c r="K23" s="50"/>
    </row>
    <row r="24" ht="25.5" customHeight="1" outlineLevel="1">
      <c r="A24" s="92">
        <v>9</v>
      </c>
      <c r="B24" s="156" t="s">
        <v>41</v>
      </c>
      <c r="C24" s="156" t="s">
        <v>48</v>
      </c>
      <c r="D24" s="156" t="s">
        <v>49</v>
      </c>
      <c r="E24" s="371">
        <v>1633030</v>
      </c>
      <c r="F24" s="156" t="s">
        <v>648</v>
      </c>
      <c r="G24" s="46"/>
      <c r="H24" s="46" t="s">
        <v>45</v>
      </c>
      <c r="I24" s="46"/>
      <c r="J24" s="49" t="s">
        <v>46</v>
      </c>
      <c r="K24" s="50"/>
    </row>
    <row r="25" ht="25.5" customHeight="1" outlineLevel="1">
      <c r="A25" s="45">
        <v>10</v>
      </c>
      <c r="B25" s="156" t="s">
        <v>41</v>
      </c>
      <c r="C25" s="156" t="s">
        <v>48</v>
      </c>
      <c r="D25" s="156" t="s">
        <v>49</v>
      </c>
      <c r="E25" s="371">
        <v>1630160</v>
      </c>
      <c r="F25" s="156" t="s">
        <v>649</v>
      </c>
      <c r="G25" s="46"/>
      <c r="H25" s="46" t="s">
        <v>45</v>
      </c>
      <c r="I25" s="46"/>
      <c r="J25" s="49" t="s">
        <v>46</v>
      </c>
      <c r="K25" s="50"/>
    </row>
    <row r="26" ht="25.5" customHeight="1" outlineLevel="1">
      <c r="A26" s="45">
        <v>11</v>
      </c>
      <c r="B26" s="156" t="s">
        <v>41</v>
      </c>
      <c r="C26" s="156" t="s">
        <v>48</v>
      </c>
      <c r="D26" s="156" t="s">
        <v>49</v>
      </c>
      <c r="E26" s="371">
        <v>866915</v>
      </c>
      <c r="F26" s="156" t="s">
        <v>650</v>
      </c>
      <c r="G26" s="46"/>
      <c r="H26" s="46" t="s">
        <v>45</v>
      </c>
      <c r="I26" s="46"/>
      <c r="J26" s="49" t="s">
        <v>46</v>
      </c>
      <c r="K26" s="50"/>
    </row>
    <row r="27" ht="25.5" customHeight="1" outlineLevel="1">
      <c r="A27" s="45">
        <v>12</v>
      </c>
      <c r="B27" s="156" t="s">
        <v>41</v>
      </c>
      <c r="C27" s="156" t="s">
        <v>48</v>
      </c>
      <c r="D27" s="156" t="s">
        <v>49</v>
      </c>
      <c r="E27" s="371">
        <v>1699830</v>
      </c>
      <c r="F27" s="156" t="s">
        <v>651</v>
      </c>
      <c r="G27" s="46"/>
      <c r="H27" s="46" t="s">
        <v>45</v>
      </c>
      <c r="I27" s="46"/>
      <c r="J27" s="49" t="s">
        <v>46</v>
      </c>
      <c r="K27" s="50"/>
    </row>
    <row r="28" ht="25.5" customHeight="1" outlineLevel="1">
      <c r="A28" s="45">
        <v>13</v>
      </c>
      <c r="B28" s="156" t="s">
        <v>41</v>
      </c>
      <c r="C28" s="156" t="s">
        <v>48</v>
      </c>
      <c r="D28" s="156" t="s">
        <v>49</v>
      </c>
      <c r="E28" s="371">
        <v>1596540</v>
      </c>
      <c r="F28" s="156" t="s">
        <v>648</v>
      </c>
      <c r="G28" s="46"/>
      <c r="H28" s="46" t="s">
        <v>45</v>
      </c>
      <c r="I28" s="46"/>
      <c r="J28" s="49" t="s">
        <v>46</v>
      </c>
      <c r="K28" s="50"/>
    </row>
    <row r="29" ht="14.25" customHeight="1" outlineLevel="1">
      <c r="A29" s="45">
        <v>14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15</v>
      </c>
      <c r="B30" s="46" t="s">
        <v>652</v>
      </c>
      <c r="C30" s="46" t="s">
        <v>75</v>
      </c>
      <c r="D30" s="46" t="s">
        <v>653</v>
      </c>
      <c r="E30" s="372">
        <v>3900000</v>
      </c>
      <c r="F30" s="48" t="s">
        <v>77</v>
      </c>
      <c r="G30" s="46"/>
      <c r="H30" s="46"/>
      <c r="I30" s="46"/>
      <c r="J30" s="49" t="s">
        <v>46</v>
      </c>
      <c r="K30" s="50"/>
    </row>
    <row r="31" ht="14.25" customHeight="1" outlineLevel="1">
      <c r="A31" s="45">
        <v>16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17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18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s="34" customFormat="1" ht="25.5" customHeight="1" outlineLevel="1">
      <c r="A34" s="35"/>
      <c r="B34" s="37" t="s">
        <v>23</v>
      </c>
      <c r="C34" s="37"/>
      <c r="D34" s="37"/>
      <c r="E34" s="37"/>
      <c r="F34" s="37"/>
      <c r="G34" s="37"/>
      <c r="H34" s="37"/>
      <c r="I34" s="37"/>
      <c r="J34" s="37"/>
      <c r="K34" s="38"/>
    </row>
    <row r="35" ht="14.25" customHeight="1" outlineLevel="1">
      <c r="A35" s="39">
        <v>1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ht="14.25" customHeight="1" outlineLevel="1">
      <c r="A36" s="45">
        <v>2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3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4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5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6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7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8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39">
        <v>9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10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11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12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13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14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15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s="34" customFormat="1" ht="25.5" customHeight="1" outlineLevel="1">
      <c r="A50" s="35"/>
      <c r="B50" s="37" t="s">
        <v>24</v>
      </c>
      <c r="C50" s="37"/>
      <c r="D50" s="37"/>
      <c r="E50" s="37"/>
      <c r="F50" s="37"/>
      <c r="G50" s="37"/>
      <c r="H50" s="37"/>
      <c r="I50" s="37"/>
      <c r="J50" s="37"/>
      <c r="K50" s="38"/>
    </row>
    <row r="51" ht="14.25" customHeight="1" outlineLevel="1">
      <c r="A51" s="51">
        <v>1</v>
      </c>
      <c r="B51" s="52" t="s">
        <v>112</v>
      </c>
      <c r="C51" s="52" t="s">
        <v>654</v>
      </c>
      <c r="D51" s="52"/>
      <c r="E51" s="373">
        <v>4700</v>
      </c>
      <c r="F51" s="54" t="s">
        <v>655</v>
      </c>
      <c r="G51" s="52" t="s">
        <v>260</v>
      </c>
      <c r="H51" s="52"/>
      <c r="I51" s="52"/>
      <c r="J51" s="55" t="s">
        <v>46</v>
      </c>
      <c r="K51" s="56"/>
    </row>
    <row r="52" ht="42.75" outlineLevel="1">
      <c r="A52" s="45">
        <v>2</v>
      </c>
      <c r="B52" s="94" t="s">
        <v>101</v>
      </c>
      <c r="C52" s="94" t="s">
        <v>531</v>
      </c>
      <c r="D52" s="94" t="s">
        <v>333</v>
      </c>
      <c r="E52" s="374">
        <v>2200</v>
      </c>
      <c r="F52" s="156" t="s">
        <v>587</v>
      </c>
      <c r="G52" s="46" t="s">
        <v>260</v>
      </c>
      <c r="H52" s="46"/>
      <c r="I52" s="46"/>
      <c r="J52" s="49" t="s">
        <v>46</v>
      </c>
      <c r="K52" s="50"/>
    </row>
    <row r="53" ht="14.25" customHeight="1" outlineLevel="1">
      <c r="A53" s="45">
        <v>3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4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5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6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7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8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9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10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11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12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13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14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15</v>
      </c>
      <c r="B65" s="57"/>
      <c r="C65" s="57"/>
      <c r="D65" s="57"/>
      <c r="E65" s="58"/>
      <c r="F65" s="59"/>
      <c r="G65" s="57"/>
      <c r="H65" s="57"/>
      <c r="I65" s="57"/>
      <c r="J65" s="60"/>
      <c r="K65" s="61"/>
    </row>
    <row r="66" s="34" customFormat="1" ht="25.5" customHeight="1" outlineLevel="1">
      <c r="A66" s="35"/>
      <c r="B66" s="36" t="s">
        <v>25</v>
      </c>
      <c r="C66" s="37"/>
      <c r="D66" s="37"/>
      <c r="E66" s="37"/>
      <c r="F66" s="37"/>
      <c r="G66" s="37"/>
      <c r="H66" s="37"/>
      <c r="I66" s="37"/>
      <c r="J66" s="37"/>
      <c r="K66" s="38"/>
    </row>
    <row r="67" ht="15" outlineLevel="1">
      <c r="A67" s="45">
        <v>1</v>
      </c>
      <c r="B67" s="375" t="s">
        <v>157</v>
      </c>
      <c r="C67" s="375" t="s">
        <v>267</v>
      </c>
      <c r="D67" s="375" t="s">
        <v>239</v>
      </c>
      <c r="E67" s="376">
        <v>32368.700000000001</v>
      </c>
      <c r="F67" s="377" t="s">
        <v>240</v>
      </c>
      <c r="G67" s="106" t="s">
        <v>260</v>
      </c>
      <c r="H67" s="196"/>
      <c r="I67" s="52"/>
      <c r="J67" s="55" t="s">
        <v>46</v>
      </c>
      <c r="K67" s="56"/>
    </row>
    <row r="68" ht="14.25" customHeight="1" outlineLevel="1">
      <c r="A68" s="45">
        <v>2</v>
      </c>
      <c r="B68" s="378" t="s">
        <v>197</v>
      </c>
      <c r="C68" s="378" t="s">
        <v>656</v>
      </c>
      <c r="D68" s="378" t="s">
        <v>657</v>
      </c>
      <c r="E68" s="379">
        <v>24115.369999999999</v>
      </c>
      <c r="F68" s="378" t="s">
        <v>658</v>
      </c>
      <c r="G68" s="52"/>
      <c r="H68" s="52" t="s">
        <v>45</v>
      </c>
      <c r="I68" s="46"/>
      <c r="J68" s="49" t="s">
        <v>46</v>
      </c>
      <c r="K68" s="50"/>
    </row>
    <row r="69" ht="14.25" customHeight="1" outlineLevel="1">
      <c r="A69" s="96">
        <v>3</v>
      </c>
      <c r="B69" s="380"/>
      <c r="C69" s="380"/>
      <c r="D69" s="380"/>
      <c r="E69" s="381"/>
      <c r="F69" s="380"/>
      <c r="G69" s="115"/>
      <c r="H69" s="46"/>
      <c r="I69" s="46"/>
      <c r="J69" s="49"/>
      <c r="K69" s="50"/>
    </row>
    <row r="70" ht="14.25" customHeight="1" outlineLevel="1">
      <c r="A70" s="96">
        <v>4</v>
      </c>
      <c r="B70" s="222"/>
      <c r="C70" s="222"/>
      <c r="D70" s="222"/>
      <c r="E70" s="382"/>
      <c r="F70" s="260"/>
      <c r="G70" s="115"/>
      <c r="H70" s="46"/>
      <c r="I70" s="46"/>
      <c r="J70" s="49"/>
      <c r="K70" s="50"/>
    </row>
    <row r="71" ht="14.25" customHeight="1" outlineLevel="1">
      <c r="A71" s="45">
        <v>5</v>
      </c>
      <c r="B71" s="40"/>
      <c r="C71" s="40"/>
      <c r="D71" s="40"/>
      <c r="E71" s="41"/>
      <c r="F71" s="42"/>
      <c r="G71" s="46"/>
      <c r="H71" s="46"/>
      <c r="I71" s="46"/>
      <c r="J71" s="49"/>
      <c r="K71" s="50"/>
    </row>
    <row r="72" ht="14.25" customHeight="1" outlineLevel="1">
      <c r="A72" s="45">
        <v>6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7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8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9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10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11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12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13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14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15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s="34" customFormat="1" ht="25.5" customHeight="1" outlineLevel="1">
      <c r="A82" s="35"/>
      <c r="B82" s="36" t="s">
        <v>26</v>
      </c>
      <c r="C82" s="37"/>
      <c r="D82" s="37"/>
      <c r="E82" s="37"/>
      <c r="F82" s="37"/>
      <c r="G82" s="37"/>
      <c r="H82" s="37"/>
      <c r="I82" s="37"/>
      <c r="J82" s="37"/>
      <c r="K82" s="38"/>
    </row>
    <row r="83" ht="14.25" customHeight="1" outlineLevel="1">
      <c r="A83" s="51">
        <v>1</v>
      </c>
      <c r="B83" s="52" t="s">
        <v>123</v>
      </c>
      <c r="C83" s="52" t="s">
        <v>124</v>
      </c>
      <c r="D83" s="52" t="s">
        <v>659</v>
      </c>
      <c r="E83" s="383">
        <v>964987.93000000005</v>
      </c>
      <c r="F83" s="54" t="s">
        <v>660</v>
      </c>
      <c r="G83" s="52" t="s">
        <v>260</v>
      </c>
      <c r="H83" s="52"/>
      <c r="I83" s="52"/>
      <c r="J83" s="55"/>
      <c r="K83" s="56"/>
    </row>
    <row r="84" ht="14.25" customHeight="1" outlineLevel="1">
      <c r="A84" s="39">
        <v>2</v>
      </c>
      <c r="B84" s="40"/>
      <c r="C84" s="40" t="s">
        <v>348</v>
      </c>
      <c r="D84" s="40"/>
      <c r="E84" s="384">
        <v>2800000</v>
      </c>
      <c r="F84" s="42"/>
      <c r="G84" s="40"/>
      <c r="H84" s="40"/>
      <c r="I84" s="40"/>
      <c r="J84" s="43" t="s">
        <v>46</v>
      </c>
      <c r="K84" s="44"/>
    </row>
    <row r="85" ht="14.25" customHeight="1" outlineLevel="1">
      <c r="A85" s="39">
        <v>3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45">
        <v>4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5" customHeight="1" outlineLevel="1">
      <c r="A87" s="62">
        <v>5</v>
      </c>
      <c r="B87" s="57"/>
      <c r="C87" s="57"/>
      <c r="D87" s="57"/>
      <c r="E87" s="58"/>
      <c r="F87" s="59"/>
      <c r="G87" s="57"/>
      <c r="H87" s="57"/>
      <c r="I87" s="57"/>
      <c r="J87" s="60"/>
      <c r="K87" s="61"/>
    </row>
    <row r="88" ht="23.100000000000001" customHeight="1">
      <c r="A88" s="63" t="s">
        <v>27</v>
      </c>
      <c r="B88" s="64"/>
      <c r="C88" s="64"/>
      <c r="D88" s="64"/>
      <c r="E88" s="65">
        <f>SUM(E16:E87)</f>
        <v>30004687</v>
      </c>
    </row>
    <row r="89" ht="23.100000000000001" customHeight="1">
      <c r="A89" s="63" t="s">
        <v>28</v>
      </c>
      <c r="B89" s="64"/>
      <c r="C89" s="64"/>
      <c r="D89" s="64"/>
      <c r="E89" s="65">
        <f>E4-E88</f>
        <v>-29884758.190000001</v>
      </c>
      <c r="F89" s="66"/>
    </row>
    <row r="90" ht="30.75" customHeight="1">
      <c r="A90" s="66"/>
      <c r="B90" s="66"/>
      <c r="C90" s="66"/>
      <c r="D90" s="66"/>
      <c r="E90" s="66"/>
      <c r="F90" s="66"/>
    </row>
    <row r="91" ht="30" customHeight="1">
      <c r="A91" s="9" t="s">
        <v>515</v>
      </c>
      <c r="B91" s="10"/>
      <c r="C91" s="10"/>
      <c r="D91" s="11"/>
      <c r="E91" s="170">
        <f>SUM(E92:E92)</f>
        <v>165347.67000000001</v>
      </c>
      <c r="F91" s="136" t="s">
        <v>39</v>
      </c>
      <c r="G91" s="68" t="s">
        <v>30</v>
      </c>
      <c r="H91" s="13"/>
      <c r="I91" s="13"/>
    </row>
    <row r="92" ht="15" customHeight="1">
      <c r="A92" s="69" t="s">
        <v>31</v>
      </c>
      <c r="B92" s="70"/>
      <c r="C92" s="70"/>
      <c r="D92" s="71"/>
      <c r="E92" s="72">
        <v>165347.67000000001</v>
      </c>
      <c r="F92" s="238" t="s">
        <v>661</v>
      </c>
      <c r="G92" s="13"/>
      <c r="H92" s="13"/>
      <c r="I92" s="13"/>
    </row>
    <row r="93" ht="4.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25.5" customHeight="1" outlineLevel="1">
      <c r="A94" s="31" t="s">
        <v>10</v>
      </c>
      <c r="B94" s="31" t="s">
        <v>11</v>
      </c>
      <c r="C94" s="31" t="s">
        <v>12</v>
      </c>
      <c r="D94" s="31" t="s">
        <v>13</v>
      </c>
      <c r="E94" s="32" t="s">
        <v>14</v>
      </c>
      <c r="F94" s="31" t="s">
        <v>15</v>
      </c>
      <c r="G94" s="31" t="s">
        <v>16</v>
      </c>
      <c r="H94" s="33" t="s">
        <v>17</v>
      </c>
      <c r="I94" s="31" t="s">
        <v>18</v>
      </c>
      <c r="J94" s="31" t="s">
        <v>19</v>
      </c>
      <c r="K94" s="31" t="s">
        <v>32</v>
      </c>
    </row>
    <row r="95" s="34" customFormat="1" ht="25.5" customHeight="1" outlineLevel="1">
      <c r="A95" s="35"/>
      <c r="B95" s="37" t="s">
        <v>33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14.25" customHeight="1" outlineLevel="1">
      <c r="A96" s="39">
        <v>1</v>
      </c>
      <c r="B96" s="52" t="s">
        <v>112</v>
      </c>
      <c r="C96" s="52" t="s">
        <v>662</v>
      </c>
      <c r="D96" s="52"/>
      <c r="E96" s="373">
        <v>4700</v>
      </c>
      <c r="F96" s="54" t="s">
        <v>655</v>
      </c>
      <c r="G96" s="52" t="s">
        <v>260</v>
      </c>
      <c r="H96" s="52"/>
      <c r="I96" s="52"/>
      <c r="J96" s="55" t="s">
        <v>46</v>
      </c>
      <c r="K96" s="56"/>
    </row>
    <row r="97" ht="14.25" customHeight="1" outlineLevel="1">
      <c r="A97" s="39">
        <v>2</v>
      </c>
      <c r="B97" s="46"/>
      <c r="C97" s="46"/>
      <c r="D97" s="46"/>
      <c r="E97" s="47"/>
      <c r="F97" s="48"/>
      <c r="G97" s="46"/>
      <c r="H97" s="46"/>
      <c r="I97" s="46"/>
      <c r="J97" s="49"/>
      <c r="K97" s="50"/>
    </row>
    <row r="98" ht="14.25" customHeight="1" outlineLevel="1">
      <c r="A98" s="39">
        <v>3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4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5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6</v>
      </c>
      <c r="B101" s="46"/>
      <c r="C101" s="46" t="s">
        <v>221</v>
      </c>
      <c r="D101" s="46"/>
      <c r="E101" s="272">
        <v>106000</v>
      </c>
      <c r="F101" s="48"/>
      <c r="G101" s="46"/>
      <c r="H101" s="46"/>
      <c r="I101" s="46" t="s">
        <v>399</v>
      </c>
      <c r="J101" s="49" t="s">
        <v>46</v>
      </c>
      <c r="K101" s="50"/>
    </row>
    <row r="102" ht="14.25" customHeight="1" outlineLevel="1">
      <c r="A102" s="39">
        <v>7</v>
      </c>
      <c r="B102" s="46"/>
      <c r="C102" s="46" t="s">
        <v>221</v>
      </c>
      <c r="D102" s="46"/>
      <c r="E102" s="272">
        <v>30000</v>
      </c>
      <c r="F102" s="48"/>
      <c r="G102" s="46"/>
      <c r="H102" s="46"/>
      <c r="I102" s="46"/>
      <c r="J102" s="49" t="s">
        <v>46</v>
      </c>
      <c r="K102" s="50"/>
    </row>
    <row r="103" ht="14.25" customHeight="1" outlineLevel="1">
      <c r="A103" s="39">
        <v>8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9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10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11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12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13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14</v>
      </c>
      <c r="B109" s="46"/>
      <c r="C109" s="46"/>
      <c r="D109" s="46"/>
      <c r="E109" s="47">
        <v>100000</v>
      </c>
      <c r="F109" s="48"/>
      <c r="G109" s="46"/>
      <c r="H109" s="46"/>
      <c r="I109" s="46"/>
      <c r="J109" s="49"/>
      <c r="K109" s="50"/>
    </row>
    <row r="110" ht="14.25" customHeight="1" outlineLevel="1">
      <c r="A110" s="39">
        <v>15</v>
      </c>
      <c r="B110" s="57"/>
      <c r="C110" s="57"/>
      <c r="D110" s="57"/>
      <c r="E110" s="58"/>
      <c r="F110" s="59"/>
      <c r="G110" s="57"/>
      <c r="H110" s="57"/>
      <c r="I110" s="57"/>
      <c r="J110" s="60"/>
      <c r="K110" s="61"/>
    </row>
    <row r="111" s="34" customFormat="1" ht="25.5" customHeight="1" outlineLevel="1">
      <c r="A111" s="35"/>
      <c r="B111" s="37" t="s">
        <v>25</v>
      </c>
      <c r="C111" s="37"/>
      <c r="D111" s="37"/>
      <c r="E111" s="37"/>
      <c r="F111" s="37"/>
      <c r="G111" s="37"/>
      <c r="H111" s="37"/>
      <c r="I111" s="37"/>
      <c r="J111" s="37"/>
      <c r="K111" s="38"/>
    </row>
    <row r="112" ht="45" outlineLevel="1">
      <c r="A112" s="127">
        <v>1</v>
      </c>
      <c r="B112" s="385" t="s">
        <v>223</v>
      </c>
      <c r="C112" s="385" t="s">
        <v>117</v>
      </c>
      <c r="D112" s="385" t="s">
        <v>118</v>
      </c>
      <c r="E112" s="386">
        <v>1646000</v>
      </c>
      <c r="F112" s="385" t="s">
        <v>663</v>
      </c>
      <c r="G112" s="110" t="s">
        <v>260</v>
      </c>
      <c r="H112" s="110" t="s">
        <v>225</v>
      </c>
      <c r="I112" s="176" t="s">
        <v>664</v>
      </c>
      <c r="J112" s="177" t="s">
        <v>46</v>
      </c>
      <c r="K112" s="56"/>
    </row>
    <row r="113" ht="14.4" outlineLevel="1">
      <c r="A113" s="45">
        <v>2</v>
      </c>
      <c r="B113" s="46" t="s">
        <v>665</v>
      </c>
      <c r="C113" s="46" t="s">
        <v>117</v>
      </c>
      <c r="D113" s="46" t="s">
        <v>118</v>
      </c>
      <c r="E113" s="272">
        <v>1047752</v>
      </c>
      <c r="F113" s="48" t="s">
        <v>666</v>
      </c>
      <c r="G113" s="46" t="s">
        <v>260</v>
      </c>
      <c r="H113" s="46"/>
      <c r="I113" s="46" t="s">
        <v>667</v>
      </c>
      <c r="J113" s="49" t="s">
        <v>46</v>
      </c>
      <c r="K113" s="50"/>
    </row>
    <row r="114" ht="14.4" outlineLevel="1">
      <c r="A114" s="45">
        <v>3</v>
      </c>
      <c r="B114" s="46" t="s">
        <v>223</v>
      </c>
      <c r="C114" s="46" t="s">
        <v>241</v>
      </c>
      <c r="D114" s="46" t="s">
        <v>239</v>
      </c>
      <c r="E114" s="272">
        <v>29764.290000000001</v>
      </c>
      <c r="F114" s="48" t="s">
        <v>242</v>
      </c>
      <c r="G114" s="46" t="s">
        <v>260</v>
      </c>
      <c r="H114" s="46"/>
      <c r="I114" s="46"/>
      <c r="J114" s="49" t="s">
        <v>46</v>
      </c>
      <c r="K114" s="50"/>
    </row>
    <row r="115" ht="14.25" customHeight="1" outlineLevel="1">
      <c r="A115" s="45">
        <v>4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5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6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7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8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9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10</v>
      </c>
      <c r="B121" s="57"/>
      <c r="C121" s="57"/>
      <c r="D121" s="57"/>
      <c r="E121" s="58"/>
      <c r="F121" s="59"/>
      <c r="G121" s="57"/>
      <c r="H121" s="57"/>
      <c r="I121" s="57"/>
      <c r="J121" s="60"/>
      <c r="K121" s="61"/>
    </row>
    <row r="122" ht="23.100000000000001" customHeight="1">
      <c r="A122" s="63" t="s">
        <v>34</v>
      </c>
      <c r="B122" s="64"/>
      <c r="C122" s="64"/>
      <c r="D122" s="73"/>
      <c r="E122" s="65">
        <f>SUM(E95:E121)</f>
        <v>2964216.29</v>
      </c>
    </row>
    <row r="123" ht="23.100000000000001" customHeight="1">
      <c r="A123" s="63" t="s">
        <v>28</v>
      </c>
      <c r="B123" s="64"/>
      <c r="C123" s="64"/>
      <c r="D123" s="73"/>
      <c r="E123" s="65">
        <f>E91-E122</f>
        <v>-2798868.6200000001</v>
      </c>
      <c r="F123" s="66"/>
    </row>
    <row r="124" ht="24.75" customHeight="1">
      <c r="E124" s="1"/>
    </row>
    <row r="125" ht="30" customHeight="1">
      <c r="A125" s="74" t="s">
        <v>35</v>
      </c>
      <c r="B125" s="75"/>
      <c r="C125" s="75"/>
      <c r="D125" s="76"/>
      <c r="E125" s="77">
        <f>SUM(E126:E126)</f>
        <v>199307</v>
      </c>
      <c r="F125" s="13"/>
      <c r="G125" s="13"/>
      <c r="H125" s="13"/>
      <c r="I125" s="13"/>
    </row>
    <row r="126" ht="15" customHeight="1">
      <c r="A126" s="69" t="s">
        <v>36</v>
      </c>
      <c r="B126" s="70"/>
      <c r="C126" s="70"/>
      <c r="D126" s="71"/>
      <c r="E126" s="72">
        <v>199307</v>
      </c>
      <c r="F126" s="13"/>
      <c r="G126" s="13"/>
      <c r="H126" s="13"/>
      <c r="I126" s="13"/>
    </row>
    <row r="127" ht="5.2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25.5" customHeight="1" outlineLevel="1">
      <c r="A128" s="31" t="s">
        <v>10</v>
      </c>
      <c r="B128" s="31" t="s">
        <v>11</v>
      </c>
      <c r="C128" s="31" t="s">
        <v>12</v>
      </c>
      <c r="D128" s="31" t="s">
        <v>13</v>
      </c>
      <c r="E128" s="32" t="s">
        <v>14</v>
      </c>
      <c r="F128" s="31" t="s">
        <v>15</v>
      </c>
      <c r="G128" s="31" t="s">
        <v>16</v>
      </c>
      <c r="H128" s="33" t="s">
        <v>17</v>
      </c>
      <c r="I128" s="31" t="s">
        <v>18</v>
      </c>
      <c r="J128" s="31" t="s">
        <v>19</v>
      </c>
      <c r="K128" s="31" t="s">
        <v>32</v>
      </c>
    </row>
    <row r="129" s="34" customFormat="1" ht="18.75" customHeight="1" outlineLevel="1">
      <c r="A129" s="78"/>
      <c r="B129" s="79" t="s">
        <v>37</v>
      </c>
      <c r="C129" s="80"/>
      <c r="D129" s="81"/>
      <c r="E129" s="82"/>
      <c r="F129" s="79"/>
      <c r="G129" s="79"/>
      <c r="H129" s="79"/>
      <c r="I129" s="79"/>
      <c r="J129" s="79"/>
      <c r="K129" s="83"/>
    </row>
    <row r="130" ht="14.25" customHeight="1" outlineLevel="1">
      <c r="A130" s="51">
        <v>1</v>
      </c>
      <c r="B130" s="52"/>
      <c r="C130" s="52"/>
      <c r="D130" s="52"/>
      <c r="E130" s="53"/>
      <c r="F130" s="54"/>
      <c r="G130" s="52"/>
      <c r="H130" s="52"/>
      <c r="I130" s="52"/>
      <c r="J130" s="55"/>
      <c r="K130" s="56"/>
    </row>
    <row r="131" ht="14.25" customHeight="1" outlineLevel="1">
      <c r="A131" s="45">
        <v>2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3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4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5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6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7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5.75" customHeight="1" outlineLevel="1">
      <c r="A137" s="45">
        <v>8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9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10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11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12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13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14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62">
        <v>15</v>
      </c>
      <c r="B144" s="57"/>
      <c r="C144" s="57"/>
      <c r="D144" s="57"/>
      <c r="E144" s="58"/>
      <c r="F144" s="59"/>
      <c r="G144" s="57"/>
      <c r="H144" s="57"/>
      <c r="I144" s="57"/>
      <c r="J144" s="60"/>
      <c r="K144" s="61"/>
    </row>
    <row r="145" ht="23.100000000000001" customHeight="1">
      <c r="A145" s="84" t="s">
        <v>38</v>
      </c>
      <c r="B145" s="85"/>
      <c r="C145" s="85"/>
      <c r="D145" s="86"/>
      <c r="E145" s="87">
        <f>SUM(E129:E144)</f>
        <v>0</v>
      </c>
    </row>
    <row r="146" ht="23.100000000000001" customHeight="1">
      <c r="A146" s="84" t="s">
        <v>28</v>
      </c>
      <c r="B146" s="85"/>
      <c r="C146" s="85"/>
      <c r="D146" s="86"/>
      <c r="E146" s="87">
        <f>E125-E145</f>
        <v>199307</v>
      </c>
      <c r="F146" s="66"/>
    </row>
    <row r="147" ht="14.25">
      <c r="E147" s="1"/>
    </row>
    <row r="204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8:D88"/>
    <mergeCell ref="A89:D89"/>
    <mergeCell ref="A91:D91"/>
    <mergeCell ref="A92:D92"/>
    <mergeCell ref="A122:D122"/>
    <mergeCell ref="A123:D123"/>
    <mergeCell ref="A125:D125"/>
    <mergeCell ref="A126:D126"/>
    <mergeCell ref="A145:D145"/>
    <mergeCell ref="A146:D146"/>
  </mergeCells>
  <printOptions headings="0" gridLines="0"/>
  <pageMargins left="0" right="0" top="0" bottom="0" header="0.29999999999999999" footer="0.29999999999999999"/>
  <pageSetup paperSize="9" scale="2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00170016-0056-46D5-A30A-00AC00230021}" type="list" allowBlank="1" errorStyle="stop" imeMode="noControl" operator="between" showDropDown="0" showErrorMessage="1" showInputMessage="1">
          <x14:formula1>
            <xm:f>ДаНет</xm:f>
          </x14:formula1>
          <xm:sqref>H69:H81 H51:H65 H130:H144 H83:H87 H96:H100 H102:H110 H114:H121 H17:H18 H29:H33 H35:H49 H19 H20 H21 H22 H23 H24 H25 H26 H27 H28</xm:sqref>
        </x14:dataValidation>
        <x14:dataValidation xr:uid="{003700D0-00F9-476D-B0CF-007700B70069}" type="list" allowBlank="1" errorStyle="stop" imeMode="noControl" operator="between" showDropDown="0" showErrorMessage="1" showInputMessage="1">
          <x14:formula1>
            <xm:f>ДаНет</xm:f>
          </x14:formula1>
          <xm:sqref>H101</xm:sqref>
        </x14:dataValidation>
        <x14:dataValidation xr:uid="{004F0007-004C-4735-822F-008C005700EE}" type="list" allowBlank="1" errorStyle="stop" imeMode="noControl" operator="between" showDropDown="0" showErrorMessage="1" showInputMessage="1">
          <x14:formula1>
            <xm:f>ДаНет</xm:f>
          </x14:formula1>
          <xm:sqref>H113</xm:sqref>
        </x14:dataValidation>
        <x14:dataValidation xr:uid="{00B300EF-0036-4C91-AE2C-000800DD00CA}" type="list" allowBlank="1" errorStyle="stop" imeMode="noControl" operator="between" showDropDown="0" showErrorMessage="1" showInputMessage="1">
          <x14:formula1>
            <xm:f>ДаНет</xm:f>
          </x14:formula1>
          <xm:sqref>H67</xm:sqref>
        </x14:dataValidation>
        <x14:dataValidation xr:uid="{005B0046-0054-43F2-B403-003E009C005A}" type="list" allowBlank="1" errorStyle="stop" imeMode="noControl" operator="between" showDropDown="0" showErrorMessage="1" showInputMessage="1">
          <x14:formula1>
            <xm:f>ДаНет</xm:f>
          </x14:formula1>
          <xm:sqref>H68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7">
    <tabColor theme="4" tint="-0.499984740745262"/>
    <outlinePr applyStyles="0" summaryBelow="1" summaryRight="1" showOutlineSymbols="1"/>
    <pageSetUpPr autoPageBreaks="1" fitToPage="1"/>
  </sheetPr>
  <sheetViews>
    <sheetView showGridLines="0" showRuler="1" topLeftCell="A13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35.421875"/>
    <col customWidth="1" min="4" max="4" style="1" width="44.42187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31.281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'26'!C2+1</f>
        <v>46108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1132658.8999999999</v>
      </c>
      <c r="F4" s="136" t="s">
        <v>39</v>
      </c>
      <c r="G4" s="13"/>
      <c r="H4" s="13"/>
      <c r="I4" s="13"/>
    </row>
    <row r="5">
      <c r="A5" s="14" t="s">
        <v>1</v>
      </c>
      <c r="B5" s="15"/>
      <c r="C5" s="15"/>
      <c r="D5" s="16"/>
      <c r="E5" s="17">
        <v>1018191.35</v>
      </c>
      <c r="F5" s="387">
        <f>E52+E68+E86+E24+E25+E84+E27+E69</f>
        <v>6447991.3499999996</v>
      </c>
      <c r="G5" s="13"/>
      <c r="H5" s="13"/>
      <c r="I5" s="13"/>
    </row>
    <row r="6">
      <c r="A6" s="18" t="s">
        <v>2</v>
      </c>
      <c r="B6" s="19"/>
      <c r="C6" s="19"/>
      <c r="D6" s="20"/>
      <c r="E6" s="21">
        <v>288.18000000000001</v>
      </c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388" t="s">
        <v>41</v>
      </c>
      <c r="C17" s="388" t="s">
        <v>668</v>
      </c>
      <c r="D17" s="388" t="s">
        <v>669</v>
      </c>
      <c r="E17" s="384">
        <v>145075.5</v>
      </c>
      <c r="F17" s="389" t="s">
        <v>44</v>
      </c>
      <c r="G17" s="40"/>
      <c r="H17" s="40" t="s">
        <v>45</v>
      </c>
      <c r="I17" s="40"/>
      <c r="J17" s="43" t="s">
        <v>46</v>
      </c>
      <c r="K17" s="44"/>
    </row>
    <row r="18" ht="14.25" customHeight="1" outlineLevel="1">
      <c r="A18" s="96">
        <v>2</v>
      </c>
      <c r="B18" s="97" t="s">
        <v>47</v>
      </c>
      <c r="C18" s="46" t="s">
        <v>249</v>
      </c>
      <c r="D18" s="46" t="s">
        <v>250</v>
      </c>
      <c r="E18" s="366">
        <v>980000</v>
      </c>
      <c r="F18" s="48" t="s">
        <v>44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96">
        <v>3</v>
      </c>
      <c r="B19" s="97" t="s">
        <v>47</v>
      </c>
      <c r="C19" s="99" t="s">
        <v>57</v>
      </c>
      <c r="D19" s="186" t="s">
        <v>58</v>
      </c>
      <c r="E19" s="390">
        <v>15000000</v>
      </c>
      <c r="F19" s="368" t="s">
        <v>44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 t="s">
        <v>652</v>
      </c>
      <c r="C21" s="46" t="s">
        <v>75</v>
      </c>
      <c r="D21" s="46" t="s">
        <v>653</v>
      </c>
      <c r="E21" s="372">
        <v>3728258.9199999999</v>
      </c>
      <c r="F21" s="48" t="s">
        <v>77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45">
        <v>6</v>
      </c>
      <c r="B22" s="46" t="s">
        <v>152</v>
      </c>
      <c r="C22" s="46" t="s">
        <v>153</v>
      </c>
      <c r="D22" s="284">
        <v>2022</v>
      </c>
      <c r="E22" s="391">
        <v>15000000</v>
      </c>
      <c r="F22" s="48"/>
      <c r="G22" s="46"/>
      <c r="H22" s="46"/>
      <c r="I22" s="46"/>
      <c r="J22" s="49" t="s">
        <v>46</v>
      </c>
      <c r="K22" s="50"/>
    </row>
    <row r="23" ht="14.25" customHeight="1" outlineLevel="1">
      <c r="A23" s="45">
        <v>7</v>
      </c>
      <c r="B23" s="46" t="s">
        <v>152</v>
      </c>
      <c r="C23" s="46" t="s">
        <v>154</v>
      </c>
      <c r="D23" s="284">
        <v>202057</v>
      </c>
      <c r="E23" s="391">
        <v>5000000</v>
      </c>
      <c r="F23" s="48"/>
      <c r="G23" s="46"/>
      <c r="H23" s="46"/>
      <c r="I23" s="46"/>
      <c r="J23" s="49" t="s">
        <v>46</v>
      </c>
      <c r="K23" s="50"/>
    </row>
    <row r="24" ht="26.25" customHeight="1" outlineLevel="1">
      <c r="A24" s="45">
        <v>8</v>
      </c>
      <c r="B24" s="156" t="s">
        <v>41</v>
      </c>
      <c r="C24" s="156" t="s">
        <v>48</v>
      </c>
      <c r="D24" s="156" t="s">
        <v>49</v>
      </c>
      <c r="E24" s="392">
        <v>1622370</v>
      </c>
      <c r="F24" s="48" t="s">
        <v>670</v>
      </c>
      <c r="G24" s="46"/>
      <c r="H24" s="46" t="s">
        <v>45</v>
      </c>
      <c r="I24" s="46"/>
      <c r="J24" s="49" t="s">
        <v>46</v>
      </c>
      <c r="K24" s="50"/>
    </row>
    <row r="25" ht="30.75" customHeight="1" outlineLevel="1">
      <c r="A25" s="39">
        <v>9</v>
      </c>
      <c r="B25" s="156" t="s">
        <v>41</v>
      </c>
      <c r="C25" s="156" t="s">
        <v>48</v>
      </c>
      <c r="D25" s="156" t="s">
        <v>49</v>
      </c>
      <c r="E25" s="392">
        <v>1657630</v>
      </c>
      <c r="F25" s="48" t="s">
        <v>671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45">
        <v>10</v>
      </c>
      <c r="B26" s="333" t="s">
        <v>41</v>
      </c>
      <c r="C26" s="333" t="s">
        <v>42</v>
      </c>
      <c r="D26" s="333" t="s">
        <v>43</v>
      </c>
      <c r="E26" s="372">
        <v>7300000</v>
      </c>
      <c r="F26" s="333" t="s">
        <v>44</v>
      </c>
      <c r="G26" s="46"/>
      <c r="H26" s="46" t="s">
        <v>45</v>
      </c>
      <c r="I26" s="46"/>
      <c r="J26" s="49" t="s">
        <v>46</v>
      </c>
      <c r="K26" s="50"/>
    </row>
    <row r="27" ht="14.25" customHeight="1" outlineLevel="1">
      <c r="A27" s="45">
        <v>11</v>
      </c>
      <c r="B27" s="46"/>
      <c r="C27" s="46" t="s">
        <v>78</v>
      </c>
      <c r="D27" s="46"/>
      <c r="E27" s="272">
        <v>300000</v>
      </c>
      <c r="F27" s="48"/>
      <c r="G27" s="46"/>
      <c r="H27" s="46"/>
      <c r="I27" s="46"/>
      <c r="J27" s="49" t="s">
        <v>46</v>
      </c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 t="s">
        <v>101</v>
      </c>
      <c r="C52" s="52" t="s">
        <v>486</v>
      </c>
      <c r="D52" s="52" t="s">
        <v>487</v>
      </c>
      <c r="E52" s="393">
        <v>100000</v>
      </c>
      <c r="F52" s="54" t="s">
        <v>672</v>
      </c>
      <c r="G52" s="394" t="s">
        <v>260</v>
      </c>
      <c r="H52" s="52"/>
      <c r="I52" s="52"/>
      <c r="J52" s="55" t="s">
        <v>46</v>
      </c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27" customHeight="1" outlineLevel="1">
      <c r="A68" s="96">
        <v>1</v>
      </c>
      <c r="B68" s="395" t="s">
        <v>197</v>
      </c>
      <c r="C68" s="264" t="s">
        <v>673</v>
      </c>
      <c r="D68" s="264" t="s">
        <v>674</v>
      </c>
      <c r="E68" s="265">
        <v>4800</v>
      </c>
      <c r="F68" s="264" t="s">
        <v>675</v>
      </c>
      <c r="G68" s="46" t="s">
        <v>260</v>
      </c>
      <c r="H68" s="396"/>
      <c r="I68" s="396"/>
      <c r="J68" s="397" t="s">
        <v>46</v>
      </c>
      <c r="K68" s="56"/>
    </row>
    <row r="69" ht="14.25" customHeight="1" outlineLevel="1">
      <c r="A69" s="45">
        <v>2</v>
      </c>
      <c r="B69" s="142" t="s">
        <v>157</v>
      </c>
      <c r="C69" s="142" t="s">
        <v>117</v>
      </c>
      <c r="D69" s="142" t="s">
        <v>118</v>
      </c>
      <c r="E69" s="272">
        <v>345000</v>
      </c>
      <c r="F69" s="46" t="s">
        <v>676</v>
      </c>
      <c r="G69" s="46" t="s">
        <v>260</v>
      </c>
      <c r="H69" s="46"/>
      <c r="I69" s="46" t="s">
        <v>677</v>
      </c>
      <c r="J69" s="49" t="s">
        <v>46</v>
      </c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 t="s">
        <v>678</v>
      </c>
      <c r="C84" s="52" t="s">
        <v>124</v>
      </c>
      <c r="D84" s="52" t="s">
        <v>659</v>
      </c>
      <c r="E84" s="373">
        <v>1018191.35</v>
      </c>
      <c r="F84" s="54" t="s">
        <v>679</v>
      </c>
      <c r="G84" s="46" t="s">
        <v>260</v>
      </c>
      <c r="H84" s="52"/>
      <c r="I84" s="52"/>
      <c r="J84" s="55" t="s">
        <v>680</v>
      </c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 t="s">
        <v>348</v>
      </c>
      <c r="D86" s="40"/>
      <c r="E86" s="384">
        <v>1400000</v>
      </c>
      <c r="F86" s="42"/>
      <c r="G86" s="40"/>
      <c r="H86" s="40"/>
      <c r="I86" s="40"/>
      <c r="J86" s="43" t="s">
        <v>46</v>
      </c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53601325.770000003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-52468666.870000005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515</v>
      </c>
      <c r="B92" s="10"/>
      <c r="C92" s="10"/>
      <c r="D92" s="11"/>
      <c r="E92" s="170">
        <f>SUM(E93:E93)</f>
        <v>101051.38</v>
      </c>
      <c r="F92" s="136" t="s">
        <v>39</v>
      </c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>
        <v>101051.38</v>
      </c>
      <c r="F93" s="238" t="s">
        <v>681</v>
      </c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396" t="s">
        <v>101</v>
      </c>
      <c r="C97" s="396" t="s">
        <v>182</v>
      </c>
      <c r="D97" s="396" t="s">
        <v>682</v>
      </c>
      <c r="E97" s="393">
        <v>100000</v>
      </c>
      <c r="F97" s="394" t="s">
        <v>184</v>
      </c>
      <c r="G97" s="52" t="s">
        <v>260</v>
      </c>
      <c r="H97" s="52"/>
      <c r="I97" s="52"/>
      <c r="J97" s="55" t="s">
        <v>46</v>
      </c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45">
        <v>1</v>
      </c>
      <c r="B113" s="46" t="s">
        <v>116</v>
      </c>
      <c r="C113" s="46" t="s">
        <v>117</v>
      </c>
      <c r="D113" s="46" t="s">
        <v>118</v>
      </c>
      <c r="E113" s="398">
        <v>330000</v>
      </c>
      <c r="F113" s="48" t="s">
        <v>683</v>
      </c>
      <c r="G113" s="46" t="s">
        <v>260</v>
      </c>
      <c r="H113" s="46" t="s">
        <v>225</v>
      </c>
      <c r="I113" s="46" t="s">
        <v>684</v>
      </c>
      <c r="J113" s="49" t="s">
        <v>46</v>
      </c>
      <c r="K113" s="50"/>
    </row>
    <row r="114" ht="14.25" customHeight="1" outlineLevel="1">
      <c r="A114" s="45">
        <v>2</v>
      </c>
      <c r="B114" s="46" t="s">
        <v>223</v>
      </c>
      <c r="C114" s="46" t="s">
        <v>241</v>
      </c>
      <c r="D114" s="160" t="s">
        <v>239</v>
      </c>
      <c r="E114" s="259">
        <v>144172.39999999999</v>
      </c>
      <c r="F114" s="141" t="s">
        <v>251</v>
      </c>
      <c r="G114" s="46" t="s">
        <v>260</v>
      </c>
      <c r="H114" s="46"/>
      <c r="I114" s="46"/>
      <c r="J114" s="49" t="s">
        <v>46</v>
      </c>
      <c r="K114" s="50"/>
    </row>
    <row r="115" ht="30" outlineLevel="1">
      <c r="A115" s="96">
        <v>3</v>
      </c>
      <c r="B115" s="110" t="s">
        <v>223</v>
      </c>
      <c r="C115" s="110" t="s">
        <v>117</v>
      </c>
      <c r="D115" s="110" t="s">
        <v>118</v>
      </c>
      <c r="E115" s="399">
        <v>807000</v>
      </c>
      <c r="F115" s="110" t="s">
        <v>685</v>
      </c>
      <c r="G115" s="46" t="s">
        <v>260</v>
      </c>
      <c r="H115" s="46"/>
      <c r="I115" s="400" t="s">
        <v>686</v>
      </c>
      <c r="J115" s="197" t="s">
        <v>46</v>
      </c>
      <c r="K115" s="50"/>
    </row>
    <row r="116" ht="45" outlineLevel="1">
      <c r="A116" s="96">
        <v>4</v>
      </c>
      <c r="B116" s="110" t="s">
        <v>223</v>
      </c>
      <c r="C116" s="110" t="s">
        <v>117</v>
      </c>
      <c r="D116" s="110" t="s">
        <v>118</v>
      </c>
      <c r="E116" s="399">
        <v>537</v>
      </c>
      <c r="F116" s="110" t="s">
        <v>687</v>
      </c>
      <c r="G116" s="401" t="s">
        <v>285</v>
      </c>
      <c r="H116" s="46"/>
      <c r="I116" s="365" t="s">
        <v>688</v>
      </c>
      <c r="J116" s="49" t="s">
        <v>46</v>
      </c>
      <c r="K116" s="50"/>
    </row>
    <row r="117" ht="45" outlineLevel="1">
      <c r="A117" s="96">
        <v>5</v>
      </c>
      <c r="B117" s="111" t="s">
        <v>223</v>
      </c>
      <c r="C117" s="111" t="s">
        <v>117</v>
      </c>
      <c r="D117" s="111" t="s">
        <v>118</v>
      </c>
      <c r="E117" s="265">
        <v>455</v>
      </c>
      <c r="F117" s="111" t="s">
        <v>689</v>
      </c>
      <c r="G117" s="401" t="s">
        <v>285</v>
      </c>
      <c r="H117" s="46"/>
      <c r="I117" s="365" t="s">
        <v>688</v>
      </c>
      <c r="J117" s="49" t="s">
        <v>46</v>
      </c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1482164.3999999999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-1381113.02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199307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>
        <v>199307</v>
      </c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123" t="s">
        <v>37</v>
      </c>
      <c r="C130" s="124"/>
      <c r="D130" s="125"/>
      <c r="E130" s="126"/>
      <c r="F130" s="123"/>
      <c r="G130" s="79"/>
      <c r="H130" s="79"/>
      <c r="I130" s="79"/>
      <c r="J130" s="79"/>
      <c r="K130" s="83"/>
    </row>
    <row r="131" ht="14.25" customHeight="1" outlineLevel="1">
      <c r="A131" s="127">
        <v>1</v>
      </c>
      <c r="B131" s="263" t="s">
        <v>116</v>
      </c>
      <c r="C131" s="264" t="s">
        <v>117</v>
      </c>
      <c r="D131" s="264" t="s">
        <v>118</v>
      </c>
      <c r="E131" s="265">
        <f>34797</f>
        <v>34797</v>
      </c>
      <c r="F131" s="264" t="s">
        <v>145</v>
      </c>
      <c r="G131" s="402"/>
      <c r="H131" s="396"/>
      <c r="I131" s="397" t="s">
        <v>146</v>
      </c>
      <c r="J131" s="1" t="s">
        <v>46</v>
      </c>
      <c r="K131" s="56"/>
    </row>
    <row r="132" ht="14.25" customHeight="1" outlineLevel="1">
      <c r="A132" s="45">
        <v>2</v>
      </c>
      <c r="B132" s="40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34797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164510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" right="0" top="0" bottom="0" header="0.29999999999999999" footer="0.29999999999999999"/>
  <pageSetup paperSize="9" scale="2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4" disablePrompts="0">
        <x14:dataValidation xr:uid="{00A500B0-0069-4DB7-A415-009800BD000B}" type="list" allowBlank="1" errorStyle="stop" imeMode="noControl" operator="between" showDropDown="0" showErrorMessage="1" showInputMessage="1">
          <x14:formula1>
            <xm:f>ДаНет</xm:f>
          </x14:formula1>
          <xm:sqref>H69:H82 H52:H66 H132:H145 H84:H88 H97:H111 H114 H118:H122 H17:H34 H36:H50</xm:sqref>
        </x14:dataValidation>
        <x14:dataValidation xr:uid="{00530044-0050-4B89-8AB8-0049003C00C0}" type="list" allowBlank="1" errorStyle="stop" imeMode="noControl" operator="between" showDropDown="0" showErrorMessage="1" showInputMessage="1">
          <x14:formula1>
            <xm:f>ДаНет</xm:f>
          </x14:formula1>
          <xm:sqref>I68</xm:sqref>
        </x14:dataValidation>
        <x14:dataValidation xr:uid="{00DD0072-006B-4083-88EB-007B004C002D}" type="list" allowBlank="1" errorStyle="stop" imeMode="noControl" operator="between" showDropDown="0" showErrorMessage="1" showInputMessage="1">
          <x14:formula1>
            <xm:f>ДаНет</xm:f>
          </x14:formula1>
          <xm:sqref>H113</xm:sqref>
        </x14:dataValidation>
        <x14:dataValidation xr:uid="{00100055-0052-4B05-8A0E-000C00B00007}" type="list" allowBlank="1" errorStyle="stop" imeMode="noControl" operator="between" showDropDown="0" showErrorMessage="1" showInputMessage="1">
          <x14:formula1>
            <xm:f>ДаНет</xm:f>
          </x14:formula1>
          <xm:sqref>H115:H117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8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85" zoomScale="9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'27'!C2+1</f>
        <v>46109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515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17006C-003A-4C56-ACB4-008900ED0010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29">
    <tabColor theme="0" tint="-0.499984740745262"/>
    <outlinePr applyStyles="0" summaryBelow="1" summaryRight="1" showOutlineSymbols="1"/>
    <pageSetUpPr autoPageBreaks="1" fitToPage="0"/>
  </sheetPr>
  <sheetViews>
    <sheetView showGridLines="0" showRuler="1" topLeftCell="A82" zoomScale="90" workbookViewId="0">
      <selection activeCell="G32" activeCellId="0" sqref="G32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'28'!C2+1</f>
        <v>46110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2">
        <f>SUM(E5:E13)</f>
        <v>0</v>
      </c>
      <c r="F4" s="13"/>
      <c r="G4" s="13"/>
      <c r="H4" s="13"/>
      <c r="I4" s="13"/>
    </row>
    <row r="5">
      <c r="A5" s="14" t="s">
        <v>1</v>
      </c>
      <c r="B5" s="15"/>
      <c r="C5" s="15"/>
      <c r="D5" s="16"/>
      <c r="E5" s="17"/>
      <c r="F5" s="13"/>
      <c r="G5" s="13"/>
      <c r="H5" s="13"/>
      <c r="I5" s="13"/>
    </row>
    <row r="6">
      <c r="A6" s="18" t="s">
        <v>2</v>
      </c>
      <c r="B6" s="19"/>
      <c r="C6" s="19"/>
      <c r="D6" s="20"/>
      <c r="E6" s="21"/>
      <c r="F6" s="13"/>
      <c r="G6" s="13"/>
      <c r="H6" s="13"/>
      <c r="I6" s="13"/>
    </row>
    <row r="7">
      <c r="A7" s="23" t="s">
        <v>40</v>
      </c>
      <c r="B7" s="19"/>
      <c r="C7" s="19"/>
      <c r="D7" s="20"/>
      <c r="E7" s="21"/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/>
      <c r="F8" s="22"/>
      <c r="G8" s="22"/>
      <c r="H8" s="22"/>
      <c r="I8" s="22"/>
    </row>
    <row r="9">
      <c r="A9" s="23" t="s">
        <v>5</v>
      </c>
      <c r="B9" s="19"/>
      <c r="C9" s="19"/>
      <c r="D9" s="20"/>
      <c r="E9" s="21"/>
      <c r="F9" s="13"/>
      <c r="G9" s="13"/>
      <c r="H9" s="13"/>
      <c r="I9" s="13"/>
    </row>
    <row r="10" ht="15.75" customHeight="1">
      <c r="A10" s="23" t="s">
        <v>6</v>
      </c>
      <c r="B10" s="19"/>
      <c r="C10" s="19"/>
      <c r="D10" s="20"/>
      <c r="E10" s="21"/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/>
      <c r="F11" s="22"/>
      <c r="G11" s="22"/>
      <c r="H11" s="22"/>
      <c r="I11" s="22"/>
    </row>
    <row r="12" ht="15.75" customHeight="1">
      <c r="A12" s="23" t="s">
        <v>8</v>
      </c>
      <c r="B12" s="19"/>
      <c r="C12" s="19"/>
      <c r="D12" s="20"/>
      <c r="E12" s="21"/>
      <c r="F12" s="22"/>
      <c r="G12" s="22"/>
      <c r="H12" s="22"/>
      <c r="I12" s="22"/>
    </row>
    <row r="13" ht="15.75" customHeight="1">
      <c r="A13" s="27" t="s">
        <v>9</v>
      </c>
      <c r="B13" s="28"/>
      <c r="C13" s="28"/>
      <c r="D13" s="29"/>
      <c r="E13" s="30"/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45">
        <v>2</v>
      </c>
      <c r="B18" s="46"/>
      <c r="C18" s="46"/>
      <c r="D18" s="46"/>
      <c r="E18" s="47"/>
      <c r="F18" s="48"/>
      <c r="G18" s="46"/>
      <c r="H18" s="46"/>
      <c r="I18" s="46"/>
      <c r="J18" s="49"/>
      <c r="K18" s="50"/>
    </row>
    <row r="19" ht="14.25" customHeight="1" outlineLevel="1">
      <c r="A19" s="45">
        <v>3</v>
      </c>
      <c r="B19" s="46"/>
      <c r="C19" s="46"/>
      <c r="D19" s="46"/>
      <c r="E19" s="47"/>
      <c r="F19" s="48"/>
      <c r="G19" s="46"/>
      <c r="H19" s="46"/>
      <c r="I19" s="46"/>
      <c r="J19" s="49"/>
      <c r="K19" s="50"/>
    </row>
    <row r="20" ht="14.25" customHeight="1" outlineLevel="1">
      <c r="A20" s="45">
        <v>4</v>
      </c>
      <c r="B20" s="46"/>
      <c r="C20" s="46"/>
      <c r="D20" s="46"/>
      <c r="E20" s="47"/>
      <c r="F20" s="48"/>
      <c r="G20" s="46"/>
      <c r="H20" s="46"/>
      <c r="I20" s="46"/>
      <c r="J20" s="49"/>
      <c r="K20" s="50"/>
    </row>
    <row r="21" ht="14.25" customHeight="1" outlineLevel="1">
      <c r="A21" s="45">
        <v>5</v>
      </c>
      <c r="B21" s="46"/>
      <c r="C21" s="46"/>
      <c r="D21" s="46"/>
      <c r="E21" s="47"/>
      <c r="F21" s="48"/>
      <c r="G21" s="46"/>
      <c r="H21" s="46"/>
      <c r="I21" s="46"/>
      <c r="J21" s="49"/>
      <c r="K21" s="50"/>
    </row>
    <row r="22" ht="14.25" customHeight="1" outlineLevel="1">
      <c r="A22" s="45">
        <v>6</v>
      </c>
      <c r="B22" s="46"/>
      <c r="C22" s="46"/>
      <c r="D22" s="46"/>
      <c r="E22" s="47"/>
      <c r="F22" s="48"/>
      <c r="G22" s="46"/>
      <c r="H22" s="46"/>
      <c r="I22" s="46"/>
      <c r="J22" s="49"/>
      <c r="K22" s="50"/>
    </row>
    <row r="23" ht="14.25" customHeight="1" outlineLevel="1">
      <c r="A23" s="45">
        <v>7</v>
      </c>
      <c r="B23" s="46"/>
      <c r="C23" s="46"/>
      <c r="D23" s="46" t="s">
        <v>22</v>
      </c>
      <c r="E23" s="47"/>
      <c r="F23" s="48"/>
      <c r="G23" s="46"/>
      <c r="H23" s="46"/>
      <c r="I23" s="46"/>
      <c r="J23" s="49"/>
      <c r="K23" s="50"/>
    </row>
    <row r="24" ht="14.25" customHeight="1" outlineLevel="1">
      <c r="A24" s="45">
        <v>8</v>
      </c>
      <c r="B24" s="46"/>
      <c r="C24" s="46"/>
      <c r="D24" s="46"/>
      <c r="E24" s="47"/>
      <c r="F24" s="48"/>
      <c r="G24" s="46"/>
      <c r="H24" s="46"/>
      <c r="I24" s="46"/>
      <c r="J24" s="49"/>
      <c r="K24" s="50"/>
    </row>
    <row r="25" ht="14.25" customHeight="1" outlineLevel="1">
      <c r="A25" s="39">
        <v>9</v>
      </c>
      <c r="B25" s="46"/>
      <c r="C25" s="46"/>
      <c r="D25" s="46"/>
      <c r="E25" s="47"/>
      <c r="F25" s="48"/>
      <c r="G25" s="46"/>
      <c r="H25" s="46"/>
      <c r="I25" s="46"/>
      <c r="J25" s="49"/>
      <c r="K25" s="50"/>
    </row>
    <row r="26" ht="14.25" customHeight="1" outlineLevel="1">
      <c r="A26" s="45">
        <v>10</v>
      </c>
      <c r="B26" s="46"/>
      <c r="C26" s="46"/>
      <c r="D26" s="46"/>
      <c r="E26" s="47"/>
      <c r="F26" s="48"/>
      <c r="G26" s="46"/>
      <c r="H26" s="46"/>
      <c r="I26" s="46"/>
      <c r="J26" s="49"/>
      <c r="K26" s="50"/>
    </row>
    <row r="27" ht="14.25" customHeight="1" outlineLevel="1">
      <c r="A27" s="45">
        <v>11</v>
      </c>
      <c r="B27" s="46"/>
      <c r="C27" s="46"/>
      <c r="D27" s="46"/>
      <c r="E27" s="47"/>
      <c r="F27" s="48"/>
      <c r="G27" s="46"/>
      <c r="H27" s="46"/>
      <c r="I27" s="46"/>
      <c r="J27" s="49"/>
      <c r="K27" s="50"/>
    </row>
    <row r="28" ht="14.25" customHeight="1" outlineLevel="1">
      <c r="A28" s="45">
        <v>12</v>
      </c>
      <c r="B28" s="46"/>
      <c r="C28" s="46"/>
      <c r="D28" s="46"/>
      <c r="E28" s="47"/>
      <c r="F28" s="48"/>
      <c r="G28" s="46"/>
      <c r="H28" s="46"/>
      <c r="I28" s="46"/>
      <c r="J28" s="49"/>
      <c r="K28" s="50"/>
    </row>
    <row r="29" ht="14.25" customHeight="1" outlineLevel="1">
      <c r="A29" s="45">
        <v>13</v>
      </c>
      <c r="B29" s="46"/>
      <c r="C29" s="46"/>
      <c r="D29" s="46"/>
      <c r="E29" s="47"/>
      <c r="F29" s="48"/>
      <c r="G29" s="46"/>
      <c r="H29" s="46"/>
      <c r="I29" s="46"/>
      <c r="J29" s="49"/>
      <c r="K29" s="50"/>
    </row>
    <row r="30" ht="14.25" customHeight="1" outlineLevel="1">
      <c r="A30" s="45">
        <v>14</v>
      </c>
      <c r="B30" s="46"/>
      <c r="C30" s="46"/>
      <c r="D30" s="46"/>
      <c r="E30" s="47"/>
      <c r="F30" s="48"/>
      <c r="G30" s="46"/>
      <c r="H30" s="46"/>
      <c r="I30" s="46"/>
      <c r="J30" s="49"/>
      <c r="K30" s="50"/>
    </row>
    <row r="31" ht="14.25" customHeight="1" outlineLevel="1">
      <c r="A31" s="45">
        <v>15</v>
      </c>
      <c r="B31" s="46"/>
      <c r="C31" s="46"/>
      <c r="D31" s="46"/>
      <c r="E31" s="47"/>
      <c r="F31" s="48"/>
      <c r="G31" s="46"/>
      <c r="H31" s="46"/>
      <c r="I31" s="46"/>
      <c r="J31" s="49"/>
      <c r="K31" s="50"/>
    </row>
    <row r="32" ht="14.25" customHeight="1" outlineLevel="1">
      <c r="A32" s="45">
        <v>16</v>
      </c>
      <c r="B32" s="46"/>
      <c r="C32" s="46"/>
      <c r="D32" s="46"/>
      <c r="E32" s="47"/>
      <c r="F32" s="48"/>
      <c r="G32" s="46"/>
      <c r="H32" s="46"/>
      <c r="I32" s="46"/>
      <c r="J32" s="49"/>
      <c r="K32" s="50"/>
    </row>
    <row r="33" ht="14.25" customHeight="1" outlineLevel="1">
      <c r="A33" s="45">
        <v>17</v>
      </c>
      <c r="B33" s="46"/>
      <c r="C33" s="46"/>
      <c r="D33" s="46"/>
      <c r="E33" s="47"/>
      <c r="F33" s="48"/>
      <c r="G33" s="46"/>
      <c r="H33" s="46"/>
      <c r="I33" s="46"/>
      <c r="J33" s="49"/>
      <c r="K33" s="50"/>
    </row>
    <row r="34" ht="14.25" customHeight="1" outlineLevel="1">
      <c r="A34" s="45">
        <v>18</v>
      </c>
      <c r="B34" s="46"/>
      <c r="C34" s="46"/>
      <c r="D34" s="46"/>
      <c r="E34" s="47"/>
      <c r="F34" s="48"/>
      <c r="G34" s="46"/>
      <c r="H34" s="46"/>
      <c r="I34" s="46"/>
      <c r="J34" s="49"/>
      <c r="K34" s="50"/>
    </row>
    <row r="35" s="34" customFormat="1" ht="25.5" customHeight="1" outlineLevel="1">
      <c r="A35" s="35"/>
      <c r="B35" s="37" t="s">
        <v>23</v>
      </c>
      <c r="C35" s="37"/>
      <c r="D35" s="37"/>
      <c r="E35" s="37"/>
      <c r="F35" s="37"/>
      <c r="G35" s="37"/>
      <c r="H35" s="37"/>
      <c r="I35" s="37"/>
      <c r="J35" s="37"/>
      <c r="K35" s="38"/>
    </row>
    <row r="36" ht="14.25" customHeight="1" outlineLevel="1">
      <c r="A36" s="39">
        <v>1</v>
      </c>
      <c r="B36" s="46"/>
      <c r="C36" s="46"/>
      <c r="D36" s="46"/>
      <c r="E36" s="47"/>
      <c r="F36" s="48"/>
      <c r="G36" s="46"/>
      <c r="H36" s="46"/>
      <c r="I36" s="46"/>
      <c r="J36" s="49"/>
      <c r="K36" s="50"/>
    </row>
    <row r="37" ht="14.25" customHeight="1" outlineLevel="1">
      <c r="A37" s="45">
        <v>2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3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4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5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6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7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8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39">
        <v>9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10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11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12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13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14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15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s="34" customFormat="1" ht="25.5" customHeight="1" outlineLevel="1">
      <c r="A51" s="35"/>
      <c r="B51" s="37" t="s">
        <v>24</v>
      </c>
      <c r="C51" s="37"/>
      <c r="D51" s="37"/>
      <c r="E51" s="37"/>
      <c r="F51" s="37"/>
      <c r="G51" s="37"/>
      <c r="H51" s="37"/>
      <c r="I51" s="37"/>
      <c r="J51" s="37"/>
      <c r="K51" s="38"/>
    </row>
    <row r="52" ht="14.25" customHeight="1" outlineLevel="1">
      <c r="A52" s="51">
        <v>1</v>
      </c>
      <c r="B52" s="52"/>
      <c r="C52" s="52"/>
      <c r="D52" s="52"/>
      <c r="E52" s="53"/>
      <c r="F52" s="54"/>
      <c r="G52" s="52"/>
      <c r="H52" s="52"/>
      <c r="I52" s="52"/>
      <c r="J52" s="55"/>
      <c r="K52" s="56"/>
    </row>
    <row r="53" ht="14.25" customHeight="1" outlineLevel="1">
      <c r="A53" s="45">
        <v>2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3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4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5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6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7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8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9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10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11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12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13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14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15</v>
      </c>
      <c r="B66" s="57"/>
      <c r="C66" s="57"/>
      <c r="D66" s="57"/>
      <c r="E66" s="58"/>
      <c r="F66" s="59"/>
      <c r="G66" s="57"/>
      <c r="H66" s="57"/>
      <c r="I66" s="57"/>
      <c r="J66" s="60"/>
      <c r="K66" s="61"/>
    </row>
    <row r="67" s="34" customFormat="1" ht="25.5" customHeight="1" outlineLevel="1">
      <c r="A67" s="35"/>
      <c r="B67" s="36" t="s">
        <v>25</v>
      </c>
      <c r="C67" s="37"/>
      <c r="D67" s="37"/>
      <c r="E67" s="37"/>
      <c r="F67" s="37"/>
      <c r="G67" s="37"/>
      <c r="H67" s="37"/>
      <c r="I67" s="37"/>
      <c r="J67" s="37"/>
      <c r="K67" s="38"/>
    </row>
    <row r="68" ht="14.25" customHeight="1" outlineLevel="1">
      <c r="A68" s="45">
        <v>1</v>
      </c>
      <c r="B68" s="52"/>
      <c r="C68" s="52"/>
      <c r="D68" s="52"/>
      <c r="E68" s="53"/>
      <c r="F68" s="54"/>
      <c r="G68" s="52"/>
      <c r="H68" s="52"/>
      <c r="I68" s="52"/>
      <c r="J68" s="55"/>
      <c r="K68" s="56"/>
    </row>
    <row r="69" ht="14.25" customHeight="1" outlineLevel="1">
      <c r="A69" s="45">
        <v>2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3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4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5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6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7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8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9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10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11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12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13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14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15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s="34" customFormat="1" ht="25.5" customHeight="1" outlineLevel="1">
      <c r="A83" s="35"/>
      <c r="B83" s="36" t="s">
        <v>26</v>
      </c>
      <c r="C83" s="37"/>
      <c r="D83" s="37"/>
      <c r="E83" s="37"/>
      <c r="F83" s="37"/>
      <c r="G83" s="37"/>
      <c r="H83" s="37"/>
      <c r="I83" s="37"/>
      <c r="J83" s="37"/>
      <c r="K83" s="38"/>
    </row>
    <row r="84" ht="14.25" customHeight="1" outlineLevel="1">
      <c r="A84" s="51">
        <v>1</v>
      </c>
      <c r="B84" s="52"/>
      <c r="C84" s="52"/>
      <c r="D84" s="52"/>
      <c r="E84" s="53"/>
      <c r="F84" s="54"/>
      <c r="G84" s="52"/>
      <c r="H84" s="52"/>
      <c r="I84" s="52"/>
      <c r="J84" s="55"/>
      <c r="K84" s="56"/>
    </row>
    <row r="85" ht="14.25" customHeight="1" outlineLevel="1">
      <c r="A85" s="39">
        <v>2</v>
      </c>
      <c r="B85" s="40"/>
      <c r="C85" s="40"/>
      <c r="D85" s="40"/>
      <c r="E85" s="41"/>
      <c r="F85" s="42"/>
      <c r="G85" s="40"/>
      <c r="H85" s="40"/>
      <c r="I85" s="40"/>
      <c r="J85" s="43"/>
      <c r="K85" s="44"/>
    </row>
    <row r="86" ht="14.25" customHeight="1" outlineLevel="1">
      <c r="A86" s="39">
        <v>3</v>
      </c>
      <c r="B86" s="40"/>
      <c r="C86" s="40"/>
      <c r="D86" s="40"/>
      <c r="E86" s="41"/>
      <c r="F86" s="42"/>
      <c r="G86" s="40"/>
      <c r="H86" s="40"/>
      <c r="I86" s="40"/>
      <c r="J86" s="43"/>
      <c r="K86" s="44"/>
    </row>
    <row r="87" ht="14.25" customHeight="1" outlineLevel="1">
      <c r="A87" s="45">
        <v>4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5" customHeight="1" outlineLevel="1">
      <c r="A88" s="62">
        <v>5</v>
      </c>
      <c r="B88" s="57"/>
      <c r="C88" s="57"/>
      <c r="D88" s="57"/>
      <c r="E88" s="58"/>
      <c r="F88" s="59"/>
      <c r="G88" s="57"/>
      <c r="H88" s="57"/>
      <c r="I88" s="57"/>
      <c r="J88" s="60"/>
      <c r="K88" s="61"/>
    </row>
    <row r="89" ht="23.100000000000001" customHeight="1">
      <c r="A89" s="63" t="s">
        <v>27</v>
      </c>
      <c r="B89" s="64"/>
      <c r="C89" s="64"/>
      <c r="D89" s="64"/>
      <c r="E89" s="65">
        <f>SUM(E16:E88)</f>
        <v>0</v>
      </c>
    </row>
    <row r="90" ht="23.100000000000001" customHeight="1">
      <c r="A90" s="63" t="s">
        <v>28</v>
      </c>
      <c r="B90" s="64"/>
      <c r="C90" s="64"/>
      <c r="D90" s="64"/>
      <c r="E90" s="65">
        <f>E4-E89</f>
        <v>0</v>
      </c>
      <c r="F90" s="66"/>
    </row>
    <row r="91" ht="30.75" customHeight="1">
      <c r="A91" s="66"/>
      <c r="B91" s="66"/>
      <c r="C91" s="66"/>
      <c r="D91" s="66"/>
      <c r="E91" s="66"/>
      <c r="F91" s="66"/>
    </row>
    <row r="92" ht="30" customHeight="1">
      <c r="A92" s="9" t="s">
        <v>515</v>
      </c>
      <c r="B92" s="10"/>
      <c r="C92" s="10"/>
      <c r="D92" s="11"/>
      <c r="E92" s="67">
        <f>SUM(E93:E93)</f>
        <v>0</v>
      </c>
      <c r="F92" s="13"/>
      <c r="G92" s="68" t="s">
        <v>30</v>
      </c>
      <c r="H92" s="13"/>
      <c r="I92" s="13"/>
    </row>
    <row r="93" ht="15" customHeight="1">
      <c r="A93" s="69" t="s">
        <v>31</v>
      </c>
      <c r="B93" s="70"/>
      <c r="C93" s="70"/>
      <c r="D93" s="71"/>
      <c r="E93" s="72"/>
      <c r="F93" s="13"/>
      <c r="G93" s="13"/>
      <c r="H93" s="13"/>
      <c r="I93" s="13"/>
    </row>
    <row r="94" ht="4.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25.5" customHeight="1" outlineLevel="1">
      <c r="A95" s="31" t="s">
        <v>10</v>
      </c>
      <c r="B95" s="31" t="s">
        <v>11</v>
      </c>
      <c r="C95" s="31" t="s">
        <v>12</v>
      </c>
      <c r="D95" s="31" t="s">
        <v>13</v>
      </c>
      <c r="E95" s="32" t="s">
        <v>14</v>
      </c>
      <c r="F95" s="31" t="s">
        <v>15</v>
      </c>
      <c r="G95" s="31" t="s">
        <v>16</v>
      </c>
      <c r="H95" s="33" t="s">
        <v>17</v>
      </c>
      <c r="I95" s="31" t="s">
        <v>18</v>
      </c>
      <c r="J95" s="31" t="s">
        <v>19</v>
      </c>
      <c r="K95" s="31" t="s">
        <v>32</v>
      </c>
    </row>
    <row r="96" s="34" customFormat="1" ht="25.5" customHeight="1" outlineLevel="1">
      <c r="A96" s="35"/>
      <c r="B96" s="37" t="s">
        <v>33</v>
      </c>
      <c r="C96" s="37"/>
      <c r="D96" s="37"/>
      <c r="E96" s="37"/>
      <c r="F96" s="37"/>
      <c r="G96" s="37"/>
      <c r="H96" s="37"/>
      <c r="I96" s="37"/>
      <c r="J96" s="37"/>
      <c r="K96" s="38"/>
    </row>
    <row r="97" ht="14.25" customHeight="1" outlineLevel="1">
      <c r="A97" s="39">
        <v>1</v>
      </c>
      <c r="B97" s="52"/>
      <c r="C97" s="52"/>
      <c r="D97" s="52"/>
      <c r="E97" s="53"/>
      <c r="F97" s="54"/>
      <c r="G97" s="52"/>
      <c r="H97" s="52"/>
      <c r="I97" s="52"/>
      <c r="J97" s="55"/>
      <c r="K97" s="56"/>
    </row>
    <row r="98" ht="14.25" customHeight="1" outlineLevel="1">
      <c r="A98" s="39">
        <v>2</v>
      </c>
      <c r="B98" s="46"/>
      <c r="C98" s="46"/>
      <c r="D98" s="46"/>
      <c r="E98" s="47"/>
      <c r="F98" s="48"/>
      <c r="G98" s="46"/>
      <c r="H98" s="46"/>
      <c r="I98" s="46"/>
      <c r="J98" s="49"/>
      <c r="K98" s="50"/>
    </row>
    <row r="99" ht="14.25" customHeight="1" outlineLevel="1">
      <c r="A99" s="39">
        <v>3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4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5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6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7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8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9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10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11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12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13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14</v>
      </c>
      <c r="B110" s="46"/>
      <c r="C110" s="46"/>
      <c r="D110" s="46"/>
      <c r="E110" s="47">
        <v>100000</v>
      </c>
      <c r="F110" s="48"/>
      <c r="G110" s="46"/>
      <c r="H110" s="46"/>
      <c r="I110" s="46"/>
      <c r="J110" s="49"/>
      <c r="K110" s="50"/>
    </row>
    <row r="111" ht="14.25" customHeight="1" outlineLevel="1">
      <c r="A111" s="39">
        <v>15</v>
      </c>
      <c r="B111" s="57"/>
      <c r="C111" s="57"/>
      <c r="D111" s="57"/>
      <c r="E111" s="58"/>
      <c r="F111" s="59"/>
      <c r="G111" s="57"/>
      <c r="H111" s="57"/>
      <c r="I111" s="57"/>
      <c r="J111" s="60"/>
      <c r="K111" s="61"/>
    </row>
    <row r="112" s="34" customFormat="1" ht="25.5" customHeight="1" outlineLevel="1">
      <c r="A112" s="35"/>
      <c r="B112" s="37" t="s">
        <v>25</v>
      </c>
      <c r="C112" s="37"/>
      <c r="D112" s="37"/>
      <c r="E112" s="37"/>
      <c r="F112" s="37"/>
      <c r="G112" s="37"/>
      <c r="H112" s="37"/>
      <c r="I112" s="37"/>
      <c r="J112" s="37"/>
      <c r="K112" s="38"/>
    </row>
    <row r="113" ht="14.25" customHeight="1" outlineLevel="1">
      <c r="A113" s="51">
        <v>1</v>
      </c>
      <c r="B113" s="52"/>
      <c r="C113" s="52"/>
      <c r="D113" s="52"/>
      <c r="E113" s="53"/>
      <c r="F113" s="54"/>
      <c r="G113" s="52"/>
      <c r="H113" s="52"/>
      <c r="I113" s="52"/>
      <c r="J113" s="55"/>
      <c r="K113" s="56"/>
    </row>
    <row r="114" ht="14.25" customHeight="1" outlineLevel="1">
      <c r="A114" s="45">
        <v>2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45">
        <v>3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45">
        <v>4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45">
        <v>5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6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7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8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9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10</v>
      </c>
      <c r="B122" s="57"/>
      <c r="C122" s="57"/>
      <c r="D122" s="57"/>
      <c r="E122" s="58"/>
      <c r="F122" s="59"/>
      <c r="G122" s="57"/>
      <c r="H122" s="57"/>
      <c r="I122" s="57"/>
      <c r="J122" s="60"/>
      <c r="K122" s="61"/>
    </row>
    <row r="123" ht="23.100000000000001" customHeight="1">
      <c r="A123" s="63" t="s">
        <v>34</v>
      </c>
      <c r="B123" s="64"/>
      <c r="C123" s="64"/>
      <c r="D123" s="73"/>
      <c r="E123" s="65">
        <f>SUM(E96:E122)</f>
        <v>100000</v>
      </c>
    </row>
    <row r="124" ht="23.100000000000001" customHeight="1">
      <c r="A124" s="63" t="s">
        <v>28</v>
      </c>
      <c r="B124" s="64"/>
      <c r="C124" s="64"/>
      <c r="D124" s="73"/>
      <c r="E124" s="65">
        <f>E92-E123</f>
        <v>-100000</v>
      </c>
      <c r="F124" s="66"/>
    </row>
    <row r="125" ht="24.75" customHeight="1"/>
    <row r="126" ht="30" customHeight="1">
      <c r="A126" s="74" t="s">
        <v>35</v>
      </c>
      <c r="B126" s="75"/>
      <c r="C126" s="75"/>
      <c r="D126" s="76"/>
      <c r="E126" s="77">
        <f>SUM(E127:E127)</f>
        <v>0</v>
      </c>
      <c r="F126" s="13"/>
      <c r="G126" s="13"/>
      <c r="H126" s="13"/>
      <c r="I126" s="13"/>
    </row>
    <row r="127" ht="15" customHeight="1">
      <c r="A127" s="69" t="s">
        <v>36</v>
      </c>
      <c r="B127" s="70"/>
      <c r="C127" s="70"/>
      <c r="D127" s="71"/>
      <c r="E127" s="72"/>
      <c r="F127" s="13"/>
      <c r="G127" s="13"/>
      <c r="H127" s="13"/>
      <c r="I127" s="13"/>
    </row>
    <row r="128" ht="5.2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25.5" customHeight="1" outlineLevel="1">
      <c r="A129" s="31" t="s">
        <v>10</v>
      </c>
      <c r="B129" s="31" t="s">
        <v>11</v>
      </c>
      <c r="C129" s="31" t="s">
        <v>12</v>
      </c>
      <c r="D129" s="31" t="s">
        <v>13</v>
      </c>
      <c r="E129" s="32" t="s">
        <v>14</v>
      </c>
      <c r="F129" s="31" t="s">
        <v>15</v>
      </c>
      <c r="G129" s="31" t="s">
        <v>16</v>
      </c>
      <c r="H129" s="33" t="s">
        <v>17</v>
      </c>
      <c r="I129" s="31" t="s">
        <v>18</v>
      </c>
      <c r="J129" s="31" t="s">
        <v>19</v>
      </c>
      <c r="K129" s="31" t="s">
        <v>32</v>
      </c>
    </row>
    <row r="130" s="34" customFormat="1" ht="18.75" customHeight="1" outlineLevel="1">
      <c r="A130" s="78"/>
      <c r="B130" s="79" t="s">
        <v>37</v>
      </c>
      <c r="C130" s="80"/>
      <c r="D130" s="81"/>
      <c r="E130" s="82"/>
      <c r="F130" s="79"/>
      <c r="G130" s="79"/>
      <c r="H130" s="79"/>
      <c r="I130" s="79"/>
      <c r="J130" s="79"/>
      <c r="K130" s="83"/>
    </row>
    <row r="131" ht="14.25" customHeight="1" outlineLevel="1">
      <c r="A131" s="51">
        <v>1</v>
      </c>
      <c r="B131" s="52"/>
      <c r="C131" s="52"/>
      <c r="D131" s="52"/>
      <c r="E131" s="53"/>
      <c r="F131" s="54"/>
      <c r="G131" s="52"/>
      <c r="H131" s="52"/>
      <c r="I131" s="52"/>
      <c r="J131" s="55"/>
      <c r="K131" s="56"/>
    </row>
    <row r="132" ht="14.25" customHeight="1" outlineLevel="1">
      <c r="A132" s="45">
        <v>2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3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4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5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6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7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5.75" customHeight="1" outlineLevel="1">
      <c r="A138" s="45">
        <v>8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9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10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11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12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13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14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62">
        <v>15</v>
      </c>
      <c r="B145" s="57"/>
      <c r="C145" s="57"/>
      <c r="D145" s="57"/>
      <c r="E145" s="58"/>
      <c r="F145" s="59"/>
      <c r="G145" s="57"/>
      <c r="H145" s="57"/>
      <c r="I145" s="57"/>
      <c r="J145" s="60"/>
      <c r="K145" s="61"/>
    </row>
    <row r="146" ht="23.100000000000001" customHeight="1">
      <c r="A146" s="84" t="s">
        <v>38</v>
      </c>
      <c r="B146" s="85"/>
      <c r="C146" s="85"/>
      <c r="D146" s="86"/>
      <c r="E146" s="87">
        <f>SUM(E130:E145)</f>
        <v>0</v>
      </c>
    </row>
    <row r="147" ht="23.100000000000001" customHeight="1">
      <c r="A147" s="84" t="s">
        <v>28</v>
      </c>
      <c r="B147" s="85"/>
      <c r="C147" s="85"/>
      <c r="D147" s="86"/>
      <c r="E147" s="87">
        <f>E126-E146</f>
        <v>0</v>
      </c>
      <c r="F147" s="66"/>
    </row>
    <row r="205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89:D89"/>
    <mergeCell ref="A90:D90"/>
    <mergeCell ref="A92:D92"/>
    <mergeCell ref="A93:D93"/>
    <mergeCell ref="A123:D123"/>
    <mergeCell ref="A124:D124"/>
    <mergeCell ref="A126:D126"/>
    <mergeCell ref="A127:D127"/>
    <mergeCell ref="A146:D146"/>
    <mergeCell ref="A147:D1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330052-0051-4C06-B284-000C00B50076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H113:H122 H17:H34 H36:H50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B16" zoomScale="10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45.7109375"/>
    <col customWidth="1" min="5" max="5" style="1" width="26"/>
    <col customWidth="1" min="6" max="6" style="1" width="58.00390625"/>
    <col customWidth="1" min="7" max="7" style="1" width="20.7109375"/>
    <col customWidth="1" min="8" max="8" style="1" width="11.28515625"/>
    <col customWidth="1" min="9" max="9" style="1" width="30.0039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'29'!C2+1</f>
        <v>46111</v>
      </c>
      <c r="D2" s="4"/>
      <c r="F2" s="6"/>
      <c r="G2" s="4"/>
      <c r="H2" s="4"/>
      <c r="I2" s="4"/>
    </row>
    <row r="3" ht="15.75">
      <c r="A3" s="4"/>
      <c r="B3" s="4"/>
      <c r="C3" s="2"/>
      <c r="D3" s="4"/>
      <c r="E3" s="7"/>
      <c r="F3" s="8"/>
      <c r="G3" s="4"/>
      <c r="H3" s="4"/>
      <c r="I3" s="4"/>
    </row>
    <row r="4" ht="30" customHeight="1">
      <c r="A4" s="9" t="s">
        <v>0</v>
      </c>
      <c r="B4" s="10"/>
      <c r="C4" s="10"/>
      <c r="D4" s="11"/>
      <c r="E4" s="135">
        <f>SUM(E5:E13)</f>
        <v>11588647.57</v>
      </c>
      <c r="F4" s="136" t="s">
        <v>39</v>
      </c>
      <c r="G4" s="13"/>
      <c r="H4" s="13"/>
      <c r="I4" s="13"/>
    </row>
    <row r="5" ht="15" customHeight="1">
      <c r="A5" s="14" t="s">
        <v>1</v>
      </c>
      <c r="B5" s="15"/>
      <c r="C5" s="15"/>
      <c r="D5" s="16"/>
      <c r="E5" s="17">
        <v>11474180.02</v>
      </c>
      <c r="F5" s="13"/>
      <c r="G5" s="13"/>
      <c r="H5" s="13"/>
      <c r="I5" s="13"/>
    </row>
    <row r="6" ht="15" customHeight="1">
      <c r="A6" s="18" t="s">
        <v>2</v>
      </c>
      <c r="B6" s="19"/>
      <c r="C6" s="19"/>
      <c r="D6" s="20"/>
      <c r="E6" s="21">
        <v>288.18000000000001</v>
      </c>
      <c r="F6" s="13"/>
      <c r="G6" s="13"/>
      <c r="H6" s="13"/>
      <c r="I6" s="13"/>
    </row>
    <row r="7" ht="15" customHeight="1">
      <c r="A7" s="23" t="s">
        <v>40</v>
      </c>
      <c r="B7" s="403"/>
      <c r="C7" s="403"/>
      <c r="D7" s="404"/>
      <c r="E7" s="21">
        <v>6857.4700000000003</v>
      </c>
      <c r="F7" s="13"/>
      <c r="G7" s="13"/>
      <c r="H7" s="13"/>
      <c r="I7" s="13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</row>
    <row r="9" ht="15" customHeight="1">
      <c r="A9" s="23" t="s">
        <v>5</v>
      </c>
      <c r="B9" s="403"/>
      <c r="C9" s="403"/>
      <c r="D9" s="404"/>
      <c r="E9" s="21">
        <v>24099.150000000001</v>
      </c>
      <c r="F9" s="13"/>
      <c r="G9" s="13"/>
      <c r="H9" s="13"/>
      <c r="I9" s="13"/>
    </row>
    <row r="10" ht="15.75" customHeight="1">
      <c r="A10" s="23" t="s">
        <v>6</v>
      </c>
      <c r="B10" s="403"/>
      <c r="C10" s="403"/>
      <c r="D10" s="404"/>
      <c r="E10" s="21">
        <v>1110.6400000000001</v>
      </c>
      <c r="F10" s="22"/>
      <c r="G10" s="22"/>
      <c r="H10" s="22"/>
      <c r="I10" s="22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</row>
    <row r="12" ht="15.75" customHeight="1">
      <c r="A12" s="23" t="s">
        <v>8</v>
      </c>
      <c r="B12" s="403"/>
      <c r="C12" s="403"/>
      <c r="D12" s="404"/>
      <c r="E12" s="21"/>
      <c r="F12" s="22"/>
      <c r="G12" s="22"/>
      <c r="H12" s="22"/>
      <c r="I12" s="22"/>
    </row>
    <row r="13" ht="15.75" customHeight="1">
      <c r="A13" s="27" t="s">
        <v>9</v>
      </c>
      <c r="B13" s="405"/>
      <c r="C13" s="405"/>
      <c r="D13" s="406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690</v>
      </c>
      <c r="C16" s="37"/>
      <c r="D16" s="37"/>
      <c r="E16" s="37"/>
      <c r="F16" s="37"/>
      <c r="G16" s="37"/>
      <c r="H16" s="37"/>
      <c r="I16" s="37"/>
      <c r="J16" s="37"/>
      <c r="K16" s="38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14.25" customHeight="1" outlineLevel="1">
      <c r="A18" s="96">
        <v>2</v>
      </c>
      <c r="B18" s="97" t="s">
        <v>47</v>
      </c>
      <c r="C18" s="99" t="s">
        <v>57</v>
      </c>
      <c r="D18" s="186" t="s">
        <v>58</v>
      </c>
      <c r="E18" s="407" t="s">
        <v>691</v>
      </c>
      <c r="F18" s="368" t="s">
        <v>44</v>
      </c>
      <c r="G18" s="46"/>
      <c r="H18" s="46" t="s">
        <v>45</v>
      </c>
      <c r="I18" s="46"/>
      <c r="J18" s="49"/>
      <c r="K18" s="50"/>
    </row>
    <row r="19" ht="14.25" customHeight="1" outlineLevel="1">
      <c r="A19" s="96"/>
      <c r="B19" s="156" t="s">
        <v>41</v>
      </c>
      <c r="C19" s="156" t="s">
        <v>48</v>
      </c>
      <c r="D19" s="156" t="s">
        <v>49</v>
      </c>
      <c r="E19" s="408">
        <v>1734340</v>
      </c>
      <c r="F19" s="368" t="s">
        <v>692</v>
      </c>
      <c r="G19" s="46"/>
      <c r="H19" s="46" t="s">
        <v>45</v>
      </c>
      <c r="I19" s="46"/>
      <c r="J19" s="49" t="s">
        <v>46</v>
      </c>
      <c r="K19" s="50"/>
    </row>
    <row r="20" ht="14.25" customHeight="1" outlineLevel="1">
      <c r="A20" s="96"/>
      <c r="B20" s="156" t="s">
        <v>41</v>
      </c>
      <c r="C20" s="156" t="s">
        <v>48</v>
      </c>
      <c r="D20" s="156" t="s">
        <v>49</v>
      </c>
      <c r="E20" s="408">
        <v>1739100</v>
      </c>
      <c r="F20" s="368" t="s">
        <v>693</v>
      </c>
      <c r="G20" s="46"/>
      <c r="H20" s="46" t="s">
        <v>45</v>
      </c>
      <c r="I20" s="46"/>
      <c r="J20" s="49" t="s">
        <v>46</v>
      </c>
      <c r="K20" s="50"/>
    </row>
    <row r="21" ht="14.25" customHeight="1" outlineLevel="1">
      <c r="A21" s="96"/>
      <c r="B21" s="156" t="s">
        <v>41</v>
      </c>
      <c r="C21" s="156" t="s">
        <v>48</v>
      </c>
      <c r="D21" s="156" t="s">
        <v>49</v>
      </c>
      <c r="E21" s="408">
        <v>1741820</v>
      </c>
      <c r="F21" s="368" t="s">
        <v>694</v>
      </c>
      <c r="G21" s="46"/>
      <c r="H21" s="46" t="s">
        <v>45</v>
      </c>
      <c r="I21" s="46"/>
      <c r="J21" s="49" t="s">
        <v>46</v>
      </c>
      <c r="K21" s="50"/>
    </row>
    <row r="22" ht="14.25" customHeight="1" outlineLevel="1">
      <c r="A22" s="96"/>
      <c r="B22" s="156" t="s">
        <v>41</v>
      </c>
      <c r="C22" s="156" t="s">
        <v>48</v>
      </c>
      <c r="D22" s="156" t="s">
        <v>49</v>
      </c>
      <c r="E22" s="408">
        <v>1486650</v>
      </c>
      <c r="F22" s="368" t="s">
        <v>695</v>
      </c>
      <c r="G22" s="46"/>
      <c r="H22" s="46" t="s">
        <v>45</v>
      </c>
      <c r="I22" s="46"/>
      <c r="J22" s="49" t="s">
        <v>46</v>
      </c>
      <c r="K22" s="50"/>
    </row>
    <row r="23" ht="14.25" customHeight="1" outlineLevel="1">
      <c r="A23" s="96"/>
      <c r="B23" s="156" t="s">
        <v>41</v>
      </c>
      <c r="C23" s="156" t="s">
        <v>48</v>
      </c>
      <c r="D23" s="156" t="s">
        <v>49</v>
      </c>
      <c r="E23" s="408">
        <v>2118540</v>
      </c>
      <c r="F23" s="368" t="s">
        <v>696</v>
      </c>
      <c r="G23" s="46"/>
      <c r="H23" s="46" t="s">
        <v>45</v>
      </c>
      <c r="I23" s="46"/>
      <c r="J23" s="49" t="s">
        <v>46</v>
      </c>
      <c r="K23" s="50"/>
    </row>
    <row r="24" ht="14.25" customHeight="1" outlineLevel="1">
      <c r="A24" s="96"/>
      <c r="B24" s="156" t="s">
        <v>41</v>
      </c>
      <c r="C24" s="156" t="s">
        <v>48</v>
      </c>
      <c r="D24" s="156" t="s">
        <v>49</v>
      </c>
      <c r="E24" s="408">
        <v>1696345</v>
      </c>
      <c r="F24" s="368" t="s">
        <v>697</v>
      </c>
      <c r="G24" s="46"/>
      <c r="H24" s="46" t="s">
        <v>45</v>
      </c>
      <c r="I24" s="46"/>
      <c r="J24" s="49" t="s">
        <v>46</v>
      </c>
      <c r="K24" s="50"/>
    </row>
    <row r="25" ht="14.25" customHeight="1" outlineLevel="1">
      <c r="A25" s="96"/>
      <c r="B25" s="156" t="s">
        <v>41</v>
      </c>
      <c r="C25" s="156" t="s">
        <v>48</v>
      </c>
      <c r="D25" s="156" t="s">
        <v>49</v>
      </c>
      <c r="E25" s="408">
        <v>1484950</v>
      </c>
      <c r="F25" s="368" t="s">
        <v>693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96"/>
      <c r="B26" s="156" t="s">
        <v>41</v>
      </c>
      <c r="C26" s="156" t="s">
        <v>48</v>
      </c>
      <c r="D26" s="156" t="s">
        <v>49</v>
      </c>
      <c r="E26" s="408">
        <v>889950</v>
      </c>
      <c r="F26" s="368" t="s">
        <v>698</v>
      </c>
      <c r="G26" s="46"/>
      <c r="H26" s="46" t="s">
        <v>45</v>
      </c>
      <c r="I26" s="46"/>
      <c r="J26" s="49" t="s">
        <v>46</v>
      </c>
      <c r="K26" s="50"/>
    </row>
    <row r="27" ht="14.25" customHeight="1" outlineLevel="1">
      <c r="A27" s="96"/>
      <c r="B27" s="156" t="s">
        <v>41</v>
      </c>
      <c r="C27" s="156" t="s">
        <v>48</v>
      </c>
      <c r="D27" s="156" t="s">
        <v>49</v>
      </c>
      <c r="E27" s="408">
        <v>1206320</v>
      </c>
      <c r="F27" s="368" t="s">
        <v>699</v>
      </c>
      <c r="G27" s="46"/>
      <c r="H27" s="46" t="s">
        <v>45</v>
      </c>
      <c r="I27" s="46"/>
      <c r="J27" s="49" t="s">
        <v>46</v>
      </c>
      <c r="K27" s="50"/>
    </row>
    <row r="28" ht="14.25" customHeight="1" outlineLevel="1">
      <c r="A28" s="45">
        <v>3</v>
      </c>
      <c r="B28" s="156" t="s">
        <v>41</v>
      </c>
      <c r="C28" s="156" t="s">
        <v>48</v>
      </c>
      <c r="D28" s="156" t="s">
        <v>49</v>
      </c>
      <c r="E28" s="408">
        <v>998920</v>
      </c>
      <c r="F28" s="368" t="s">
        <v>700</v>
      </c>
      <c r="G28" s="46"/>
      <c r="H28" s="46" t="s">
        <v>45</v>
      </c>
      <c r="I28" s="46"/>
      <c r="J28" s="49" t="s">
        <v>46</v>
      </c>
      <c r="K28" s="50"/>
    </row>
    <row r="29" ht="14.25" customHeight="1" outlineLevel="1">
      <c r="A29" s="45"/>
      <c r="B29" s="156" t="s">
        <v>41</v>
      </c>
      <c r="C29" s="156" t="s">
        <v>48</v>
      </c>
      <c r="D29" s="156" t="s">
        <v>49</v>
      </c>
      <c r="E29" s="408">
        <v>1679770</v>
      </c>
      <c r="F29" s="368" t="s">
        <v>701</v>
      </c>
      <c r="G29" s="46"/>
      <c r="H29" s="46" t="s">
        <v>45</v>
      </c>
      <c r="I29" s="46"/>
      <c r="J29" s="49" t="s">
        <v>46</v>
      </c>
      <c r="K29" s="50"/>
    </row>
    <row r="30" ht="14.25" customHeight="1" outlineLevel="1">
      <c r="A30" s="45"/>
      <c r="B30" s="156" t="s">
        <v>41</v>
      </c>
      <c r="C30" s="156" t="s">
        <v>48</v>
      </c>
      <c r="D30" s="156" t="s">
        <v>49</v>
      </c>
      <c r="E30" s="408">
        <v>1654350</v>
      </c>
      <c r="F30" s="368" t="s">
        <v>701</v>
      </c>
      <c r="G30" s="46"/>
      <c r="H30" s="46" t="s">
        <v>45</v>
      </c>
      <c r="I30" s="46"/>
      <c r="J30" s="49" t="s">
        <v>46</v>
      </c>
      <c r="K30" s="50"/>
    </row>
    <row r="31" ht="14.25" customHeight="1" outlineLevel="1">
      <c r="A31" s="45"/>
      <c r="B31" s="156" t="s">
        <v>41</v>
      </c>
      <c r="C31" s="156" t="s">
        <v>48</v>
      </c>
      <c r="D31" s="156" t="s">
        <v>49</v>
      </c>
      <c r="E31" s="408">
        <v>1582600</v>
      </c>
      <c r="F31" s="368" t="s">
        <v>702</v>
      </c>
      <c r="G31" s="46"/>
      <c r="H31" s="46" t="s">
        <v>45</v>
      </c>
      <c r="I31" s="46"/>
      <c r="J31" s="49" t="s">
        <v>46</v>
      </c>
      <c r="K31" s="50"/>
    </row>
    <row r="32" ht="14.25" customHeight="1" outlineLevel="1">
      <c r="A32" s="45">
        <v>4</v>
      </c>
      <c r="B32" s="333" t="s">
        <v>41</v>
      </c>
      <c r="C32" s="333" t="s">
        <v>42</v>
      </c>
      <c r="D32" s="333" t="s">
        <v>43</v>
      </c>
      <c r="E32" s="369">
        <v>5000000</v>
      </c>
      <c r="F32" s="333" t="s">
        <v>44</v>
      </c>
      <c r="G32" s="46"/>
      <c r="H32" s="46" t="s">
        <v>45</v>
      </c>
      <c r="I32" s="46"/>
      <c r="J32" s="49" t="s">
        <v>46</v>
      </c>
      <c r="K32" s="50"/>
    </row>
    <row r="33" ht="14.25" customHeight="1" outlineLevel="1">
      <c r="A33" s="45">
        <v>5</v>
      </c>
      <c r="B33" s="94"/>
      <c r="C33" s="94" t="s">
        <v>703</v>
      </c>
      <c r="D33" s="94"/>
      <c r="E33" s="272">
        <v>60000</v>
      </c>
      <c r="F33" s="156"/>
      <c r="G33" s="46"/>
      <c r="H33" s="46" t="s">
        <v>45</v>
      </c>
      <c r="I33" s="46"/>
      <c r="J33" s="49" t="s">
        <v>46</v>
      </c>
      <c r="K33" s="50"/>
    </row>
    <row r="34" ht="14.25" customHeight="1" outlineLevel="1">
      <c r="A34" s="45">
        <v>6</v>
      </c>
      <c r="B34" s="46"/>
      <c r="C34" s="46" t="s">
        <v>565</v>
      </c>
      <c r="D34" s="46"/>
      <c r="E34" s="272">
        <v>21500000</v>
      </c>
      <c r="F34" s="48"/>
      <c r="G34" s="46"/>
      <c r="H34" s="46"/>
      <c r="I34" s="46"/>
      <c r="J34" s="49" t="s">
        <v>46</v>
      </c>
      <c r="K34" s="50"/>
    </row>
    <row r="35" ht="14.25" customHeight="1" outlineLevel="1">
      <c r="A35" s="45">
        <v>7</v>
      </c>
      <c r="B35" s="46"/>
      <c r="C35" s="46"/>
      <c r="D35" s="46" t="s">
        <v>22</v>
      </c>
      <c r="E35" s="47"/>
      <c r="F35" s="48"/>
      <c r="G35" s="46"/>
      <c r="H35" s="46"/>
      <c r="I35" s="46"/>
      <c r="J35" s="49"/>
      <c r="K35" s="50"/>
    </row>
    <row r="36" ht="14.25" customHeight="1" outlineLevel="1">
      <c r="A36" s="96">
        <v>8</v>
      </c>
      <c r="B36" s="97"/>
      <c r="C36" s="94"/>
      <c r="D36" s="94"/>
      <c r="E36" s="101"/>
      <c r="F36" s="156"/>
      <c r="G36" s="94"/>
      <c r="H36" s="94"/>
      <c r="I36" s="94"/>
      <c r="J36" s="49"/>
      <c r="K36" s="50"/>
    </row>
    <row r="37" ht="14.25" customHeight="1" outlineLevel="1">
      <c r="A37" s="92">
        <v>9</v>
      </c>
      <c r="B37" s="409" t="s">
        <v>47</v>
      </c>
      <c r="C37" s="410" t="s">
        <v>82</v>
      </c>
      <c r="D37" s="410" t="s">
        <v>83</v>
      </c>
      <c r="E37" s="411">
        <v>610000</v>
      </c>
      <c r="F37" s="412" t="s">
        <v>44</v>
      </c>
      <c r="G37" s="410"/>
      <c r="H37" s="410"/>
      <c r="I37" s="410" t="s">
        <v>704</v>
      </c>
      <c r="J37" s="49" t="s">
        <v>46</v>
      </c>
      <c r="K37" s="50"/>
    </row>
    <row r="38" ht="14.25" customHeight="1" outlineLevel="1">
      <c r="A38" s="45">
        <v>10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11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12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13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14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15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16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45">
        <v>17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18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s="34" customFormat="1" ht="25.5" customHeight="1" outlineLevel="1">
      <c r="A47" s="35"/>
      <c r="B47" s="37" t="s">
        <v>23</v>
      </c>
      <c r="C47" s="37"/>
      <c r="D47" s="37"/>
      <c r="E47" s="37"/>
      <c r="F47" s="37"/>
      <c r="G47" s="37"/>
      <c r="H47" s="37"/>
      <c r="I47" s="37"/>
      <c r="J47" s="37"/>
      <c r="K47" s="38"/>
    </row>
    <row r="48" ht="14.25" customHeight="1" outlineLevel="1">
      <c r="A48" s="39">
        <v>1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2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3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4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ht="14.25" customHeight="1" outlineLevel="1">
      <c r="A52" s="45">
        <v>5</v>
      </c>
      <c r="B52" s="46"/>
      <c r="C52" s="46"/>
      <c r="D52" s="46"/>
      <c r="E52" s="47"/>
      <c r="F52" s="48"/>
      <c r="G52" s="46"/>
      <c r="H52" s="46"/>
      <c r="I52" s="46"/>
      <c r="J52" s="49"/>
      <c r="K52" s="50"/>
    </row>
    <row r="53" ht="14.25" customHeight="1" outlineLevel="1">
      <c r="A53" s="45">
        <v>6</v>
      </c>
      <c r="B53" s="46"/>
      <c r="C53" s="46"/>
      <c r="D53" s="46"/>
      <c r="E53" s="47"/>
      <c r="F53" s="48"/>
      <c r="G53" s="46"/>
      <c r="H53" s="46"/>
      <c r="I53" s="46"/>
      <c r="J53" s="49"/>
      <c r="K53" s="50"/>
    </row>
    <row r="54" ht="14.25" customHeight="1" outlineLevel="1">
      <c r="A54" s="45">
        <v>7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8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39">
        <v>9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10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11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12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13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14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15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s="34" customFormat="1" ht="25.5" customHeight="1" outlineLevel="1">
      <c r="A63" s="35"/>
      <c r="B63" s="37" t="s">
        <v>705</v>
      </c>
      <c r="C63" s="37"/>
      <c r="D63" s="37"/>
      <c r="E63" s="37"/>
      <c r="F63" s="37"/>
      <c r="G63" s="37"/>
      <c r="H63" s="37"/>
      <c r="I63" s="37"/>
      <c r="J63" s="37"/>
      <c r="K63" s="38"/>
    </row>
    <row r="64" ht="14.25" customHeight="1" outlineLevel="1">
      <c r="A64" s="51">
        <v>1</v>
      </c>
      <c r="B64" s="183" t="s">
        <v>706</v>
      </c>
      <c r="C64" s="183" t="s">
        <v>707</v>
      </c>
      <c r="D64" s="413" t="s">
        <v>708</v>
      </c>
      <c r="E64" s="191" t="s">
        <v>709</v>
      </c>
      <c r="F64" s="182" t="s">
        <v>710</v>
      </c>
      <c r="G64" s="132" t="s">
        <v>260</v>
      </c>
      <c r="H64" s="132" t="s">
        <v>45</v>
      </c>
      <c r="I64" s="52"/>
      <c r="J64" s="55"/>
      <c r="K64" s="56"/>
    </row>
    <row r="65" ht="14.25" customHeight="1" outlineLevel="1">
      <c r="A65" s="45">
        <v>2</v>
      </c>
      <c r="B65" s="94" t="s">
        <v>501</v>
      </c>
      <c r="C65" s="94" t="s">
        <v>711</v>
      </c>
      <c r="D65" s="94" t="s">
        <v>712</v>
      </c>
      <c r="E65" s="374">
        <v>60000</v>
      </c>
      <c r="F65" s="156" t="s">
        <v>713</v>
      </c>
      <c r="G65" s="46" t="s">
        <v>714</v>
      </c>
      <c r="H65" s="46"/>
      <c r="I65" s="46"/>
      <c r="J65" s="49" t="s">
        <v>46</v>
      </c>
      <c r="K65" s="50"/>
    </row>
    <row r="66" ht="14.25" customHeight="1" outlineLevel="1">
      <c r="A66" s="45">
        <v>3</v>
      </c>
      <c r="B66" s="46"/>
      <c r="C66" s="46"/>
      <c r="D66" s="46"/>
      <c r="E66" s="47"/>
      <c r="F66" s="48"/>
      <c r="G66" s="46"/>
      <c r="H66" s="46"/>
      <c r="I66" s="46"/>
      <c r="J66" s="49"/>
      <c r="K66" s="50"/>
    </row>
    <row r="67" ht="14.25" customHeight="1" outlineLevel="1">
      <c r="A67" s="45">
        <v>4</v>
      </c>
      <c r="B67" s="46"/>
      <c r="C67" s="46"/>
      <c r="D67" s="46"/>
      <c r="E67" s="47"/>
      <c r="F67" s="48"/>
      <c r="G67" s="46"/>
      <c r="H67" s="46"/>
      <c r="I67" s="46"/>
      <c r="J67" s="49"/>
      <c r="K67" s="50"/>
    </row>
    <row r="68" ht="14.25" customHeight="1" outlineLevel="1">
      <c r="A68" s="45">
        <v>5</v>
      </c>
      <c r="B68" s="46"/>
      <c r="C68" s="46"/>
      <c r="D68" s="46"/>
      <c r="E68" s="47"/>
      <c r="F68" s="48"/>
      <c r="G68" s="46"/>
      <c r="H68" s="46"/>
      <c r="I68" s="46"/>
      <c r="J68" s="49"/>
      <c r="K68" s="50"/>
    </row>
    <row r="69" ht="14.25" customHeight="1" outlineLevel="1">
      <c r="A69" s="45">
        <v>6</v>
      </c>
      <c r="B69" s="46"/>
      <c r="C69" s="46"/>
      <c r="D69" s="46"/>
      <c r="E69" s="47"/>
      <c r="F69" s="48"/>
      <c r="G69" s="46"/>
      <c r="H69" s="46"/>
      <c r="I69" s="46"/>
      <c r="J69" s="49"/>
      <c r="K69" s="50"/>
    </row>
    <row r="70" ht="14.25" customHeight="1" outlineLevel="1">
      <c r="A70" s="45">
        <v>7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8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9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10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11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12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13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14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15</v>
      </c>
      <c r="B78" s="57"/>
      <c r="C78" s="57"/>
      <c r="D78" s="57"/>
      <c r="E78" s="58"/>
      <c r="F78" s="59"/>
      <c r="G78" s="57"/>
      <c r="H78" s="57"/>
      <c r="I78" s="57"/>
      <c r="J78" s="60"/>
      <c r="K78" s="61"/>
    </row>
    <row r="79" s="34" customFormat="1" ht="25.5" customHeight="1" outlineLevel="1">
      <c r="A79" s="35"/>
      <c r="B79" s="37" t="s">
        <v>25</v>
      </c>
      <c r="C79" s="37"/>
      <c r="D79" s="37"/>
      <c r="E79" s="37"/>
      <c r="F79" s="37"/>
      <c r="G79" s="37"/>
      <c r="H79" s="37"/>
      <c r="I79" s="37"/>
      <c r="J79" s="37"/>
      <c r="K79" s="38"/>
    </row>
    <row r="80" ht="14.25" customHeight="1" outlineLevel="1">
      <c r="A80" s="45">
        <v>1</v>
      </c>
      <c r="B80" s="46" t="s">
        <v>157</v>
      </c>
      <c r="C80" s="46" t="s">
        <v>715</v>
      </c>
      <c r="D80" s="46" t="s">
        <v>239</v>
      </c>
      <c r="E80" s="272">
        <v>28717.360000000001</v>
      </c>
      <c r="F80" s="48" t="s">
        <v>240</v>
      </c>
      <c r="G80" s="52" t="s">
        <v>260</v>
      </c>
      <c r="H80" s="52"/>
      <c r="I80" s="52"/>
      <c r="J80" s="55" t="s">
        <v>46</v>
      </c>
      <c r="K80" s="56"/>
    </row>
    <row r="81" ht="14.25" customHeight="1" outlineLevel="1">
      <c r="A81" s="45">
        <v>2</v>
      </c>
      <c r="B81" s="46" t="s">
        <v>116</v>
      </c>
      <c r="C81" s="46" t="s">
        <v>117</v>
      </c>
      <c r="D81" s="46" t="s">
        <v>118</v>
      </c>
      <c r="E81" s="272">
        <f>80471+107378+223340+4840</f>
        <v>416029</v>
      </c>
      <c r="F81" s="48" t="s">
        <v>716</v>
      </c>
      <c r="G81" s="46" t="s">
        <v>717</v>
      </c>
      <c r="H81" s="46"/>
      <c r="I81" s="46"/>
      <c r="J81" s="49" t="s">
        <v>46</v>
      </c>
      <c r="K81" s="50"/>
    </row>
    <row r="82" ht="14.25" customHeight="1" outlineLevel="1">
      <c r="A82" s="45">
        <v>3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ht="14.25" customHeight="1" outlineLevel="1">
      <c r="A83" s="45">
        <v>4</v>
      </c>
      <c r="B83" s="46"/>
      <c r="C83" s="46"/>
      <c r="D83" s="46"/>
      <c r="E83" s="47"/>
      <c r="F83" s="48"/>
      <c r="G83" s="46"/>
      <c r="H83" s="46"/>
      <c r="I83" s="46"/>
      <c r="J83" s="49"/>
      <c r="K83" s="50"/>
    </row>
    <row r="84" ht="14.25" customHeight="1" outlineLevel="1">
      <c r="A84" s="45">
        <v>5</v>
      </c>
      <c r="B84" s="46"/>
      <c r="C84" s="46"/>
      <c r="D84" s="46"/>
      <c r="E84" s="47"/>
      <c r="F84" s="48"/>
      <c r="G84" s="46"/>
      <c r="H84" s="46"/>
      <c r="I84" s="46"/>
      <c r="J84" s="49"/>
      <c r="K84" s="50"/>
    </row>
    <row r="85" ht="14.25" customHeight="1" outlineLevel="1">
      <c r="A85" s="45">
        <v>6</v>
      </c>
      <c r="B85" s="46"/>
      <c r="C85" s="46"/>
      <c r="D85" s="46"/>
      <c r="E85" s="47"/>
      <c r="F85" s="48"/>
      <c r="G85" s="46"/>
      <c r="H85" s="46"/>
      <c r="I85" s="46"/>
      <c r="J85" s="49"/>
      <c r="K85" s="50"/>
      <c r="M85" s="1"/>
    </row>
    <row r="86" ht="14.25" customHeight="1" outlineLevel="1">
      <c r="A86" s="45">
        <v>7</v>
      </c>
      <c r="B86" s="46"/>
      <c r="C86" s="46"/>
      <c r="D86" s="46"/>
      <c r="E86" s="47"/>
      <c r="F86" s="48"/>
      <c r="G86" s="46"/>
      <c r="H86" s="46"/>
      <c r="I86" s="46"/>
      <c r="J86" s="49"/>
      <c r="K86" s="50"/>
    </row>
    <row r="87" ht="14.25" customHeight="1" outlineLevel="1">
      <c r="A87" s="45">
        <v>8</v>
      </c>
      <c r="B87" s="46"/>
      <c r="C87" s="46"/>
      <c r="D87" s="46"/>
      <c r="E87" s="47"/>
      <c r="F87" s="48"/>
      <c r="G87" s="46"/>
      <c r="H87" s="46"/>
      <c r="I87" s="46"/>
      <c r="J87" s="49"/>
      <c r="K87" s="50"/>
    </row>
    <row r="88" ht="14.25" customHeight="1" outlineLevel="1">
      <c r="A88" s="45">
        <v>9</v>
      </c>
      <c r="B88" s="46"/>
      <c r="C88" s="46"/>
      <c r="D88" s="46"/>
      <c r="E88" s="47"/>
      <c r="F88" s="48"/>
      <c r="G88" s="46"/>
      <c r="H88" s="46"/>
      <c r="I88" s="46"/>
      <c r="J88" s="49"/>
      <c r="K88" s="50"/>
    </row>
    <row r="89" ht="14.25" customHeight="1" outlineLevel="1">
      <c r="A89" s="45">
        <v>10</v>
      </c>
      <c r="B89" s="46"/>
      <c r="C89" s="46"/>
      <c r="D89" s="46"/>
      <c r="E89" s="47"/>
      <c r="F89" s="48"/>
      <c r="G89" s="46"/>
      <c r="H89" s="46"/>
      <c r="I89" s="46"/>
      <c r="J89" s="49"/>
      <c r="K89" s="50"/>
    </row>
    <row r="90" ht="14.25" customHeight="1" outlineLevel="1">
      <c r="A90" s="45">
        <v>11</v>
      </c>
      <c r="B90" s="46"/>
      <c r="C90" s="46"/>
      <c r="D90" s="46"/>
      <c r="E90" s="47"/>
      <c r="F90" s="48"/>
      <c r="G90" s="46"/>
      <c r="H90" s="46"/>
      <c r="I90" s="46"/>
      <c r="J90" s="49"/>
      <c r="K90" s="50"/>
    </row>
    <row r="91" ht="14.25" customHeight="1" outlineLevel="1">
      <c r="A91" s="45">
        <v>12</v>
      </c>
      <c r="B91" s="46"/>
      <c r="C91" s="46"/>
      <c r="D91" s="46"/>
      <c r="E91" s="47"/>
      <c r="F91" s="48"/>
      <c r="G91" s="46"/>
      <c r="H91" s="46"/>
      <c r="I91" s="46"/>
      <c r="J91" s="49"/>
      <c r="K91" s="50"/>
    </row>
    <row r="92" ht="14.25" customHeight="1" outlineLevel="1">
      <c r="A92" s="45">
        <v>13</v>
      </c>
      <c r="B92" s="46"/>
      <c r="C92" s="46"/>
      <c r="D92" s="46"/>
      <c r="E92" s="47"/>
      <c r="F92" s="48"/>
      <c r="G92" s="46"/>
      <c r="H92" s="46"/>
      <c r="I92" s="46"/>
      <c r="J92" s="49"/>
      <c r="K92" s="50"/>
    </row>
    <row r="93" ht="14.25" customHeight="1" outlineLevel="1">
      <c r="A93" s="45">
        <v>14</v>
      </c>
      <c r="B93" s="46"/>
      <c r="C93" s="46"/>
      <c r="D93" s="46"/>
      <c r="E93" s="47"/>
      <c r="F93" s="48"/>
      <c r="G93" s="46"/>
      <c r="H93" s="46"/>
      <c r="I93" s="46"/>
      <c r="J93" s="49"/>
      <c r="K93" s="50"/>
    </row>
    <row r="94" ht="14.25" customHeight="1" outlineLevel="1">
      <c r="A94" s="45">
        <v>15</v>
      </c>
      <c r="B94" s="46"/>
      <c r="C94" s="46"/>
      <c r="D94" s="46"/>
      <c r="E94" s="47"/>
      <c r="F94" s="48"/>
      <c r="G94" s="46"/>
      <c r="H94" s="46"/>
      <c r="I94" s="46"/>
      <c r="J94" s="49"/>
      <c r="K94" s="50"/>
    </row>
    <row r="95" s="34" customFormat="1" ht="25.5" customHeight="1" outlineLevel="1">
      <c r="A95" s="35"/>
      <c r="B95" s="36" t="s">
        <v>26</v>
      </c>
      <c r="C95" s="37"/>
      <c r="D95" s="37"/>
      <c r="E95" s="37"/>
      <c r="F95" s="37"/>
      <c r="G95" s="37"/>
      <c r="H95" s="37"/>
      <c r="I95" s="37"/>
      <c r="J95" s="37"/>
      <c r="K95" s="38"/>
    </row>
    <row r="96" ht="14.25" customHeight="1" outlineLevel="1">
      <c r="A96" s="51">
        <v>1</v>
      </c>
      <c r="B96" s="52"/>
      <c r="C96" s="52"/>
      <c r="D96" s="52"/>
      <c r="E96" s="53"/>
      <c r="F96" s="54"/>
      <c r="G96" s="52"/>
      <c r="H96" s="52"/>
      <c r="I96" s="52"/>
      <c r="J96" s="55"/>
      <c r="K96" s="56"/>
    </row>
    <row r="97" ht="14.25" customHeight="1" outlineLevel="1">
      <c r="A97" s="39">
        <v>2</v>
      </c>
      <c r="B97" s="40"/>
      <c r="C97" s="40"/>
      <c r="D97" s="40"/>
      <c r="E97" s="41"/>
      <c r="F97" s="42"/>
      <c r="G97" s="40"/>
      <c r="H97" s="40"/>
      <c r="I97" s="40"/>
      <c r="J97" s="43"/>
      <c r="K97" s="44"/>
    </row>
    <row r="98" ht="14.25" customHeight="1" outlineLevel="1">
      <c r="A98" s="39">
        <v>3</v>
      </c>
      <c r="B98" s="40"/>
      <c r="C98" s="40"/>
      <c r="D98" s="40"/>
      <c r="E98" s="41"/>
      <c r="F98" s="42"/>
      <c r="G98" s="40"/>
      <c r="H98" s="40"/>
      <c r="I98" s="40"/>
      <c r="J98" s="43"/>
      <c r="K98" s="44"/>
    </row>
    <row r="99" ht="14.25" customHeight="1" outlineLevel="1">
      <c r="A99" s="45">
        <v>4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5" customHeight="1" outlineLevel="1">
      <c r="A100" s="62">
        <v>5</v>
      </c>
      <c r="B100" s="57"/>
      <c r="C100" s="57"/>
      <c r="D100" s="57"/>
      <c r="E100" s="58"/>
      <c r="F100" s="59"/>
      <c r="G100" s="57"/>
      <c r="H100" s="57"/>
      <c r="I100" s="57"/>
      <c r="J100" s="60"/>
      <c r="K100" s="61"/>
    </row>
    <row r="101" ht="23.100000000000001" customHeight="1">
      <c r="A101" s="63" t="s">
        <v>27</v>
      </c>
      <c r="B101" s="64"/>
      <c r="C101" s="64"/>
      <c r="D101" s="64"/>
      <c r="E101" s="65">
        <f>SUM(E16:E100)</f>
        <v>47688401.359999999</v>
      </c>
    </row>
    <row r="102" ht="23.100000000000001" customHeight="1">
      <c r="A102" s="63" t="s">
        <v>28</v>
      </c>
      <c r="B102" s="64"/>
      <c r="C102" s="64"/>
      <c r="D102" s="64"/>
      <c r="E102" s="65">
        <f>E4-E101</f>
        <v>-36099753.789999999</v>
      </c>
      <c r="F102" s="66"/>
    </row>
    <row r="103" ht="30.75" customHeight="1">
      <c r="A103" s="66"/>
      <c r="B103" s="66"/>
      <c r="C103" s="66"/>
      <c r="D103" s="66"/>
      <c r="E103" s="66"/>
      <c r="F103" s="66"/>
    </row>
    <row r="104" ht="30" customHeight="1">
      <c r="A104" s="9" t="s">
        <v>515</v>
      </c>
      <c r="B104" s="10"/>
      <c r="C104" s="10"/>
      <c r="D104" s="11"/>
      <c r="E104" s="170">
        <f>SUM(E105:E105)</f>
        <v>118846.98</v>
      </c>
      <c r="F104" s="136" t="s">
        <v>39</v>
      </c>
      <c r="G104" s="68" t="s">
        <v>30</v>
      </c>
      <c r="H104" s="13"/>
      <c r="I104" s="13"/>
    </row>
    <row r="105" ht="15" customHeight="1">
      <c r="A105" s="69" t="s">
        <v>31</v>
      </c>
      <c r="B105" s="70"/>
      <c r="C105" s="70"/>
      <c r="D105" s="71"/>
      <c r="E105" s="72">
        <v>118846.98</v>
      </c>
      <c r="F105" s="13"/>
      <c r="G105" s="13"/>
      <c r="H105" s="13"/>
      <c r="I105" s="13"/>
    </row>
    <row r="106" ht="4.5" customHeight="1">
      <c r="A106" s="13"/>
      <c r="B106" s="13"/>
      <c r="C106" s="13"/>
      <c r="D106" s="13"/>
      <c r="E106" s="13"/>
      <c r="F106" s="13"/>
      <c r="G106" s="13"/>
      <c r="H106" s="13"/>
      <c r="I106" s="13"/>
    </row>
    <row r="107" ht="25.5" customHeight="1" outlineLevel="1">
      <c r="A107" s="31" t="s">
        <v>10</v>
      </c>
      <c r="B107" s="31" t="s">
        <v>11</v>
      </c>
      <c r="C107" s="31" t="s">
        <v>12</v>
      </c>
      <c r="D107" s="31" t="s">
        <v>13</v>
      </c>
      <c r="E107" s="32" t="s">
        <v>14</v>
      </c>
      <c r="F107" s="31" t="s">
        <v>15</v>
      </c>
      <c r="G107" s="31" t="s">
        <v>16</v>
      </c>
      <c r="H107" s="33" t="s">
        <v>17</v>
      </c>
      <c r="I107" s="31" t="s">
        <v>18</v>
      </c>
      <c r="J107" s="31" t="s">
        <v>19</v>
      </c>
      <c r="K107" s="31" t="s">
        <v>32</v>
      </c>
    </row>
    <row r="108" s="34" customFormat="1" ht="25.5" customHeight="1" outlineLevel="1">
      <c r="A108" s="35"/>
      <c r="B108" s="37" t="s">
        <v>33</v>
      </c>
      <c r="C108" s="37"/>
      <c r="D108" s="37"/>
      <c r="E108" s="37"/>
      <c r="F108" s="37"/>
      <c r="G108" s="37"/>
      <c r="H108" s="37"/>
      <c r="I108" s="37"/>
      <c r="J108" s="37"/>
      <c r="K108" s="38"/>
    </row>
    <row r="109" ht="14.25" customHeight="1" outlineLevel="1">
      <c r="A109" s="39">
        <v>1</v>
      </c>
      <c r="B109" s="396"/>
      <c r="C109" s="396"/>
      <c r="D109" s="396"/>
      <c r="E109" s="414"/>
      <c r="F109" s="394"/>
      <c r="G109" s="52"/>
      <c r="H109" s="52"/>
      <c r="I109" s="52"/>
      <c r="J109" s="55"/>
      <c r="K109" s="56"/>
    </row>
    <row r="110" ht="14.25" customHeight="1" outlineLevel="1">
      <c r="A110" s="39">
        <v>2</v>
      </c>
      <c r="B110" s="94" t="s">
        <v>202</v>
      </c>
      <c r="C110" s="94" t="s">
        <v>203</v>
      </c>
      <c r="D110" s="94" t="s">
        <v>718</v>
      </c>
      <c r="E110" s="272">
        <v>9900</v>
      </c>
      <c r="F110" s="156" t="s">
        <v>520</v>
      </c>
      <c r="G110" s="46" t="s">
        <v>260</v>
      </c>
      <c r="H110" s="46" t="s">
        <v>45</v>
      </c>
      <c r="I110" s="46"/>
      <c r="J110" s="49" t="s">
        <v>46</v>
      </c>
      <c r="K110" s="50"/>
    </row>
    <row r="111" ht="14.25" customHeight="1" outlineLevel="1">
      <c r="A111" s="39">
        <v>3</v>
      </c>
      <c r="B111" s="46"/>
      <c r="C111" s="46"/>
      <c r="D111" s="46"/>
      <c r="E111" s="47"/>
      <c r="F111" s="48"/>
      <c r="G111" s="46"/>
      <c r="H111" s="46"/>
      <c r="I111" s="46"/>
      <c r="J111" s="49"/>
      <c r="K111" s="50"/>
    </row>
    <row r="112" ht="14.25" customHeight="1" outlineLevel="1">
      <c r="A112" s="39">
        <v>4</v>
      </c>
      <c r="B112" s="46"/>
      <c r="C112" s="46"/>
      <c r="D112" s="46"/>
      <c r="E112" s="47"/>
      <c r="F112" s="48"/>
      <c r="G112" s="46"/>
      <c r="H112" s="46"/>
      <c r="I112" s="46"/>
      <c r="J112" s="49"/>
      <c r="K112" s="50"/>
    </row>
    <row r="113" ht="14.25" customHeight="1" outlineLevel="1">
      <c r="A113" s="39">
        <v>5</v>
      </c>
      <c r="B113" s="46"/>
      <c r="C113" s="46"/>
      <c r="D113" s="46"/>
      <c r="E113" s="47"/>
      <c r="F113" s="48"/>
      <c r="G113" s="46"/>
      <c r="H113" s="46"/>
      <c r="I113" s="46"/>
      <c r="J113" s="49"/>
      <c r="K113" s="50"/>
    </row>
    <row r="114" ht="14.25" customHeight="1" outlineLevel="1">
      <c r="A114" s="39">
        <v>6</v>
      </c>
      <c r="B114" s="46"/>
      <c r="C114" s="46"/>
      <c r="D114" s="46"/>
      <c r="E114" s="47"/>
      <c r="F114" s="48"/>
      <c r="G114" s="46"/>
      <c r="H114" s="46"/>
      <c r="I114" s="46"/>
      <c r="J114" s="49"/>
      <c r="K114" s="50"/>
    </row>
    <row r="115" ht="14.25" customHeight="1" outlineLevel="1">
      <c r="A115" s="39">
        <v>7</v>
      </c>
      <c r="B115" s="46"/>
      <c r="C115" s="46"/>
      <c r="D115" s="46"/>
      <c r="E115" s="47"/>
      <c r="F115" s="48"/>
      <c r="G115" s="46"/>
      <c r="H115" s="46"/>
      <c r="I115" s="46"/>
      <c r="J115" s="49"/>
      <c r="K115" s="50"/>
    </row>
    <row r="116" ht="14.25" customHeight="1" outlineLevel="1">
      <c r="A116" s="39">
        <v>8</v>
      </c>
      <c r="B116" s="46"/>
      <c r="C116" s="46"/>
      <c r="D116" s="46"/>
      <c r="E116" s="47"/>
      <c r="F116" s="48"/>
      <c r="G116" s="46"/>
      <c r="H116" s="46"/>
      <c r="I116" s="46"/>
      <c r="J116" s="49"/>
      <c r="K116" s="50"/>
    </row>
    <row r="117" ht="14.25" customHeight="1" outlineLevel="1">
      <c r="A117" s="39">
        <v>9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39">
        <v>10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39">
        <v>11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39">
        <v>12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39">
        <v>13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39">
        <v>14</v>
      </c>
      <c r="B122" s="46"/>
      <c r="C122" s="46"/>
      <c r="D122" s="46"/>
      <c r="E122" s="47">
        <v>100000</v>
      </c>
      <c r="F122" s="48"/>
      <c r="G122" s="46"/>
      <c r="H122" s="46"/>
      <c r="I122" s="46"/>
      <c r="J122" s="49"/>
      <c r="K122" s="50"/>
    </row>
    <row r="123" ht="14.25" customHeight="1" outlineLevel="1">
      <c r="A123" s="39">
        <v>15</v>
      </c>
      <c r="B123" s="57"/>
      <c r="C123" s="57"/>
      <c r="D123" s="57"/>
      <c r="E123" s="58"/>
      <c r="F123" s="59"/>
      <c r="G123" s="57"/>
      <c r="H123" s="57"/>
      <c r="I123" s="57"/>
      <c r="J123" s="60"/>
      <c r="K123" s="61"/>
    </row>
    <row r="124" s="34" customFormat="1" ht="25.5" customHeight="1" outlineLevel="1">
      <c r="A124" s="35"/>
      <c r="B124" s="37" t="s">
        <v>25</v>
      </c>
      <c r="C124" s="37"/>
      <c r="D124" s="37"/>
      <c r="E124" s="37"/>
      <c r="F124" s="37"/>
      <c r="G124" s="37"/>
      <c r="H124" s="37"/>
      <c r="I124" s="37"/>
      <c r="J124" s="37"/>
      <c r="K124" s="38"/>
    </row>
    <row r="125" ht="15" outlineLevel="1">
      <c r="A125" s="127">
        <v>1</v>
      </c>
      <c r="B125" s="110"/>
      <c r="C125" s="110"/>
      <c r="D125" s="110"/>
      <c r="E125" s="415"/>
      <c r="F125" s="110"/>
      <c r="G125" s="416"/>
      <c r="H125" s="417"/>
      <c r="I125" s="418"/>
      <c r="J125" s="177"/>
      <c r="K125" s="56"/>
    </row>
    <row r="126" ht="15" outlineLevel="1">
      <c r="A126" s="96">
        <v>2</v>
      </c>
      <c r="B126" s="110"/>
      <c r="C126" s="110"/>
      <c r="D126" s="110"/>
      <c r="E126" s="415"/>
      <c r="F126" s="110"/>
      <c r="G126" s="115"/>
      <c r="H126" s="46"/>
      <c r="I126" s="419"/>
      <c r="J126" s="49"/>
      <c r="K126" s="50"/>
    </row>
    <row r="127" ht="15" outlineLevel="1">
      <c r="A127" s="96">
        <v>3</v>
      </c>
      <c r="B127" s="111"/>
      <c r="C127" s="111"/>
      <c r="D127" s="111"/>
      <c r="E127" s="420"/>
      <c r="F127" s="111"/>
      <c r="G127" s="115"/>
      <c r="H127" s="46"/>
      <c r="I127" s="419"/>
      <c r="J127" s="49"/>
      <c r="K127" s="50"/>
    </row>
    <row r="128" ht="14.25" customHeight="1" outlineLevel="1">
      <c r="A128" s="45">
        <v>4</v>
      </c>
      <c r="B128" s="46"/>
      <c r="C128" s="46"/>
      <c r="D128" s="46"/>
      <c r="E128" s="47"/>
      <c r="F128" s="48"/>
      <c r="G128" s="46"/>
      <c r="H128" s="46"/>
      <c r="I128" s="46"/>
      <c r="J128" s="49"/>
      <c r="K128" s="50"/>
    </row>
    <row r="129" ht="14.25" customHeight="1" outlineLevel="1">
      <c r="A129" s="45">
        <v>5</v>
      </c>
      <c r="B129" s="46"/>
      <c r="C129" s="46"/>
      <c r="D129" s="46"/>
      <c r="E129" s="47"/>
      <c r="F129" s="48"/>
      <c r="G129" s="46"/>
      <c r="H129" s="46"/>
      <c r="I129" s="46"/>
      <c r="J129" s="49"/>
      <c r="K129" s="50"/>
    </row>
    <row r="130" ht="14.25" customHeight="1" outlineLevel="1">
      <c r="A130" s="45">
        <v>6</v>
      </c>
      <c r="B130" s="46"/>
      <c r="C130" s="46"/>
      <c r="D130" s="46"/>
      <c r="E130" s="47"/>
      <c r="F130" s="48"/>
      <c r="G130" s="46"/>
      <c r="H130" s="46"/>
      <c r="I130" s="46"/>
      <c r="J130" s="49"/>
      <c r="K130" s="50"/>
    </row>
    <row r="131" ht="14.25" customHeight="1" outlineLevel="1">
      <c r="A131" s="45">
        <v>7</v>
      </c>
      <c r="B131" s="46"/>
      <c r="C131" s="46"/>
      <c r="D131" s="46"/>
      <c r="E131" s="47"/>
      <c r="F131" s="48"/>
      <c r="G131" s="46"/>
      <c r="H131" s="46"/>
      <c r="I131" s="46"/>
      <c r="J131" s="49"/>
      <c r="K131" s="50"/>
    </row>
    <row r="132" ht="14.25" customHeight="1" outlineLevel="1">
      <c r="A132" s="45">
        <v>8</v>
      </c>
      <c r="B132" s="46"/>
      <c r="C132" s="46"/>
      <c r="D132" s="46"/>
      <c r="E132" s="47"/>
      <c r="F132" s="48"/>
      <c r="G132" s="46"/>
      <c r="H132" s="46"/>
      <c r="I132" s="46"/>
      <c r="J132" s="49"/>
      <c r="K132" s="50"/>
    </row>
    <row r="133" ht="14.25" customHeight="1" outlineLevel="1">
      <c r="A133" s="45">
        <v>9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10</v>
      </c>
      <c r="B134" s="57"/>
      <c r="C134" s="57"/>
      <c r="D134" s="57"/>
      <c r="E134" s="58"/>
      <c r="F134" s="59"/>
      <c r="G134" s="57"/>
      <c r="H134" s="57"/>
      <c r="I134" s="57"/>
      <c r="J134" s="60"/>
      <c r="K134" s="61"/>
    </row>
    <row r="135" ht="23.100000000000001" customHeight="1">
      <c r="A135" s="63" t="s">
        <v>34</v>
      </c>
      <c r="B135" s="64"/>
      <c r="C135" s="64"/>
      <c r="D135" s="73"/>
      <c r="E135" s="65">
        <f>SUM(E108:E134)</f>
        <v>109900</v>
      </c>
    </row>
    <row r="136" ht="23.100000000000001" customHeight="1">
      <c r="A136" s="63" t="s">
        <v>28</v>
      </c>
      <c r="B136" s="64"/>
      <c r="C136" s="64"/>
      <c r="D136" s="73"/>
      <c r="E136" s="65">
        <f>E104-E135</f>
        <v>8946.9799999999959</v>
      </c>
      <c r="F136" s="66"/>
    </row>
    <row r="137" ht="24.75" customHeight="1">
      <c r="E137" s="1"/>
    </row>
    <row r="138" ht="30" customHeight="1">
      <c r="A138" s="74" t="s">
        <v>35</v>
      </c>
      <c r="B138" s="75"/>
      <c r="C138" s="75"/>
      <c r="D138" s="76"/>
      <c r="E138" s="77">
        <f>SUM(E139:E139)</f>
        <v>164510</v>
      </c>
      <c r="F138" s="13"/>
      <c r="G138" s="13"/>
      <c r="H138" s="13"/>
      <c r="I138" s="13"/>
    </row>
    <row r="139" ht="15" customHeight="1">
      <c r="A139" s="69" t="s">
        <v>36</v>
      </c>
      <c r="B139" s="70"/>
      <c r="C139" s="70"/>
      <c r="D139" s="71"/>
      <c r="E139" s="72">
        <v>164510</v>
      </c>
      <c r="F139" s="13"/>
      <c r="G139" s="13"/>
      <c r="H139" s="13"/>
      <c r="I139" s="13"/>
    </row>
    <row r="140" ht="5.2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25.5" customHeight="1" outlineLevel="1">
      <c r="A141" s="31" t="s">
        <v>10</v>
      </c>
      <c r="B141" s="31" t="s">
        <v>11</v>
      </c>
      <c r="C141" s="31" t="s">
        <v>12</v>
      </c>
      <c r="D141" s="31" t="s">
        <v>13</v>
      </c>
      <c r="E141" s="32" t="s">
        <v>14</v>
      </c>
      <c r="F141" s="31" t="s">
        <v>15</v>
      </c>
      <c r="G141" s="31" t="s">
        <v>16</v>
      </c>
      <c r="H141" s="33" t="s">
        <v>17</v>
      </c>
      <c r="I141" s="31" t="s">
        <v>18</v>
      </c>
      <c r="J141" s="31" t="s">
        <v>19</v>
      </c>
      <c r="K141" s="31" t="s">
        <v>32</v>
      </c>
    </row>
    <row r="142" s="34" customFormat="1" ht="18.75" customHeight="1" outlineLevel="1">
      <c r="A142" s="78"/>
      <c r="B142" s="79" t="s">
        <v>37</v>
      </c>
      <c r="C142" s="80"/>
      <c r="D142" s="81"/>
      <c r="E142" s="82"/>
      <c r="F142" s="79"/>
      <c r="G142" s="79"/>
      <c r="H142" s="79"/>
      <c r="I142" s="79"/>
      <c r="J142" s="79"/>
      <c r="K142" s="83"/>
    </row>
    <row r="143" ht="14.25" customHeight="1" outlineLevel="1">
      <c r="A143" s="51">
        <v>1</v>
      </c>
      <c r="B143" s="52"/>
      <c r="C143" s="52"/>
      <c r="D143" s="52"/>
      <c r="E143" s="53"/>
      <c r="F143" s="54"/>
      <c r="G143" s="52"/>
      <c r="H143" s="52"/>
      <c r="I143" s="52"/>
      <c r="J143" s="55"/>
      <c r="K143" s="56"/>
    </row>
    <row r="144" ht="14.25" customHeight="1" outlineLevel="1">
      <c r="A144" s="45">
        <v>2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4.25" customHeight="1" outlineLevel="1">
      <c r="A145" s="45">
        <v>3</v>
      </c>
      <c r="B145" s="46"/>
      <c r="C145" s="46"/>
      <c r="D145" s="46"/>
      <c r="E145" s="47"/>
      <c r="F145" s="48"/>
      <c r="G145" s="46"/>
      <c r="H145" s="46"/>
      <c r="I145" s="46"/>
      <c r="J145" s="49"/>
      <c r="K145" s="50"/>
    </row>
    <row r="146" ht="14.25" customHeight="1" outlineLevel="1">
      <c r="A146" s="45">
        <v>4</v>
      </c>
      <c r="B146" s="46"/>
      <c r="C146" s="46"/>
      <c r="D146" s="46"/>
      <c r="E146" s="47"/>
      <c r="F146" s="48"/>
      <c r="G146" s="46"/>
      <c r="H146" s="46"/>
      <c r="I146" s="46"/>
      <c r="J146" s="49"/>
      <c r="K146" s="50"/>
    </row>
    <row r="147" ht="14.25" customHeight="1" outlineLevel="1">
      <c r="A147" s="45">
        <v>5</v>
      </c>
      <c r="B147" s="46"/>
      <c r="C147" s="46"/>
      <c r="D147" s="46"/>
      <c r="E147" s="47"/>
      <c r="F147" s="48"/>
      <c r="G147" s="46"/>
      <c r="H147" s="46"/>
      <c r="I147" s="46"/>
      <c r="J147" s="49"/>
      <c r="K147" s="50"/>
    </row>
    <row r="148" ht="14.25" customHeight="1" outlineLevel="1">
      <c r="A148" s="45">
        <v>6</v>
      </c>
      <c r="B148" s="46"/>
      <c r="C148" s="46"/>
      <c r="D148" s="46"/>
      <c r="E148" s="47"/>
      <c r="F148" s="48"/>
      <c r="G148" s="46"/>
      <c r="H148" s="46"/>
      <c r="I148" s="46"/>
      <c r="J148" s="49"/>
      <c r="K148" s="50"/>
    </row>
    <row r="149" ht="14.25" customHeight="1" outlineLevel="1">
      <c r="A149" s="45">
        <v>7</v>
      </c>
      <c r="B149" s="46"/>
      <c r="C149" s="46"/>
      <c r="D149" s="46"/>
      <c r="E149" s="47"/>
      <c r="F149" s="48"/>
      <c r="G149" s="46"/>
      <c r="H149" s="46"/>
      <c r="I149" s="46"/>
      <c r="J149" s="49"/>
      <c r="K149" s="50"/>
    </row>
    <row r="150" ht="15.75" customHeight="1" outlineLevel="1">
      <c r="A150" s="45">
        <v>8</v>
      </c>
      <c r="B150" s="46"/>
      <c r="C150" s="46"/>
      <c r="D150" s="46"/>
      <c r="E150" s="47"/>
      <c r="F150" s="48"/>
      <c r="G150" s="46"/>
      <c r="H150" s="46"/>
      <c r="I150" s="46"/>
      <c r="J150" s="49"/>
      <c r="K150" s="50"/>
    </row>
    <row r="151" ht="15.75" customHeight="1" outlineLevel="1">
      <c r="A151" s="45">
        <v>9</v>
      </c>
      <c r="B151" s="46"/>
      <c r="C151" s="46"/>
      <c r="D151" s="46"/>
      <c r="E151" s="47"/>
      <c r="F151" s="48"/>
      <c r="G151" s="46"/>
      <c r="H151" s="46"/>
      <c r="I151" s="46"/>
      <c r="J151" s="49"/>
      <c r="K151" s="50"/>
    </row>
    <row r="152" ht="15.75" customHeight="1" outlineLevel="1">
      <c r="A152" s="45">
        <v>10</v>
      </c>
      <c r="B152" s="46"/>
      <c r="C152" s="46"/>
      <c r="D152" s="46"/>
      <c r="E152" s="47"/>
      <c r="F152" s="48"/>
      <c r="G152" s="46"/>
      <c r="H152" s="46"/>
      <c r="I152" s="46"/>
      <c r="J152" s="49"/>
      <c r="K152" s="50"/>
    </row>
    <row r="153" ht="15.75" customHeight="1" outlineLevel="1">
      <c r="A153" s="45">
        <v>11</v>
      </c>
      <c r="B153" s="46"/>
      <c r="C153" s="46"/>
      <c r="D153" s="46"/>
      <c r="E153" s="47"/>
      <c r="F153" s="48"/>
      <c r="G153" s="46"/>
      <c r="H153" s="46"/>
      <c r="I153" s="46"/>
      <c r="J153" s="49"/>
      <c r="K153" s="50"/>
    </row>
    <row r="154" ht="15.75" customHeight="1" outlineLevel="1">
      <c r="A154" s="45">
        <v>12</v>
      </c>
      <c r="B154" s="46"/>
      <c r="C154" s="46"/>
      <c r="D154" s="46"/>
      <c r="E154" s="47"/>
      <c r="F154" s="48"/>
      <c r="G154" s="46"/>
      <c r="H154" s="46"/>
      <c r="I154" s="46"/>
      <c r="J154" s="49"/>
      <c r="K154" s="50"/>
    </row>
    <row r="155" ht="15.75" customHeight="1" outlineLevel="1">
      <c r="A155" s="45">
        <v>13</v>
      </c>
      <c r="B155" s="46"/>
      <c r="C155" s="46"/>
      <c r="D155" s="46"/>
      <c r="E155" s="47"/>
      <c r="F155" s="48"/>
      <c r="G155" s="46"/>
      <c r="H155" s="46"/>
      <c r="I155" s="46"/>
      <c r="J155" s="49"/>
      <c r="K155" s="50"/>
    </row>
    <row r="156" ht="15.75" customHeight="1" outlineLevel="1">
      <c r="A156" s="45">
        <v>14</v>
      </c>
      <c r="B156" s="46"/>
      <c r="C156" s="46"/>
      <c r="D156" s="46"/>
      <c r="E156" s="47"/>
      <c r="F156" s="48"/>
      <c r="G156" s="46"/>
      <c r="H156" s="46"/>
      <c r="I156" s="46"/>
      <c r="J156" s="49"/>
      <c r="K156" s="50"/>
    </row>
    <row r="157" ht="15.75" customHeight="1" outlineLevel="1">
      <c r="A157" s="62">
        <v>15</v>
      </c>
      <c r="B157" s="57"/>
      <c r="C157" s="57"/>
      <c r="D157" s="57"/>
      <c r="E157" s="58"/>
      <c r="F157" s="59"/>
      <c r="G157" s="57"/>
      <c r="H157" s="57"/>
      <c r="I157" s="57"/>
      <c r="J157" s="60"/>
      <c r="K157" s="61"/>
    </row>
    <row r="158" ht="23.100000000000001" customHeight="1">
      <c r="A158" s="84" t="s">
        <v>38</v>
      </c>
      <c r="B158" s="85"/>
      <c r="C158" s="85"/>
      <c r="D158" s="86"/>
      <c r="E158" s="87">
        <f>SUM(E142:E157)</f>
        <v>0</v>
      </c>
    </row>
    <row r="159" ht="23.100000000000001" customHeight="1">
      <c r="A159" s="84" t="s">
        <v>28</v>
      </c>
      <c r="B159" s="85"/>
      <c r="C159" s="85"/>
      <c r="D159" s="86"/>
      <c r="E159" s="87">
        <f>E138-E158</f>
        <v>164510</v>
      </c>
      <c r="F159" s="66"/>
    </row>
    <row r="217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01:D101"/>
    <mergeCell ref="A102:D102"/>
    <mergeCell ref="A104:D104"/>
    <mergeCell ref="A105:D105"/>
    <mergeCell ref="A135:D135"/>
    <mergeCell ref="A136:D136"/>
    <mergeCell ref="A138:D138"/>
    <mergeCell ref="A139:D139"/>
    <mergeCell ref="A158:D158"/>
    <mergeCell ref="A159:D159"/>
  </mergeCells>
  <printOptions headings="0" gridLines="0"/>
  <pageMargins left="0" right="0" top="0" bottom="0" header="0.29999999999999999" footer="0.29999999999999999"/>
  <pageSetup paperSize="9" scale="23" firstPageNumber="1" fitToWidth="1" fitToHeight="1" pageOrder="downThenOver" orientation="landscape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000FD-0064-4B39-ABBC-00F200CE009D}" type="list" allowBlank="1" errorStyle="stop" imeMode="noControl" operator="between" showDropDown="0" showErrorMessage="1" showInputMessage="1">
          <x14:formula1>
            <xm:f>ДаНет</xm:f>
          </x14:formula1>
          <xm:sqref>H68:H82 H52:H66 H131:H145 H84:H88 H97:H111 H116:H122 H17:H18 H31:H34 H36:H50 H19 H20 H21 H22 H23 H24 H25 H26 H27 H28 H29 H30</xm:sqref>
        </x14:dataValidation>
        <x14:dataValidation xr:uid="{006C002A-008E-4B5C-8FA6-003900090015}" type="list" allowBlank="1" errorStyle="stop" imeMode="noControl" operator="between" showDropDown="0" showErrorMessage="1" showInputMessage="1">
          <x14:formula1>
            <xm:f>ДаНет</xm:f>
          </x14:formula1>
          <xm:sqref>H113:H115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10" zoomScale="100" workbookViewId="0">
      <selection activeCell="A11" activeCellId="0" sqref="A11:D11"/>
    </sheetView>
  </sheetViews>
  <sheetFormatPr defaultColWidth="9.140625" defaultRowHeight="14.25" outlineLevelRow="1"/>
  <cols>
    <col customWidth="1" min="1" max="1" style="1" width="8.5703125"/>
    <col customWidth="1" min="2" max="2" style="1" width="17.42578125"/>
    <col customWidth="1" min="3" max="3" style="1" width="26"/>
    <col customWidth="1" min="4" max="4" style="1" width="22.140625"/>
    <col customWidth="1" min="5" max="5" style="1" width="26"/>
    <col customWidth="1" min="6" max="6" style="1" width="34.7109375"/>
    <col customWidth="1" min="7" max="7" style="1" width="20.7109375"/>
    <col customWidth="1" min="8" max="8" style="1" width="11.28515625"/>
    <col customWidth="1" min="9" max="9" style="1" width="22.140625"/>
    <col bestFit="1" customWidth="1" min="10" max="10" style="1" width="11.5703125"/>
    <col customWidth="1" min="11" max="11" style="1" width="20.5703125"/>
    <col min="12" max="16384" style="1" width="9.140625"/>
  </cols>
  <sheetData>
    <row r="1" ht="18.600000000000001" customHeight="1">
      <c r="A1" s="2"/>
      <c r="B1" s="2"/>
      <c r="C1" s="2"/>
      <c r="D1" s="2"/>
      <c r="E1" s="3"/>
      <c r="F1" s="3"/>
      <c r="G1" s="2"/>
      <c r="H1" s="2"/>
      <c r="I1" s="2"/>
    </row>
    <row r="2" ht="23.25" customHeight="1">
      <c r="A2" s="4"/>
      <c r="B2" s="4"/>
      <c r="C2" s="5">
        <f>'30'!C2+1</f>
        <v>46112</v>
      </c>
      <c r="D2" s="4"/>
      <c r="F2" s="6"/>
      <c r="G2" s="4"/>
      <c r="H2" s="4"/>
      <c r="I2" s="4"/>
      <c r="J2" s="1"/>
      <c r="K2" s="1"/>
    </row>
    <row r="3" ht="15.75">
      <c r="A3" s="4"/>
      <c r="B3" s="4"/>
      <c r="C3" s="2"/>
      <c r="D3" s="4"/>
      <c r="E3" s="7"/>
      <c r="F3" s="8"/>
      <c r="G3" s="4"/>
      <c r="H3" s="4"/>
      <c r="I3" s="4"/>
      <c r="J3" s="1"/>
      <c r="K3" s="1"/>
    </row>
    <row r="4" ht="30" customHeight="1">
      <c r="A4" s="9" t="s">
        <v>0</v>
      </c>
      <c r="B4" s="10"/>
      <c r="C4" s="10"/>
      <c r="D4" s="11"/>
      <c r="E4" s="135">
        <f>SUM(E5:E13)</f>
        <v>26450641.640000001</v>
      </c>
      <c r="F4" s="136" t="s">
        <v>39</v>
      </c>
      <c r="G4" s="13"/>
      <c r="H4" s="13"/>
      <c r="I4" s="13"/>
      <c r="J4" s="1"/>
      <c r="K4" s="1"/>
    </row>
    <row r="5" ht="15" customHeight="1">
      <c r="A5" s="14" t="s">
        <v>1</v>
      </c>
      <c r="B5" s="15"/>
      <c r="C5" s="15"/>
      <c r="D5" s="16"/>
      <c r="E5" s="17">
        <v>26336174.09</v>
      </c>
      <c r="F5" s="13"/>
      <c r="G5" s="13"/>
      <c r="H5" s="13"/>
      <c r="I5" s="13"/>
      <c r="J5" s="1"/>
      <c r="K5" s="1"/>
    </row>
    <row r="6" ht="15" customHeight="1">
      <c r="A6" s="18" t="s">
        <v>2</v>
      </c>
      <c r="B6" s="19"/>
      <c r="C6" s="19"/>
      <c r="D6" s="20"/>
      <c r="E6" s="21">
        <v>288.18000000000001</v>
      </c>
      <c r="F6" s="13"/>
      <c r="G6" s="13"/>
      <c r="H6" s="13"/>
      <c r="I6" s="13"/>
      <c r="J6" s="1"/>
      <c r="K6" s="1"/>
    </row>
    <row r="7" ht="15" customHeight="1">
      <c r="A7" s="23" t="s">
        <v>40</v>
      </c>
      <c r="B7" s="403"/>
      <c r="C7" s="403"/>
      <c r="D7" s="404"/>
      <c r="E7" s="21">
        <v>6857.4700000000003</v>
      </c>
      <c r="F7" s="13"/>
      <c r="G7" s="13"/>
      <c r="H7" s="13"/>
      <c r="I7" s="13"/>
      <c r="J7" s="1"/>
      <c r="K7" s="1"/>
    </row>
    <row r="8" ht="15.75" customHeight="1">
      <c r="A8" s="18" t="s">
        <v>4</v>
      </c>
      <c r="B8" s="19"/>
      <c r="C8" s="19"/>
      <c r="D8" s="20"/>
      <c r="E8" s="21">
        <v>45160.599999999999</v>
      </c>
      <c r="F8" s="22"/>
      <c r="G8" s="22"/>
      <c r="H8" s="22"/>
      <c r="I8" s="22"/>
      <c r="J8" s="1"/>
      <c r="K8" s="1"/>
    </row>
    <row r="9" ht="15" customHeight="1">
      <c r="A9" s="23" t="s">
        <v>5</v>
      </c>
      <c r="B9" s="403"/>
      <c r="C9" s="403"/>
      <c r="D9" s="404"/>
      <c r="E9" s="21">
        <v>24099.150000000001</v>
      </c>
      <c r="F9" s="13"/>
      <c r="G9" s="13"/>
      <c r="H9" s="13"/>
      <c r="I9" s="13"/>
      <c r="J9" s="1"/>
      <c r="K9" s="1"/>
    </row>
    <row r="10" ht="15.75" customHeight="1">
      <c r="A10" s="23" t="s">
        <v>6</v>
      </c>
      <c r="B10" s="403"/>
      <c r="C10" s="403"/>
      <c r="D10" s="404"/>
      <c r="E10" s="21">
        <v>1110.6400000000001</v>
      </c>
      <c r="F10" s="22"/>
      <c r="G10" s="22"/>
      <c r="H10" s="22"/>
      <c r="I10" s="22"/>
      <c r="J10" s="1"/>
      <c r="K10" s="1"/>
    </row>
    <row r="11" ht="15.75" customHeight="1">
      <c r="A11" s="24" t="s">
        <v>7</v>
      </c>
      <c r="B11" s="25"/>
      <c r="C11" s="25"/>
      <c r="D11" s="26"/>
      <c r="E11" s="21">
        <v>35304.82</v>
      </c>
      <c r="F11" s="22"/>
      <c r="G11" s="22"/>
      <c r="H11" s="22"/>
      <c r="I11" s="22"/>
      <c r="J11" s="1"/>
      <c r="K11" s="1"/>
    </row>
    <row r="12" ht="15.75" customHeight="1">
      <c r="A12" s="23" t="s">
        <v>8</v>
      </c>
      <c r="B12" s="403"/>
      <c r="C12" s="403"/>
      <c r="D12" s="404"/>
      <c r="E12" s="21"/>
      <c r="F12" s="22"/>
      <c r="G12" s="22"/>
      <c r="H12" s="22"/>
      <c r="I12" s="22"/>
      <c r="J12" s="1"/>
      <c r="K12" s="1"/>
    </row>
    <row r="13" ht="15.75" customHeight="1">
      <c r="A13" s="27" t="s">
        <v>9</v>
      </c>
      <c r="B13" s="405"/>
      <c r="C13" s="405"/>
      <c r="D13" s="406"/>
      <c r="E13" s="30">
        <v>1646.6900000000001</v>
      </c>
      <c r="F13" s="22"/>
      <c r="G13" s="22"/>
      <c r="H13" s="22"/>
      <c r="I13" s="22"/>
    </row>
    <row r="14" ht="4.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ht="28.5" customHeight="1" outlineLevel="1">
      <c r="A15" s="31" t="s">
        <v>10</v>
      </c>
      <c r="B15" s="31" t="s">
        <v>11</v>
      </c>
      <c r="C15" s="31" t="s">
        <v>12</v>
      </c>
      <c r="D15" s="31" t="s">
        <v>13</v>
      </c>
      <c r="E15" s="32" t="s">
        <v>14</v>
      </c>
      <c r="F15" s="31" t="s">
        <v>15</v>
      </c>
      <c r="G15" s="31" t="s">
        <v>16</v>
      </c>
      <c r="H15" s="33" t="s">
        <v>17</v>
      </c>
      <c r="I15" s="31" t="s">
        <v>18</v>
      </c>
      <c r="J15" s="31" t="s">
        <v>19</v>
      </c>
      <c r="K15" s="31" t="s">
        <v>20</v>
      </c>
    </row>
    <row r="16" s="34" customFormat="1" ht="25.5" customHeight="1" outlineLevel="1">
      <c r="A16" s="35"/>
      <c r="B16" s="36" t="s">
        <v>21</v>
      </c>
      <c r="C16" s="37"/>
      <c r="D16" s="37"/>
      <c r="E16" s="37"/>
      <c r="F16" s="37"/>
      <c r="G16" s="37"/>
      <c r="H16" s="37"/>
      <c r="I16" s="37"/>
      <c r="J16" s="37"/>
      <c r="K16" s="38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ht="14.25" customHeight="1" outlineLevel="1">
      <c r="A17" s="39">
        <v>1</v>
      </c>
      <c r="B17" s="40"/>
      <c r="C17" s="40"/>
      <c r="D17" s="40"/>
      <c r="E17" s="41"/>
      <c r="F17" s="42"/>
      <c r="G17" s="40"/>
      <c r="H17" s="40"/>
      <c r="I17" s="40"/>
      <c r="J17" s="43"/>
      <c r="K17" s="44"/>
    </row>
    <row r="18" ht="51.75" customHeight="1" outlineLevel="1">
      <c r="A18" s="96">
        <v>2</v>
      </c>
      <c r="B18" s="97" t="s">
        <v>47</v>
      </c>
      <c r="C18" s="99" t="s">
        <v>57</v>
      </c>
      <c r="D18" s="186" t="s">
        <v>58</v>
      </c>
      <c r="E18" s="390">
        <v>10000000</v>
      </c>
      <c r="F18" s="368" t="s">
        <v>44</v>
      </c>
      <c r="G18" s="46"/>
      <c r="H18" s="46" t="s">
        <v>45</v>
      </c>
      <c r="I18" s="46"/>
      <c r="J18" s="49" t="s">
        <v>46</v>
      </c>
      <c r="K18" s="50"/>
    </row>
    <row r="19" ht="14.25" customHeight="1" outlineLevel="1">
      <c r="A19" s="96"/>
      <c r="B19" s="97" t="s">
        <v>47</v>
      </c>
      <c r="C19" s="99" t="s">
        <v>57</v>
      </c>
      <c r="D19" s="158" t="s">
        <v>58</v>
      </c>
      <c r="E19" s="407" t="s">
        <v>719</v>
      </c>
      <c r="F19" s="368" t="s">
        <v>44</v>
      </c>
      <c r="G19" s="46"/>
      <c r="H19" s="46"/>
      <c r="I19" s="46"/>
      <c r="J19" s="49"/>
      <c r="K19" s="50"/>
    </row>
    <row r="20" ht="28.5" customHeight="1" outlineLevel="1">
      <c r="A20" s="45">
        <v>3</v>
      </c>
      <c r="B20" s="156" t="s">
        <v>41</v>
      </c>
      <c r="C20" s="156" t="s">
        <v>48</v>
      </c>
      <c r="D20" s="421" t="s">
        <v>49</v>
      </c>
      <c r="E20" s="422">
        <v>1696770</v>
      </c>
      <c r="F20" s="368" t="s">
        <v>720</v>
      </c>
      <c r="G20" s="46"/>
      <c r="H20" s="46" t="s">
        <v>45</v>
      </c>
      <c r="I20" s="46"/>
      <c r="J20" s="49" t="s">
        <v>46</v>
      </c>
      <c r="K20" s="50"/>
    </row>
    <row r="21" ht="28.5" customHeight="1" outlineLevel="1">
      <c r="A21" s="45">
        <v>4</v>
      </c>
      <c r="B21" s="156" t="s">
        <v>41</v>
      </c>
      <c r="C21" s="156" t="s">
        <v>48</v>
      </c>
      <c r="D21" s="421" t="s">
        <v>49</v>
      </c>
      <c r="E21" s="422">
        <v>847620</v>
      </c>
      <c r="F21" s="368" t="s">
        <v>721</v>
      </c>
      <c r="G21" s="46"/>
      <c r="H21" s="46" t="s">
        <v>45</v>
      </c>
      <c r="I21" s="46"/>
      <c r="J21" s="49" t="s">
        <v>46</v>
      </c>
      <c r="K21" s="50"/>
    </row>
    <row r="22" ht="28.5" customHeight="1" outlineLevel="1">
      <c r="A22" s="45">
        <v>5</v>
      </c>
      <c r="B22" s="156" t="s">
        <v>41</v>
      </c>
      <c r="C22" s="156" t="s">
        <v>48</v>
      </c>
      <c r="D22" s="421" t="s">
        <v>49</v>
      </c>
      <c r="E22" s="422">
        <v>842265</v>
      </c>
      <c r="F22" s="368" t="s">
        <v>722</v>
      </c>
      <c r="G22" s="46"/>
      <c r="H22" s="46" t="s">
        <v>45</v>
      </c>
      <c r="I22" s="46"/>
      <c r="J22" s="49" t="s">
        <v>46</v>
      </c>
      <c r="K22" s="50"/>
    </row>
    <row r="23" ht="28.5" customHeight="1" outlineLevel="1">
      <c r="A23" s="45">
        <v>6</v>
      </c>
      <c r="B23" s="156" t="s">
        <v>41</v>
      </c>
      <c r="C23" s="156" t="s">
        <v>48</v>
      </c>
      <c r="D23" s="421" t="s">
        <v>49</v>
      </c>
      <c r="E23" s="422">
        <v>1735360</v>
      </c>
      <c r="F23" s="368" t="s">
        <v>721</v>
      </c>
      <c r="G23" s="46"/>
      <c r="H23" s="46" t="s">
        <v>45</v>
      </c>
      <c r="I23" s="46"/>
      <c r="J23" s="49" t="s">
        <v>46</v>
      </c>
      <c r="K23" s="50"/>
    </row>
    <row r="24" ht="28.5" customHeight="1" outlineLevel="1">
      <c r="A24" s="45">
        <v>7</v>
      </c>
      <c r="B24" s="156" t="s">
        <v>41</v>
      </c>
      <c r="C24" s="156" t="s">
        <v>48</v>
      </c>
      <c r="D24" s="421" t="s">
        <v>49</v>
      </c>
      <c r="E24" s="422">
        <v>1572760</v>
      </c>
      <c r="F24" s="368" t="s">
        <v>723</v>
      </c>
      <c r="G24" s="46"/>
      <c r="H24" s="46" t="s">
        <v>45</v>
      </c>
      <c r="I24" s="46"/>
      <c r="J24" s="49" t="s">
        <v>46</v>
      </c>
      <c r="K24" s="50"/>
    </row>
    <row r="25" ht="43.5" customHeight="1" outlineLevel="1">
      <c r="A25" s="45">
        <v>8</v>
      </c>
      <c r="B25" s="156" t="s">
        <v>41</v>
      </c>
      <c r="C25" s="156" t="s">
        <v>42</v>
      </c>
      <c r="D25" s="156" t="s">
        <v>43</v>
      </c>
      <c r="E25" s="369">
        <v>3500000</v>
      </c>
      <c r="F25" s="156" t="s">
        <v>44</v>
      </c>
      <c r="G25" s="46"/>
      <c r="H25" s="46" t="s">
        <v>45</v>
      </c>
      <c r="I25" s="46"/>
      <c r="J25" s="49" t="s">
        <v>46</v>
      </c>
      <c r="K25" s="50"/>
    </row>
    <row r="26" ht="14.25" customHeight="1" outlineLevel="1">
      <c r="A26" s="39">
        <v>9</v>
      </c>
      <c r="B26" s="48" t="s">
        <v>152</v>
      </c>
      <c r="C26" s="48" t="s">
        <v>154</v>
      </c>
      <c r="D26" s="423">
        <v>202057</v>
      </c>
      <c r="E26" s="390">
        <v>4500000</v>
      </c>
      <c r="F26" s="368"/>
      <c r="G26" s="46"/>
      <c r="H26" s="46"/>
      <c r="I26" s="46"/>
      <c r="J26" s="49" t="s">
        <v>46</v>
      </c>
      <c r="K26" s="50"/>
    </row>
    <row r="27" ht="14.25" customHeight="1" outlineLevel="1">
      <c r="A27" s="45">
        <v>10</v>
      </c>
      <c r="B27" s="156"/>
      <c r="C27" s="156"/>
      <c r="D27" s="421"/>
      <c r="E27" s="424"/>
      <c r="F27" s="368"/>
      <c r="G27" s="46"/>
      <c r="H27" s="46"/>
      <c r="I27" s="46"/>
      <c r="J27" s="49"/>
      <c r="K27" s="50"/>
    </row>
    <row r="28" ht="14.25" customHeight="1" outlineLevel="1">
      <c r="A28" s="45">
        <v>11</v>
      </c>
      <c r="B28" s="156"/>
      <c r="C28" s="156"/>
      <c r="D28" s="421"/>
      <c r="E28" s="424"/>
      <c r="F28" s="368"/>
      <c r="G28" s="46"/>
      <c r="H28" s="46"/>
      <c r="I28" s="46"/>
      <c r="J28" s="49"/>
      <c r="K28" s="50"/>
    </row>
    <row r="29" ht="14.25" customHeight="1" outlineLevel="1">
      <c r="A29" s="45">
        <v>12</v>
      </c>
      <c r="B29" s="156"/>
      <c r="C29" s="156"/>
      <c r="D29" s="421"/>
      <c r="E29" s="424"/>
      <c r="F29" s="368"/>
      <c r="G29" s="46"/>
      <c r="H29" s="46"/>
      <c r="I29" s="46"/>
      <c r="J29" s="49"/>
      <c r="K29" s="50"/>
    </row>
    <row r="30" ht="14.25" customHeight="1" outlineLevel="1">
      <c r="A30" s="45">
        <v>13</v>
      </c>
      <c r="B30" s="156"/>
      <c r="C30" s="156"/>
      <c r="D30" s="421"/>
      <c r="E30" s="424"/>
      <c r="F30" s="368"/>
      <c r="G30" s="46"/>
      <c r="H30" s="46"/>
      <c r="I30" s="46"/>
      <c r="J30" s="49"/>
      <c r="K30" s="50"/>
    </row>
    <row r="31" ht="14.25" customHeight="1" outlineLevel="1">
      <c r="A31" s="45">
        <v>14</v>
      </c>
      <c r="B31" s="156"/>
      <c r="C31" s="156"/>
      <c r="D31" s="421"/>
      <c r="E31" s="424"/>
      <c r="F31" s="368"/>
      <c r="G31" s="46"/>
      <c r="H31" s="46"/>
      <c r="I31" s="46"/>
      <c r="J31" s="49"/>
      <c r="K31" s="50"/>
    </row>
    <row r="32" ht="14.25" customHeight="1" outlineLevel="1">
      <c r="A32" s="45">
        <v>15</v>
      </c>
      <c r="B32" s="156"/>
      <c r="C32" s="156"/>
      <c r="D32" s="421"/>
      <c r="E32" s="424"/>
      <c r="F32" s="368"/>
      <c r="G32" s="46"/>
      <c r="H32" s="46"/>
      <c r="I32" s="46"/>
      <c r="J32" s="49"/>
      <c r="K32" s="50"/>
    </row>
    <row r="33" ht="14.25" customHeight="1" outlineLevel="1">
      <c r="A33" s="45">
        <v>16</v>
      </c>
      <c r="G33" s="46"/>
      <c r="H33" s="46"/>
      <c r="I33" s="46"/>
      <c r="J33" s="49"/>
      <c r="K33" s="50"/>
    </row>
    <row r="34" ht="14.25" customHeight="1" outlineLevel="1">
      <c r="A34" s="45">
        <v>17</v>
      </c>
      <c r="B34" s="46" t="s">
        <v>152</v>
      </c>
      <c r="C34" s="46" t="s">
        <v>153</v>
      </c>
      <c r="D34" s="284">
        <v>2022</v>
      </c>
      <c r="E34" s="425">
        <v>5500000</v>
      </c>
      <c r="F34" s="48"/>
      <c r="G34" s="46"/>
      <c r="H34" s="46" t="s">
        <v>45</v>
      </c>
      <c r="I34" s="46"/>
      <c r="J34" s="49" t="s">
        <v>46</v>
      </c>
      <c r="K34" s="50"/>
    </row>
    <row r="35" ht="14.25" customHeight="1" outlineLevel="1">
      <c r="A35" s="45">
        <v>18</v>
      </c>
      <c r="B35" s="46"/>
      <c r="C35" s="46"/>
      <c r="D35" s="46"/>
      <c r="E35" s="47"/>
      <c r="F35" s="48"/>
      <c r="G35" s="46"/>
      <c r="H35" s="46"/>
      <c r="I35" s="46"/>
      <c r="J35" s="49"/>
      <c r="K35" s="50"/>
    </row>
    <row r="36" s="34" customFormat="1" ht="25.5" customHeight="1" outlineLevel="1">
      <c r="A36" s="35"/>
      <c r="B36" s="37" t="s">
        <v>23</v>
      </c>
      <c r="C36" s="37"/>
      <c r="D36" s="37"/>
      <c r="E36" s="37"/>
      <c r="F36" s="37"/>
      <c r="G36" s="37"/>
      <c r="H36" s="37"/>
      <c r="I36" s="37"/>
      <c r="J36" s="37"/>
      <c r="K36" s="38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 ht="14.25" customHeight="1" outlineLevel="1">
      <c r="A37" s="39">
        <v>1</v>
      </c>
      <c r="B37" s="46"/>
      <c r="C37" s="46"/>
      <c r="D37" s="46"/>
      <c r="E37" s="47"/>
      <c r="F37" s="48"/>
      <c r="G37" s="46"/>
      <c r="H37" s="46"/>
      <c r="I37" s="46"/>
      <c r="J37" s="49"/>
      <c r="K37" s="50"/>
    </row>
    <row r="38" ht="14.25" customHeight="1" outlineLevel="1">
      <c r="A38" s="45">
        <v>2</v>
      </c>
      <c r="B38" s="46"/>
      <c r="C38" s="46"/>
      <c r="D38" s="46"/>
      <c r="E38" s="47"/>
      <c r="F38" s="48"/>
      <c r="G38" s="46"/>
      <c r="H38" s="46"/>
      <c r="I38" s="46"/>
      <c r="J38" s="49"/>
      <c r="K38" s="50"/>
    </row>
    <row r="39" ht="14.25" customHeight="1" outlineLevel="1">
      <c r="A39" s="45">
        <v>3</v>
      </c>
      <c r="B39" s="46"/>
      <c r="C39" s="46"/>
      <c r="D39" s="46"/>
      <c r="E39" s="47"/>
      <c r="F39" s="48"/>
      <c r="G39" s="46"/>
      <c r="H39" s="46"/>
      <c r="I39" s="46"/>
      <c r="J39" s="49"/>
      <c r="K39" s="50"/>
    </row>
    <row r="40" ht="14.25" customHeight="1" outlineLevel="1">
      <c r="A40" s="45">
        <v>4</v>
      </c>
      <c r="B40" s="46"/>
      <c r="C40" s="46"/>
      <c r="D40" s="46"/>
      <c r="E40" s="47"/>
      <c r="F40" s="48"/>
      <c r="G40" s="46"/>
      <c r="H40" s="46"/>
      <c r="I40" s="46"/>
      <c r="J40" s="49"/>
      <c r="K40" s="50"/>
    </row>
    <row r="41" ht="14.25" customHeight="1" outlineLevel="1">
      <c r="A41" s="45">
        <v>5</v>
      </c>
      <c r="B41" s="46"/>
      <c r="C41" s="46"/>
      <c r="D41" s="46"/>
      <c r="E41" s="47"/>
      <c r="F41" s="48"/>
      <c r="G41" s="46"/>
      <c r="H41" s="46"/>
      <c r="I41" s="46"/>
      <c r="J41" s="49"/>
      <c r="K41" s="50"/>
    </row>
    <row r="42" ht="14.25" customHeight="1" outlineLevel="1">
      <c r="A42" s="45">
        <v>6</v>
      </c>
      <c r="B42" s="46"/>
      <c r="C42" s="46"/>
      <c r="D42" s="46"/>
      <c r="E42" s="47"/>
      <c r="F42" s="48"/>
      <c r="G42" s="46"/>
      <c r="H42" s="46"/>
      <c r="I42" s="46"/>
      <c r="J42" s="49"/>
      <c r="K42" s="50"/>
    </row>
    <row r="43" ht="14.25" customHeight="1" outlineLevel="1">
      <c r="A43" s="45">
        <v>7</v>
      </c>
      <c r="B43" s="46"/>
      <c r="C43" s="46"/>
      <c r="D43" s="46"/>
      <c r="E43" s="47"/>
      <c r="F43" s="48"/>
      <c r="G43" s="46"/>
      <c r="H43" s="46"/>
      <c r="I43" s="46"/>
      <c r="J43" s="49"/>
      <c r="K43" s="50"/>
    </row>
    <row r="44" ht="14.25" customHeight="1" outlineLevel="1">
      <c r="A44" s="45">
        <v>8</v>
      </c>
      <c r="B44" s="46"/>
      <c r="C44" s="46"/>
      <c r="D44" s="46"/>
      <c r="E44" s="47"/>
      <c r="F44" s="48"/>
      <c r="G44" s="46"/>
      <c r="H44" s="46"/>
      <c r="I44" s="46"/>
      <c r="J44" s="49"/>
      <c r="K44" s="50"/>
    </row>
    <row r="45" ht="14.25" customHeight="1" outlineLevel="1">
      <c r="A45" s="39">
        <v>9</v>
      </c>
      <c r="B45" s="46"/>
      <c r="C45" s="46"/>
      <c r="D45" s="46"/>
      <c r="E45" s="47"/>
      <c r="F45" s="48"/>
      <c r="G45" s="46"/>
      <c r="H45" s="46"/>
      <c r="I45" s="46"/>
      <c r="J45" s="49"/>
      <c r="K45" s="50"/>
    </row>
    <row r="46" ht="14.25" customHeight="1" outlineLevel="1">
      <c r="A46" s="45">
        <v>10</v>
      </c>
      <c r="B46" s="46"/>
      <c r="C46" s="46"/>
      <c r="D46" s="46"/>
      <c r="E46" s="47"/>
      <c r="F46" s="48"/>
      <c r="G46" s="46"/>
      <c r="H46" s="46"/>
      <c r="I46" s="46"/>
      <c r="J46" s="49"/>
      <c r="K46" s="50"/>
    </row>
    <row r="47" ht="14.25" customHeight="1" outlineLevel="1">
      <c r="A47" s="45">
        <v>11</v>
      </c>
      <c r="B47" s="46"/>
      <c r="C47" s="46"/>
      <c r="D47" s="46"/>
      <c r="E47" s="47"/>
      <c r="F47" s="48"/>
      <c r="G47" s="46"/>
      <c r="H47" s="46"/>
      <c r="I47" s="46"/>
      <c r="J47" s="49"/>
      <c r="K47" s="50"/>
    </row>
    <row r="48" ht="14.25" customHeight="1" outlineLevel="1">
      <c r="A48" s="45">
        <v>12</v>
      </c>
      <c r="B48" s="46"/>
      <c r="C48" s="46"/>
      <c r="D48" s="46"/>
      <c r="E48" s="47"/>
      <c r="F48" s="48"/>
      <c r="G48" s="46"/>
      <c r="H48" s="46"/>
      <c r="I48" s="46"/>
      <c r="J48" s="49"/>
      <c r="K48" s="50"/>
    </row>
    <row r="49" ht="14.25" customHeight="1" outlineLevel="1">
      <c r="A49" s="45">
        <v>13</v>
      </c>
      <c r="B49" s="46"/>
      <c r="C49" s="46"/>
      <c r="D49" s="46"/>
      <c r="E49" s="47"/>
      <c r="F49" s="48"/>
      <c r="G49" s="46"/>
      <c r="H49" s="46"/>
      <c r="I49" s="46"/>
      <c r="J49" s="49"/>
      <c r="K49" s="50"/>
    </row>
    <row r="50" ht="14.25" customHeight="1" outlineLevel="1">
      <c r="A50" s="45">
        <v>14</v>
      </c>
      <c r="B50" s="46"/>
      <c r="C50" s="46"/>
      <c r="D50" s="46"/>
      <c r="E50" s="47"/>
      <c r="F50" s="48"/>
      <c r="G50" s="46"/>
      <c r="H50" s="46"/>
      <c r="I50" s="46"/>
      <c r="J50" s="49"/>
      <c r="K50" s="50"/>
    </row>
    <row r="51" ht="14.25" customHeight="1" outlineLevel="1">
      <c r="A51" s="45">
        <v>15</v>
      </c>
      <c r="B51" s="46"/>
      <c r="C51" s="46"/>
      <c r="D51" s="46"/>
      <c r="E51" s="47"/>
      <c r="F51" s="48"/>
      <c r="G51" s="46"/>
      <c r="H51" s="46"/>
      <c r="I51" s="46"/>
      <c r="J51" s="49"/>
      <c r="K51" s="50"/>
    </row>
    <row r="52" s="34" customFormat="1" ht="25.5" customHeight="1" outlineLevel="1">
      <c r="A52" s="35"/>
      <c r="B52" s="37" t="s">
        <v>24</v>
      </c>
      <c r="C52" s="37"/>
      <c r="D52" s="37"/>
      <c r="E52" s="37"/>
      <c r="F52" s="37"/>
      <c r="G52" s="37"/>
      <c r="H52" s="37"/>
      <c r="I52" s="37"/>
      <c r="J52" s="37"/>
      <c r="K52" s="38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</row>
    <row r="53" ht="14.25" customHeight="1" outlineLevel="1">
      <c r="A53" s="51">
        <v>1</v>
      </c>
      <c r="B53" s="52"/>
      <c r="C53" s="52"/>
      <c r="D53" s="52"/>
      <c r="E53" s="53"/>
      <c r="F53" s="54"/>
      <c r="G53" s="52"/>
      <c r="H53" s="52"/>
      <c r="I53" s="52"/>
      <c r="J53" s="55"/>
      <c r="K53" s="56"/>
    </row>
    <row r="54" ht="14.25" customHeight="1" outlineLevel="1">
      <c r="A54" s="45">
        <v>2</v>
      </c>
      <c r="B54" s="46"/>
      <c r="C54" s="46"/>
      <c r="D54" s="46"/>
      <c r="E54" s="47"/>
      <c r="F54" s="48"/>
      <c r="G54" s="46"/>
      <c r="H54" s="46"/>
      <c r="I54" s="46"/>
      <c r="J54" s="49"/>
      <c r="K54" s="50"/>
    </row>
    <row r="55" ht="14.25" customHeight="1" outlineLevel="1">
      <c r="A55" s="45">
        <v>3</v>
      </c>
      <c r="B55" s="46"/>
      <c r="C55" s="46"/>
      <c r="D55" s="46"/>
      <c r="E55" s="47"/>
      <c r="F55" s="48"/>
      <c r="G55" s="46"/>
      <c r="H55" s="46"/>
      <c r="I55" s="46"/>
      <c r="J55" s="49"/>
      <c r="K55" s="50"/>
    </row>
    <row r="56" ht="14.25" customHeight="1" outlineLevel="1">
      <c r="A56" s="45">
        <v>4</v>
      </c>
      <c r="B56" s="46"/>
      <c r="C56" s="46"/>
      <c r="D56" s="46"/>
      <c r="E56" s="47"/>
      <c r="F56" s="48"/>
      <c r="G56" s="46"/>
      <c r="H56" s="46"/>
      <c r="I56" s="46"/>
      <c r="J56" s="49"/>
      <c r="K56" s="50"/>
    </row>
    <row r="57" ht="14.25" customHeight="1" outlineLevel="1">
      <c r="A57" s="45">
        <v>5</v>
      </c>
      <c r="B57" s="46"/>
      <c r="C57" s="46"/>
      <c r="D57" s="46"/>
      <c r="E57" s="47"/>
      <c r="F57" s="48"/>
      <c r="G57" s="46"/>
      <c r="H57" s="46"/>
      <c r="I57" s="46"/>
      <c r="J57" s="49"/>
      <c r="K57" s="50"/>
    </row>
    <row r="58" ht="14.25" customHeight="1" outlineLevel="1">
      <c r="A58" s="45">
        <v>6</v>
      </c>
      <c r="B58" s="46"/>
      <c r="C58" s="46"/>
      <c r="D58" s="46"/>
      <c r="E58" s="47"/>
      <c r="F58" s="48"/>
      <c r="G58" s="46"/>
      <c r="H58" s="46"/>
      <c r="I58" s="46"/>
      <c r="J58" s="49"/>
      <c r="K58" s="50"/>
    </row>
    <row r="59" ht="14.25" customHeight="1" outlineLevel="1">
      <c r="A59" s="45">
        <v>7</v>
      </c>
      <c r="B59" s="46"/>
      <c r="C59" s="46"/>
      <c r="D59" s="46"/>
      <c r="E59" s="47"/>
      <c r="F59" s="48"/>
      <c r="G59" s="46"/>
      <c r="H59" s="46"/>
      <c r="I59" s="46"/>
      <c r="J59" s="49"/>
      <c r="K59" s="50"/>
    </row>
    <row r="60" ht="14.25" customHeight="1" outlineLevel="1">
      <c r="A60" s="45">
        <v>8</v>
      </c>
      <c r="B60" s="46"/>
      <c r="C60" s="46"/>
      <c r="D60" s="46"/>
      <c r="E60" s="47"/>
      <c r="F60" s="48"/>
      <c r="G60" s="46"/>
      <c r="H60" s="46"/>
      <c r="I60" s="46"/>
      <c r="J60" s="49"/>
      <c r="K60" s="50"/>
    </row>
    <row r="61" ht="14.25" customHeight="1" outlineLevel="1">
      <c r="A61" s="45">
        <v>9</v>
      </c>
      <c r="B61" s="46"/>
      <c r="C61" s="46"/>
      <c r="D61" s="46"/>
      <c r="E61" s="47"/>
      <c r="F61" s="48"/>
      <c r="G61" s="46"/>
      <c r="H61" s="46"/>
      <c r="I61" s="46"/>
      <c r="J61" s="49"/>
      <c r="K61" s="50"/>
    </row>
    <row r="62" ht="14.25" customHeight="1" outlineLevel="1">
      <c r="A62" s="45">
        <v>10</v>
      </c>
      <c r="B62" s="46"/>
      <c r="C62" s="46"/>
      <c r="D62" s="46"/>
      <c r="E62" s="47"/>
      <c r="F62" s="48"/>
      <c r="G62" s="46"/>
      <c r="H62" s="46"/>
      <c r="I62" s="46"/>
      <c r="J62" s="49"/>
      <c r="K62" s="50"/>
    </row>
    <row r="63" ht="14.25" customHeight="1" outlineLevel="1">
      <c r="A63" s="45">
        <v>11</v>
      </c>
      <c r="B63" s="46"/>
      <c r="C63" s="46"/>
      <c r="D63" s="46"/>
      <c r="E63" s="47"/>
      <c r="F63" s="48"/>
      <c r="G63" s="46"/>
      <c r="H63" s="46"/>
      <c r="I63" s="46"/>
      <c r="J63" s="49"/>
      <c r="K63" s="50"/>
    </row>
    <row r="64" ht="14.25" customHeight="1" outlineLevel="1">
      <c r="A64" s="45">
        <v>12</v>
      </c>
      <c r="B64" s="46"/>
      <c r="C64" s="46"/>
      <c r="D64" s="46"/>
      <c r="E64" s="47"/>
      <c r="F64" s="48"/>
      <c r="G64" s="46"/>
      <c r="H64" s="46"/>
      <c r="I64" s="46"/>
      <c r="J64" s="49"/>
      <c r="K64" s="50"/>
    </row>
    <row r="65" ht="14.25" customHeight="1" outlineLevel="1">
      <c r="A65" s="45">
        <v>13</v>
      </c>
      <c r="B65" s="46"/>
      <c r="C65" s="46"/>
      <c r="D65" s="46"/>
      <c r="E65" s="47"/>
      <c r="F65" s="48"/>
      <c r="G65" s="46"/>
      <c r="H65" s="46"/>
      <c r="I65" s="46"/>
      <c r="J65" s="49"/>
      <c r="K65" s="50"/>
    </row>
    <row r="66" ht="14.25" customHeight="1" outlineLevel="1">
      <c r="A66" s="45">
        <v>14</v>
      </c>
      <c r="B66" s="46"/>
      <c r="C66" s="46"/>
      <c r="D66" s="46"/>
      <c r="E66" s="47"/>
      <c r="F66" s="48"/>
      <c r="G66" s="46"/>
      <c r="H66" s="46"/>
      <c r="I66" s="46"/>
      <c r="J66" s="49"/>
      <c r="K66" s="50"/>
    </row>
    <row r="67" ht="14.25" customHeight="1" outlineLevel="1">
      <c r="A67" s="45">
        <v>15</v>
      </c>
      <c r="B67" s="57"/>
      <c r="C67" s="57"/>
      <c r="D67" s="57"/>
      <c r="E67" s="58"/>
      <c r="F67" s="59"/>
      <c r="G67" s="57"/>
      <c r="H67" s="57"/>
      <c r="I67" s="57"/>
      <c r="J67" s="60"/>
      <c r="K67" s="61"/>
    </row>
    <row r="68" s="34" customFormat="1" ht="25.5" customHeight="1" outlineLevel="1">
      <c r="A68" s="35"/>
      <c r="B68" s="36" t="s">
        <v>25</v>
      </c>
      <c r="C68" s="37"/>
      <c r="D68" s="37"/>
      <c r="E68" s="37"/>
      <c r="F68" s="37"/>
      <c r="G68" s="37"/>
      <c r="H68" s="37"/>
      <c r="I68" s="37"/>
      <c r="J68" s="37"/>
      <c r="K68" s="38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</row>
    <row r="69" ht="28.5" outlineLevel="1">
      <c r="A69" s="45">
        <v>1</v>
      </c>
      <c r="B69" s="46" t="s">
        <v>157</v>
      </c>
      <c r="C69" s="46" t="s">
        <v>238</v>
      </c>
      <c r="D69" s="46" t="s">
        <v>239</v>
      </c>
      <c r="E69" s="373">
        <v>99378.320000000007</v>
      </c>
      <c r="F69" s="54" t="s">
        <v>533</v>
      </c>
      <c r="G69" s="52" t="s">
        <v>260</v>
      </c>
      <c r="H69" s="52"/>
      <c r="I69" s="52"/>
      <c r="J69" s="55" t="s">
        <v>46</v>
      </c>
      <c r="K69" s="56"/>
    </row>
    <row r="70" ht="14.25" customHeight="1" outlineLevel="1">
      <c r="A70" s="45">
        <v>2</v>
      </c>
      <c r="B70" s="46"/>
      <c r="C70" s="46"/>
      <c r="D70" s="46"/>
      <c r="E70" s="47"/>
      <c r="F70" s="48"/>
      <c r="G70" s="46"/>
      <c r="H70" s="46"/>
      <c r="I70" s="46"/>
      <c r="J70" s="49"/>
      <c r="K70" s="50"/>
    </row>
    <row r="71" ht="14.25" customHeight="1" outlineLevel="1">
      <c r="A71" s="45">
        <v>3</v>
      </c>
      <c r="B71" s="46"/>
      <c r="C71" s="46"/>
      <c r="D71" s="46"/>
      <c r="E71" s="47"/>
      <c r="F71" s="48"/>
      <c r="G71" s="46"/>
      <c r="H71" s="46"/>
      <c r="I71" s="46"/>
      <c r="J71" s="49"/>
      <c r="K71" s="50"/>
    </row>
    <row r="72" ht="14.25" customHeight="1" outlineLevel="1">
      <c r="A72" s="45">
        <v>4</v>
      </c>
      <c r="B72" s="46"/>
      <c r="C72" s="46"/>
      <c r="D72" s="46"/>
      <c r="E72" s="47"/>
      <c r="F72" s="48"/>
      <c r="G72" s="46"/>
      <c r="H72" s="46"/>
      <c r="I72" s="46"/>
      <c r="J72" s="49"/>
      <c r="K72" s="50"/>
    </row>
    <row r="73" ht="14.25" customHeight="1" outlineLevel="1">
      <c r="A73" s="45">
        <v>5</v>
      </c>
      <c r="B73" s="46"/>
      <c r="C73" s="46"/>
      <c r="D73" s="46"/>
      <c r="E73" s="47"/>
      <c r="F73" s="48"/>
      <c r="G73" s="46"/>
      <c r="H73" s="46"/>
      <c r="I73" s="46"/>
      <c r="J73" s="49"/>
      <c r="K73" s="50"/>
    </row>
    <row r="74" ht="14.25" customHeight="1" outlineLevel="1">
      <c r="A74" s="45">
        <v>6</v>
      </c>
      <c r="B74" s="46"/>
      <c r="C74" s="46"/>
      <c r="D74" s="46"/>
      <c r="E74" s="47"/>
      <c r="F74" s="48"/>
      <c r="G74" s="46"/>
      <c r="H74" s="46"/>
      <c r="I74" s="46"/>
      <c r="J74" s="49"/>
      <c r="K74" s="50"/>
    </row>
    <row r="75" ht="14.25" customHeight="1" outlineLevel="1">
      <c r="A75" s="45">
        <v>7</v>
      </c>
      <c r="B75" s="46"/>
      <c r="C75" s="46"/>
      <c r="D75" s="46"/>
      <c r="E75" s="47"/>
      <c r="F75" s="48"/>
      <c r="G75" s="46"/>
      <c r="H75" s="46"/>
      <c r="I75" s="46"/>
      <c r="J75" s="49"/>
      <c r="K75" s="50"/>
    </row>
    <row r="76" ht="14.25" customHeight="1" outlineLevel="1">
      <c r="A76" s="45">
        <v>8</v>
      </c>
      <c r="B76" s="46"/>
      <c r="C76" s="46"/>
      <c r="D76" s="46"/>
      <c r="E76" s="47"/>
      <c r="F76" s="48"/>
      <c r="G76" s="46"/>
      <c r="H76" s="46"/>
      <c r="I76" s="46"/>
      <c r="J76" s="49"/>
      <c r="K76" s="50"/>
    </row>
    <row r="77" ht="14.25" customHeight="1" outlineLevel="1">
      <c r="A77" s="45">
        <v>9</v>
      </c>
      <c r="B77" s="46"/>
      <c r="C77" s="46"/>
      <c r="D77" s="46"/>
      <c r="E77" s="47"/>
      <c r="F77" s="48"/>
      <c r="G77" s="46"/>
      <c r="H77" s="46"/>
      <c r="I77" s="46"/>
      <c r="J77" s="49"/>
      <c r="K77" s="50"/>
    </row>
    <row r="78" ht="14.25" customHeight="1" outlineLevel="1">
      <c r="A78" s="45">
        <v>10</v>
      </c>
      <c r="B78" s="46"/>
      <c r="C78" s="46"/>
      <c r="D78" s="46"/>
      <c r="E78" s="47"/>
      <c r="F78" s="48"/>
      <c r="G78" s="46"/>
      <c r="H78" s="46"/>
      <c r="I78" s="46"/>
      <c r="J78" s="49"/>
      <c r="K78" s="50"/>
    </row>
    <row r="79" ht="14.25" customHeight="1" outlineLevel="1">
      <c r="A79" s="45">
        <v>11</v>
      </c>
      <c r="B79" s="46"/>
      <c r="C79" s="46"/>
      <c r="D79" s="46"/>
      <c r="E79" s="47"/>
      <c r="F79" s="48"/>
      <c r="G79" s="46"/>
      <c r="H79" s="46"/>
      <c r="I79" s="46"/>
      <c r="J79" s="49"/>
      <c r="K79" s="50"/>
    </row>
    <row r="80" ht="14.25" customHeight="1" outlineLevel="1">
      <c r="A80" s="45">
        <v>12</v>
      </c>
      <c r="B80" s="46"/>
      <c r="C80" s="46"/>
      <c r="D80" s="46"/>
      <c r="E80" s="47"/>
      <c r="F80" s="48"/>
      <c r="G80" s="46"/>
      <c r="H80" s="46"/>
      <c r="I80" s="46"/>
      <c r="J80" s="49"/>
      <c r="K80" s="50"/>
    </row>
    <row r="81" ht="14.25" customHeight="1" outlineLevel="1">
      <c r="A81" s="45">
        <v>13</v>
      </c>
      <c r="B81" s="46"/>
      <c r="C81" s="46"/>
      <c r="D81" s="46"/>
      <c r="E81" s="47"/>
      <c r="F81" s="48"/>
      <c r="G81" s="46"/>
      <c r="H81" s="46"/>
      <c r="I81" s="46"/>
      <c r="J81" s="49"/>
      <c r="K81" s="50"/>
    </row>
    <row r="82" ht="14.25" customHeight="1" outlineLevel="1">
      <c r="A82" s="45">
        <v>14</v>
      </c>
      <c r="B82" s="46"/>
      <c r="C82" s="46"/>
      <c r="D82" s="46"/>
      <c r="E82" s="47"/>
      <c r="F82" s="48"/>
      <c r="G82" s="46"/>
      <c r="H82" s="46"/>
      <c r="I82" s="46"/>
      <c r="J82" s="49"/>
      <c r="K82" s="50"/>
    </row>
    <row r="83" ht="14.25" customHeight="1" outlineLevel="1">
      <c r="A83" s="45">
        <v>15</v>
      </c>
      <c r="B83" s="46"/>
      <c r="C83" s="46"/>
      <c r="D83" s="46"/>
      <c r="E83" s="47"/>
      <c r="F83" s="48"/>
      <c r="G83" s="46"/>
      <c r="H83" s="46"/>
      <c r="I83" s="46"/>
      <c r="J83" s="49"/>
      <c r="K83" s="50"/>
    </row>
    <row r="84" s="34" customFormat="1" ht="25.5" customHeight="1" outlineLevel="1">
      <c r="A84" s="35"/>
      <c r="B84" s="36" t="s">
        <v>26</v>
      </c>
      <c r="C84" s="37"/>
      <c r="D84" s="37"/>
      <c r="E84" s="37"/>
      <c r="F84" s="37"/>
      <c r="G84" s="37"/>
      <c r="H84" s="37"/>
      <c r="I84" s="37"/>
      <c r="J84" s="37"/>
      <c r="K84" s="38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</row>
    <row r="85" ht="14.25" customHeight="1" outlineLevel="1">
      <c r="A85" s="51">
        <v>1</v>
      </c>
      <c r="B85" s="52"/>
      <c r="C85" s="52"/>
      <c r="D85" s="52"/>
      <c r="E85" s="53"/>
      <c r="F85" s="54"/>
      <c r="G85" s="52"/>
      <c r="H85" s="52"/>
      <c r="I85" s="52"/>
      <c r="J85" s="55"/>
      <c r="K85" s="56"/>
    </row>
    <row r="86" ht="14.25" customHeight="1" outlineLevel="1">
      <c r="A86" s="39">
        <v>2</v>
      </c>
      <c r="B86" s="40"/>
      <c r="C86" s="40" t="s">
        <v>348</v>
      </c>
      <c r="D86" s="40"/>
      <c r="E86" s="384">
        <v>60000</v>
      </c>
      <c r="F86" s="42"/>
      <c r="G86" s="40"/>
      <c r="H86" s="40"/>
      <c r="I86" s="40"/>
      <c r="J86" s="43" t="s">
        <v>46</v>
      </c>
      <c r="K86" s="44"/>
    </row>
    <row r="87" ht="14.25" customHeight="1" outlineLevel="1">
      <c r="A87" s="39">
        <v>3</v>
      </c>
      <c r="B87" s="40"/>
      <c r="C87" s="40"/>
      <c r="D87" s="40"/>
      <c r="E87" s="41"/>
      <c r="F87" s="42"/>
      <c r="G87" s="40"/>
      <c r="H87" s="40"/>
      <c r="I87" s="40"/>
      <c r="J87" s="43"/>
      <c r="K87" s="44"/>
    </row>
    <row r="88" ht="14.25" customHeight="1" outlineLevel="1">
      <c r="A88" s="45">
        <v>4</v>
      </c>
      <c r="B88" s="46"/>
      <c r="C88" s="46"/>
      <c r="D88" s="46"/>
      <c r="E88" s="47"/>
      <c r="F88" s="48"/>
      <c r="G88" s="46"/>
      <c r="H88" s="46"/>
      <c r="I88" s="46"/>
      <c r="J88" s="49"/>
      <c r="K88" s="50"/>
    </row>
    <row r="89" ht="15" customHeight="1" outlineLevel="1">
      <c r="A89" s="62">
        <v>5</v>
      </c>
      <c r="B89" s="57"/>
      <c r="C89" s="57"/>
      <c r="D89" s="57"/>
      <c r="E89" s="58"/>
      <c r="F89" s="59"/>
      <c r="G89" s="57"/>
      <c r="H89" s="57"/>
      <c r="I89" s="57"/>
      <c r="J89" s="60"/>
      <c r="K89" s="61"/>
    </row>
    <row r="90" ht="23.100000000000001" customHeight="1">
      <c r="A90" s="63" t="s">
        <v>27</v>
      </c>
      <c r="B90" s="64"/>
      <c r="C90" s="64"/>
      <c r="D90" s="64"/>
      <c r="E90" s="65">
        <f>SUM(E16:E89)</f>
        <v>30354153.32</v>
      </c>
      <c r="G90" s="426"/>
      <c r="H90" s="426"/>
      <c r="I90" s="427"/>
      <c r="J90" s="427"/>
    </row>
    <row r="91" ht="23.100000000000001" customHeight="1">
      <c r="A91" s="63" t="s">
        <v>28</v>
      </c>
      <c r="B91" s="64"/>
      <c r="C91" s="64"/>
      <c r="D91" s="64"/>
      <c r="E91" s="65">
        <f>E4-E90</f>
        <v>-3903511.6799999997</v>
      </c>
      <c r="F91" s="428"/>
      <c r="G91" s="429"/>
      <c r="H91" s="429"/>
      <c r="I91" s="430"/>
      <c r="J91" s="431"/>
      <c r="K91" s="429"/>
    </row>
    <row r="92" ht="30.75" customHeight="1">
      <c r="A92" s="66"/>
      <c r="B92" s="432"/>
      <c r="C92" s="433"/>
      <c r="D92" s="433"/>
      <c r="E92" s="432"/>
      <c r="F92" s="434"/>
      <c r="G92" s="430"/>
      <c r="H92" s="435"/>
      <c r="I92" s="430"/>
      <c r="J92" s="430"/>
      <c r="K92" s="435"/>
    </row>
    <row r="93" ht="30" customHeight="1">
      <c r="A93" s="9" t="s">
        <v>515</v>
      </c>
      <c r="B93" s="10"/>
      <c r="C93" s="10"/>
      <c r="D93" s="11"/>
      <c r="E93" s="170">
        <f>SUM(E94:E94)</f>
        <v>108906.98</v>
      </c>
      <c r="F93" s="136" t="s">
        <v>39</v>
      </c>
      <c r="G93" s="68" t="s">
        <v>30</v>
      </c>
      <c r="H93" s="13"/>
      <c r="I93" s="436"/>
      <c r="J93" s="437"/>
    </row>
    <row r="94" ht="15" customHeight="1">
      <c r="A94" s="69" t="s">
        <v>31</v>
      </c>
      <c r="B94" s="70"/>
      <c r="C94" s="70"/>
      <c r="D94" s="71"/>
      <c r="E94" s="72">
        <v>108906.98</v>
      </c>
      <c r="F94" s="438" t="s">
        <v>724</v>
      </c>
      <c r="G94" s="439"/>
      <c r="H94" s="440"/>
      <c r="I94" s="13"/>
      <c r="J94" s="430"/>
      <c r="K94" s="441"/>
    </row>
    <row r="95" ht="4.5" customHeight="1">
      <c r="A95" s="13"/>
      <c r="B95" s="13"/>
      <c r="C95" s="13"/>
      <c r="D95" s="13"/>
      <c r="E95" s="13"/>
      <c r="F95" s="13"/>
      <c r="G95" s="442"/>
      <c r="H95" s="443"/>
      <c r="I95" s="443"/>
    </row>
    <row r="96" ht="25.5" customHeight="1" outlineLevel="1">
      <c r="A96" s="31" t="s">
        <v>10</v>
      </c>
      <c r="B96" s="31" t="s">
        <v>11</v>
      </c>
      <c r="C96" s="31" t="s">
        <v>12</v>
      </c>
      <c r="D96" s="31" t="s">
        <v>13</v>
      </c>
      <c r="E96" s="32" t="s">
        <v>14</v>
      </c>
      <c r="F96" s="31" t="s">
        <v>15</v>
      </c>
      <c r="G96" s="31" t="s">
        <v>16</v>
      </c>
      <c r="H96" s="33" t="s">
        <v>17</v>
      </c>
      <c r="I96" s="31" t="s">
        <v>18</v>
      </c>
      <c r="J96" s="31" t="s">
        <v>19</v>
      </c>
      <c r="K96" s="31" t="s">
        <v>32</v>
      </c>
    </row>
    <row r="97" s="34" customFormat="1" ht="25.5" customHeight="1" outlineLevel="1">
      <c r="A97" s="35"/>
      <c r="B97" s="37" t="s">
        <v>33</v>
      </c>
      <c r="C97" s="37"/>
      <c r="D97" s="37"/>
      <c r="E97" s="37"/>
      <c r="F97" s="37"/>
      <c r="G97" s="37"/>
      <c r="H97" s="37"/>
      <c r="I97" s="37"/>
      <c r="J97" s="37"/>
      <c r="K97" s="38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I97" s="444"/>
    </row>
    <row r="98" ht="14.25" customHeight="1" outlineLevel="1">
      <c r="A98" s="39">
        <v>1</v>
      </c>
      <c r="B98" s="52"/>
      <c r="C98" s="52"/>
      <c r="D98" s="52"/>
      <c r="E98" s="53"/>
      <c r="F98" s="54"/>
      <c r="G98" s="52"/>
      <c r="H98" s="52"/>
      <c r="I98" s="52"/>
      <c r="J98" s="55"/>
      <c r="K98" s="56"/>
    </row>
    <row r="99" ht="14.25" customHeight="1" outlineLevel="1">
      <c r="A99" s="39">
        <v>2</v>
      </c>
      <c r="B99" s="46"/>
      <c r="C99" s="46"/>
      <c r="D99" s="46"/>
      <c r="E99" s="47"/>
      <c r="F99" s="48"/>
      <c r="G99" s="46"/>
      <c r="H99" s="46"/>
      <c r="I99" s="46"/>
      <c r="J99" s="49"/>
      <c r="K99" s="50"/>
    </row>
    <row r="100" ht="14.25" customHeight="1" outlineLevel="1">
      <c r="A100" s="39">
        <v>3</v>
      </c>
      <c r="B100" s="46"/>
      <c r="C100" s="46"/>
      <c r="D100" s="46"/>
      <c r="E100" s="47"/>
      <c r="F100" s="48"/>
      <c r="G100" s="46"/>
      <c r="H100" s="46"/>
      <c r="I100" s="46"/>
      <c r="J100" s="49"/>
      <c r="K100" s="50"/>
    </row>
    <row r="101" ht="14.25" customHeight="1" outlineLevel="1">
      <c r="A101" s="39">
        <v>4</v>
      </c>
      <c r="B101" s="46"/>
      <c r="C101" s="46"/>
      <c r="D101" s="46"/>
      <c r="E101" s="47"/>
      <c r="F101" s="48"/>
      <c r="G101" s="46"/>
      <c r="H101" s="46"/>
      <c r="I101" s="46"/>
      <c r="J101" s="49"/>
      <c r="K101" s="50"/>
    </row>
    <row r="102" ht="14.25" customHeight="1" outlineLevel="1">
      <c r="A102" s="39">
        <v>5</v>
      </c>
      <c r="B102" s="46"/>
      <c r="C102" s="46"/>
      <c r="D102" s="46"/>
      <c r="E102" s="47"/>
      <c r="F102" s="48"/>
      <c r="G102" s="46"/>
      <c r="H102" s="46"/>
      <c r="I102" s="46"/>
      <c r="J102" s="49"/>
      <c r="K102" s="50"/>
    </row>
    <row r="103" ht="14.25" customHeight="1" outlineLevel="1">
      <c r="A103" s="39">
        <v>6</v>
      </c>
      <c r="B103" s="46"/>
      <c r="C103" s="46"/>
      <c r="D103" s="46"/>
      <c r="E103" s="47"/>
      <c r="F103" s="48"/>
      <c r="G103" s="46"/>
      <c r="H103" s="46"/>
      <c r="I103" s="46"/>
      <c r="J103" s="49"/>
      <c r="K103" s="50"/>
    </row>
    <row r="104" ht="14.25" customHeight="1" outlineLevel="1">
      <c r="A104" s="39">
        <v>7</v>
      </c>
      <c r="B104" s="46"/>
      <c r="C104" s="46"/>
      <c r="D104" s="46"/>
      <c r="E104" s="47"/>
      <c r="F104" s="48"/>
      <c r="G104" s="46"/>
      <c r="H104" s="46"/>
      <c r="I104" s="46"/>
      <c r="J104" s="49"/>
      <c r="K104" s="50"/>
    </row>
    <row r="105" ht="14.25" customHeight="1" outlineLevel="1">
      <c r="A105" s="39">
        <v>8</v>
      </c>
      <c r="B105" s="46"/>
      <c r="C105" s="46"/>
      <c r="D105" s="46"/>
      <c r="E105" s="47"/>
      <c r="F105" s="48"/>
      <c r="G105" s="46"/>
      <c r="H105" s="46"/>
      <c r="I105" s="46"/>
      <c r="J105" s="49"/>
      <c r="K105" s="50"/>
    </row>
    <row r="106" ht="14.25" customHeight="1" outlineLevel="1">
      <c r="A106" s="39">
        <v>9</v>
      </c>
      <c r="B106" s="46"/>
      <c r="C106" s="46"/>
      <c r="D106" s="46"/>
      <c r="E106" s="47"/>
      <c r="F106" s="48"/>
      <c r="G106" s="46"/>
      <c r="H106" s="46"/>
      <c r="I106" s="46"/>
      <c r="J106" s="49"/>
      <c r="K106" s="50"/>
    </row>
    <row r="107" ht="14.25" customHeight="1" outlineLevel="1">
      <c r="A107" s="39">
        <v>10</v>
      </c>
      <c r="B107" s="46"/>
      <c r="C107" s="46"/>
      <c r="D107" s="46"/>
      <c r="E107" s="47"/>
      <c r="F107" s="48"/>
      <c r="G107" s="46"/>
      <c r="H107" s="46"/>
      <c r="I107" s="46"/>
      <c r="J107" s="49"/>
      <c r="K107" s="50"/>
    </row>
    <row r="108" ht="14.25" customHeight="1" outlineLevel="1">
      <c r="A108" s="39">
        <v>11</v>
      </c>
      <c r="B108" s="46"/>
      <c r="C108" s="46"/>
      <c r="D108" s="46"/>
      <c r="E108" s="47"/>
      <c r="F108" s="48"/>
      <c r="G108" s="46"/>
      <c r="H108" s="46"/>
      <c r="I108" s="46"/>
      <c r="J108" s="49"/>
      <c r="K108" s="50"/>
    </row>
    <row r="109" ht="14.25" customHeight="1" outlineLevel="1">
      <c r="A109" s="39">
        <v>12</v>
      </c>
      <c r="B109" s="46"/>
      <c r="C109" s="46"/>
      <c r="D109" s="46"/>
      <c r="E109" s="47"/>
      <c r="F109" s="48"/>
      <c r="G109" s="46"/>
      <c r="H109" s="46"/>
      <c r="I109" s="46"/>
      <c r="J109" s="49"/>
      <c r="K109" s="50"/>
    </row>
    <row r="110" ht="14.25" customHeight="1" outlineLevel="1">
      <c r="A110" s="39">
        <v>13</v>
      </c>
      <c r="B110" s="46"/>
      <c r="C110" s="46"/>
      <c r="D110" s="46"/>
      <c r="E110" s="47"/>
      <c r="F110" s="48"/>
      <c r="G110" s="46"/>
      <c r="H110" s="46"/>
      <c r="I110" s="46"/>
      <c r="J110" s="49"/>
      <c r="K110" s="50"/>
    </row>
    <row r="111" ht="14.25" customHeight="1" outlineLevel="1">
      <c r="A111" s="39">
        <v>14</v>
      </c>
      <c r="B111" s="46"/>
      <c r="C111" s="46"/>
      <c r="D111" s="46"/>
      <c r="E111" s="47">
        <v>100000</v>
      </c>
      <c r="F111" s="48"/>
      <c r="G111" s="46"/>
      <c r="H111" s="46"/>
      <c r="I111" s="46"/>
      <c r="J111" s="49"/>
      <c r="K111" s="50"/>
    </row>
    <row r="112" ht="14.25" customHeight="1" outlineLevel="1">
      <c r="A112" s="39">
        <v>15</v>
      </c>
      <c r="B112" s="57"/>
      <c r="C112" s="57"/>
      <c r="D112" s="57"/>
      <c r="E112" s="58"/>
      <c r="F112" s="59"/>
      <c r="G112" s="57"/>
      <c r="H112" s="57"/>
      <c r="I112" s="57"/>
      <c r="J112" s="60"/>
      <c r="K112" s="61"/>
    </row>
    <row r="113" s="34" customFormat="1" ht="25.5" customHeight="1" outlineLevel="1">
      <c r="A113" s="35"/>
      <c r="B113" s="37" t="s">
        <v>25</v>
      </c>
      <c r="C113" s="37"/>
      <c r="D113" s="37"/>
      <c r="E113" s="37"/>
      <c r="F113" s="37"/>
      <c r="G113" s="37"/>
      <c r="H113" s="37"/>
      <c r="I113" s="37"/>
      <c r="J113" s="37"/>
      <c r="K113" s="38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I113" s="444"/>
    </row>
    <row r="114" ht="14.25" customHeight="1" outlineLevel="1">
      <c r="A114" s="127">
        <v>1</v>
      </c>
      <c r="B114" s="198" t="s">
        <v>223</v>
      </c>
      <c r="C114" s="199" t="s">
        <v>241</v>
      </c>
      <c r="D114" s="200" t="s">
        <v>239</v>
      </c>
      <c r="E114" s="445">
        <v>55488.18</v>
      </c>
      <c r="F114" s="54" t="s">
        <v>623</v>
      </c>
      <c r="G114" s="46" t="s">
        <v>260</v>
      </c>
      <c r="H114" s="52"/>
      <c r="I114" s="52"/>
      <c r="J114" s="55" t="s">
        <v>46</v>
      </c>
      <c r="K114" s="56"/>
    </row>
    <row r="115" ht="14.25" customHeight="1" outlineLevel="1">
      <c r="A115" s="45">
        <v>2</v>
      </c>
      <c r="B115" s="40" t="s">
        <v>526</v>
      </c>
      <c r="C115" s="40" t="s">
        <v>725</v>
      </c>
      <c r="D115" s="40" t="s">
        <v>373</v>
      </c>
      <c r="E115" s="272">
        <v>7700</v>
      </c>
      <c r="F115" s="48" t="s">
        <v>527</v>
      </c>
      <c r="G115" s="46" t="s">
        <v>260</v>
      </c>
      <c r="H115" s="46"/>
      <c r="I115" s="46"/>
      <c r="J115" s="49" t="s">
        <v>46</v>
      </c>
      <c r="K115" s="50"/>
    </row>
    <row r="116" ht="14.25" customHeight="1" outlineLevel="1">
      <c r="A116" s="45">
        <v>3</v>
      </c>
      <c r="B116" s="46" t="s">
        <v>526</v>
      </c>
      <c r="C116" s="46" t="s">
        <v>726</v>
      </c>
      <c r="D116" s="46" t="s">
        <v>373</v>
      </c>
      <c r="E116" s="272">
        <v>999.60000000000002</v>
      </c>
      <c r="F116" s="48" t="s">
        <v>527</v>
      </c>
      <c r="G116" s="108" t="s">
        <v>358</v>
      </c>
      <c r="H116" s="46"/>
      <c r="I116" s="46"/>
      <c r="J116" s="49" t="s">
        <v>46</v>
      </c>
      <c r="K116" s="50"/>
    </row>
    <row r="117" ht="14.25" customHeight="1" outlineLevel="1">
      <c r="A117" s="45">
        <v>4</v>
      </c>
      <c r="B117" s="46"/>
      <c r="C117" s="46"/>
      <c r="D117" s="46"/>
      <c r="E117" s="47"/>
      <c r="F117" s="48"/>
      <c r="G117" s="46"/>
      <c r="H117" s="46"/>
      <c r="I117" s="46"/>
      <c r="J117" s="49"/>
      <c r="K117" s="50"/>
    </row>
    <row r="118" ht="14.25" customHeight="1" outlineLevel="1">
      <c r="A118" s="45">
        <v>5</v>
      </c>
      <c r="B118" s="46"/>
      <c r="C118" s="46"/>
      <c r="D118" s="46"/>
      <c r="E118" s="47"/>
      <c r="F118" s="48"/>
      <c r="G118" s="46"/>
      <c r="H118" s="46"/>
      <c r="I118" s="46"/>
      <c r="J118" s="49"/>
      <c r="K118" s="50"/>
    </row>
    <row r="119" ht="14.25" customHeight="1" outlineLevel="1">
      <c r="A119" s="45">
        <v>6</v>
      </c>
      <c r="B119" s="46"/>
      <c r="C119" s="46"/>
      <c r="D119" s="46"/>
      <c r="E119" s="47"/>
      <c r="F119" s="48"/>
      <c r="G119" s="46"/>
      <c r="H119" s="46"/>
      <c r="I119" s="46"/>
      <c r="J119" s="49"/>
      <c r="K119" s="50"/>
    </row>
    <row r="120" ht="14.25" customHeight="1" outlineLevel="1">
      <c r="A120" s="45">
        <v>7</v>
      </c>
      <c r="B120" s="46"/>
      <c r="C120" s="46"/>
      <c r="D120" s="46"/>
      <c r="E120" s="47"/>
      <c r="F120" s="48"/>
      <c r="G120" s="46"/>
      <c r="H120" s="46"/>
      <c r="I120" s="46"/>
      <c r="J120" s="49"/>
      <c r="K120" s="50"/>
    </row>
    <row r="121" ht="14.25" customHeight="1" outlineLevel="1">
      <c r="A121" s="45">
        <v>8</v>
      </c>
      <c r="B121" s="46"/>
      <c r="C121" s="46"/>
      <c r="D121" s="46"/>
      <c r="E121" s="47"/>
      <c r="F121" s="48"/>
      <c r="G121" s="46"/>
      <c r="H121" s="46"/>
      <c r="I121" s="46"/>
      <c r="J121" s="49"/>
      <c r="K121" s="50"/>
    </row>
    <row r="122" ht="14.25" customHeight="1" outlineLevel="1">
      <c r="A122" s="45">
        <v>9</v>
      </c>
      <c r="B122" s="46"/>
      <c r="C122" s="46"/>
      <c r="D122" s="46"/>
      <c r="E122" s="47"/>
      <c r="F122" s="48"/>
      <c r="G122" s="46"/>
      <c r="H122" s="46"/>
      <c r="I122" s="46"/>
      <c r="J122" s="49"/>
      <c r="K122" s="50"/>
    </row>
    <row r="123" ht="14.25" customHeight="1" outlineLevel="1">
      <c r="A123" s="62">
        <v>10</v>
      </c>
      <c r="B123" s="57"/>
      <c r="C123" s="57"/>
      <c r="D123" s="57"/>
      <c r="E123" s="58"/>
      <c r="F123" s="59"/>
      <c r="G123" s="57"/>
      <c r="H123" s="57"/>
      <c r="I123" s="57"/>
      <c r="J123" s="60"/>
      <c r="K123" s="61"/>
    </row>
    <row r="124" ht="23.100000000000001" customHeight="1">
      <c r="A124" s="63" t="s">
        <v>34</v>
      </c>
      <c r="B124" s="64"/>
      <c r="C124" s="64"/>
      <c r="D124" s="73"/>
      <c r="E124" s="65">
        <f>SUM(E97:E123)</f>
        <v>164187.78</v>
      </c>
    </row>
    <row r="125" ht="23.100000000000001" customHeight="1">
      <c r="A125" s="63" t="s">
        <v>28</v>
      </c>
      <c r="B125" s="64"/>
      <c r="C125" s="64"/>
      <c r="D125" s="73"/>
      <c r="E125" s="65">
        <f>E93-E124</f>
        <v>-55280.800000000003</v>
      </c>
      <c r="F125" s="66"/>
    </row>
    <row r="126" ht="24.75" customHeight="1">
      <c r="E126" s="1"/>
    </row>
    <row r="127" ht="30" customHeight="1">
      <c r="A127" s="74" t="s">
        <v>35</v>
      </c>
      <c r="B127" s="75"/>
      <c r="C127" s="75"/>
      <c r="D127" s="76"/>
      <c r="E127" s="77">
        <f>SUM(E128:E128)</f>
        <v>164510</v>
      </c>
      <c r="F127" s="13"/>
      <c r="G127" s="13"/>
      <c r="H127" s="13"/>
      <c r="I127" s="13"/>
    </row>
    <row r="128" ht="15" customHeight="1">
      <c r="A128" s="69" t="s">
        <v>36</v>
      </c>
      <c r="B128" s="70"/>
      <c r="C128" s="70"/>
      <c r="D128" s="71"/>
      <c r="E128" s="72">
        <v>164510</v>
      </c>
      <c r="F128" s="13"/>
      <c r="G128" s="13"/>
      <c r="H128" s="13"/>
      <c r="I128" s="13"/>
    </row>
    <row r="129" ht="5.25" customHeight="1">
      <c r="A129" s="13"/>
      <c r="B129" s="13"/>
      <c r="C129" s="13"/>
      <c r="D129" s="13"/>
      <c r="E129" s="13"/>
      <c r="F129" s="13"/>
      <c r="G129" s="13"/>
      <c r="H129" s="13"/>
      <c r="I129" s="13"/>
    </row>
    <row r="130" ht="25.5" customHeight="1" outlineLevel="1">
      <c r="A130" s="31" t="s">
        <v>10</v>
      </c>
      <c r="B130" s="31" t="s">
        <v>11</v>
      </c>
      <c r="C130" s="31" t="s">
        <v>12</v>
      </c>
      <c r="D130" s="31" t="s">
        <v>13</v>
      </c>
      <c r="E130" s="32" t="s">
        <v>14</v>
      </c>
      <c r="F130" s="31" t="s">
        <v>15</v>
      </c>
      <c r="G130" s="31" t="s">
        <v>16</v>
      </c>
      <c r="H130" s="33" t="s">
        <v>17</v>
      </c>
      <c r="I130" s="31" t="s">
        <v>18</v>
      </c>
      <c r="J130" s="31" t="s">
        <v>19</v>
      </c>
      <c r="K130" s="31" t="s">
        <v>32</v>
      </c>
    </row>
    <row r="131" s="34" customFormat="1" ht="18.75" customHeight="1" outlineLevel="1">
      <c r="A131" s="78"/>
      <c r="B131" s="79" t="s">
        <v>37</v>
      </c>
      <c r="C131" s="80"/>
      <c r="D131" s="81"/>
      <c r="E131" s="82"/>
      <c r="F131" s="79"/>
      <c r="G131" s="79"/>
      <c r="H131" s="79"/>
      <c r="I131" s="79"/>
      <c r="J131" s="79"/>
      <c r="K131" s="83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</row>
    <row r="132" ht="14.25" customHeight="1" outlineLevel="1">
      <c r="A132" s="51">
        <v>1</v>
      </c>
      <c r="B132" s="52"/>
      <c r="C132" s="52"/>
      <c r="D132" s="52"/>
      <c r="E132" s="53"/>
      <c r="F132" s="54"/>
      <c r="G132" s="52"/>
      <c r="H132" s="52"/>
      <c r="I132" s="52"/>
      <c r="J132" s="55"/>
      <c r="K132" s="56"/>
    </row>
    <row r="133" ht="14.25" customHeight="1" outlineLevel="1">
      <c r="A133" s="45">
        <v>2</v>
      </c>
      <c r="B133" s="46"/>
      <c r="C133" s="46"/>
      <c r="D133" s="46"/>
      <c r="E133" s="47"/>
      <c r="F133" s="48"/>
      <c r="G133" s="46"/>
      <c r="H133" s="46"/>
      <c r="I133" s="46"/>
      <c r="J133" s="49"/>
      <c r="K133" s="50"/>
    </row>
    <row r="134" ht="14.25" customHeight="1" outlineLevel="1">
      <c r="A134" s="45">
        <v>3</v>
      </c>
      <c r="B134" s="46"/>
      <c r="C134" s="46"/>
      <c r="D134" s="46"/>
      <c r="E134" s="47"/>
      <c r="F134" s="48"/>
      <c r="G134" s="46"/>
      <c r="H134" s="46"/>
      <c r="I134" s="46"/>
      <c r="J134" s="49"/>
      <c r="K134" s="50"/>
    </row>
    <row r="135" ht="14.25" customHeight="1" outlineLevel="1">
      <c r="A135" s="45">
        <v>4</v>
      </c>
      <c r="B135" s="46"/>
      <c r="C135" s="46"/>
      <c r="D135" s="46"/>
      <c r="E135" s="47"/>
      <c r="F135" s="48"/>
      <c r="G135" s="46"/>
      <c r="H135" s="46"/>
      <c r="I135" s="46"/>
      <c r="J135" s="49"/>
      <c r="K135" s="50"/>
    </row>
    <row r="136" ht="14.25" customHeight="1" outlineLevel="1">
      <c r="A136" s="45">
        <v>5</v>
      </c>
      <c r="B136" s="46"/>
      <c r="C136" s="46"/>
      <c r="D136" s="46"/>
      <c r="E136" s="47"/>
      <c r="F136" s="48"/>
      <c r="G136" s="46"/>
      <c r="H136" s="46"/>
      <c r="I136" s="46"/>
      <c r="J136" s="49"/>
      <c r="K136" s="50"/>
    </row>
    <row r="137" ht="14.25" customHeight="1" outlineLevel="1">
      <c r="A137" s="45">
        <v>6</v>
      </c>
      <c r="B137" s="46"/>
      <c r="C137" s="46"/>
      <c r="D137" s="46"/>
      <c r="E137" s="47"/>
      <c r="F137" s="48"/>
      <c r="G137" s="46"/>
      <c r="H137" s="46"/>
      <c r="I137" s="46"/>
      <c r="J137" s="49"/>
      <c r="K137" s="50"/>
    </row>
    <row r="138" ht="14.25" customHeight="1" outlineLevel="1">
      <c r="A138" s="45">
        <v>7</v>
      </c>
      <c r="B138" s="46"/>
      <c r="C138" s="46"/>
      <c r="D138" s="46"/>
      <c r="E138" s="47"/>
      <c r="F138" s="48"/>
      <c r="G138" s="46"/>
      <c r="H138" s="46"/>
      <c r="I138" s="46"/>
      <c r="J138" s="49"/>
      <c r="K138" s="50"/>
    </row>
    <row r="139" ht="15.75" customHeight="1" outlineLevel="1">
      <c r="A139" s="45">
        <v>8</v>
      </c>
      <c r="B139" s="46"/>
      <c r="C139" s="46"/>
      <c r="D139" s="46"/>
      <c r="E139" s="47"/>
      <c r="F139" s="48"/>
      <c r="G139" s="46"/>
      <c r="H139" s="46"/>
      <c r="I139" s="46"/>
      <c r="J139" s="49"/>
      <c r="K139" s="50"/>
    </row>
    <row r="140" ht="15.75" customHeight="1" outlineLevel="1">
      <c r="A140" s="45">
        <v>9</v>
      </c>
      <c r="B140" s="46"/>
      <c r="C140" s="46"/>
      <c r="D140" s="46"/>
      <c r="E140" s="47"/>
      <c r="F140" s="48"/>
      <c r="G140" s="46"/>
      <c r="H140" s="46"/>
      <c r="I140" s="46"/>
      <c r="J140" s="49"/>
      <c r="K140" s="50"/>
    </row>
    <row r="141" ht="15.75" customHeight="1" outlineLevel="1">
      <c r="A141" s="45">
        <v>10</v>
      </c>
      <c r="B141" s="46"/>
      <c r="C141" s="46"/>
      <c r="D141" s="46"/>
      <c r="E141" s="47"/>
      <c r="F141" s="48"/>
      <c r="G141" s="46"/>
      <c r="H141" s="46"/>
      <c r="I141" s="46"/>
      <c r="J141" s="49"/>
      <c r="K141" s="50"/>
    </row>
    <row r="142" ht="15.75" customHeight="1" outlineLevel="1">
      <c r="A142" s="45">
        <v>11</v>
      </c>
      <c r="B142" s="46"/>
      <c r="C142" s="46"/>
      <c r="D142" s="46"/>
      <c r="E142" s="47"/>
      <c r="F142" s="48"/>
      <c r="G142" s="46"/>
      <c r="H142" s="46"/>
      <c r="I142" s="46"/>
      <c r="J142" s="49"/>
      <c r="K142" s="50"/>
    </row>
    <row r="143" ht="15.75" customHeight="1" outlineLevel="1">
      <c r="A143" s="45">
        <v>12</v>
      </c>
      <c r="B143" s="46"/>
      <c r="C143" s="46"/>
      <c r="D143" s="46"/>
      <c r="E143" s="47"/>
      <c r="F143" s="48"/>
      <c r="G143" s="46"/>
      <c r="H143" s="46"/>
      <c r="I143" s="46"/>
      <c r="J143" s="49"/>
      <c r="K143" s="50"/>
    </row>
    <row r="144" ht="15.75" customHeight="1" outlineLevel="1">
      <c r="A144" s="45">
        <v>13</v>
      </c>
      <c r="B144" s="46"/>
      <c r="C144" s="46"/>
      <c r="D144" s="46"/>
      <c r="E144" s="47"/>
      <c r="F144" s="48"/>
      <c r="G144" s="46"/>
      <c r="H144" s="46"/>
      <c r="I144" s="46"/>
      <c r="J144" s="49"/>
      <c r="K144" s="50"/>
    </row>
    <row r="145" ht="15.75" customHeight="1" outlineLevel="1">
      <c r="A145" s="45">
        <v>14</v>
      </c>
      <c r="B145" s="46"/>
      <c r="C145" s="46"/>
      <c r="D145" s="46"/>
      <c r="E145" s="47"/>
      <c r="F145" s="48"/>
      <c r="G145" s="46"/>
      <c r="H145" s="46"/>
      <c r="I145" s="46"/>
      <c r="J145" s="49"/>
      <c r="K145" s="50"/>
    </row>
    <row r="146" ht="15.75" customHeight="1" outlineLevel="1">
      <c r="A146" s="62">
        <v>15</v>
      </c>
      <c r="B146" s="57"/>
      <c r="C146" s="57"/>
      <c r="D146" s="57"/>
      <c r="E146" s="58"/>
      <c r="F146" s="59"/>
      <c r="G146" s="57"/>
      <c r="H146" s="57"/>
      <c r="I146" s="57"/>
      <c r="J146" s="60"/>
      <c r="K146" s="61"/>
    </row>
    <row r="147" ht="23.100000000000001" customHeight="1">
      <c r="A147" s="84" t="s">
        <v>38</v>
      </c>
      <c r="B147" s="85"/>
      <c r="C147" s="85"/>
      <c r="D147" s="86"/>
      <c r="E147" s="87">
        <f>SUM(E131:E146)</f>
        <v>0</v>
      </c>
    </row>
    <row r="148" ht="23.100000000000001" customHeight="1">
      <c r="A148" s="84" t="s">
        <v>28</v>
      </c>
      <c r="B148" s="85"/>
      <c r="C148" s="85"/>
      <c r="D148" s="86"/>
      <c r="E148" s="87">
        <f>E127-E147</f>
        <v>164510</v>
      </c>
      <c r="F148" s="66"/>
    </row>
    <row r="206" ht="25.5" customHeight="1"/>
  </sheetData>
  <mergeCells count="21">
    <mergeCell ref="E1:F1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90:D90"/>
    <mergeCell ref="A91:D91"/>
    <mergeCell ref="A93:D93"/>
    <mergeCell ref="A94:D94"/>
    <mergeCell ref="A124:D124"/>
    <mergeCell ref="A125:D125"/>
    <mergeCell ref="A127:D127"/>
    <mergeCell ref="A128:D128"/>
    <mergeCell ref="A147:D147"/>
    <mergeCell ref="A148:D148"/>
  </mergeCells>
  <printOptions headings="0" gridLines="0"/>
  <pageMargins left="0" right="0" top="0" bottom="0" header="0.29999999999999999" footer="0.29999999999999999"/>
  <pageSetup paperSize="9" scale="29" firstPageNumber="1" fitToWidth="1" fitToHeight="1" pageOrder="downThenOver" orientation="landscape" usePrinterDefaults="1" blackAndWhite="0" draft="0" cellComments="none" useFirstPageNumber="1" errors="displayed" horizontalDpi="1200" verticalDpi="12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6400E9-009F-4FEE-BD75-003300B4007C}" type="list" allowBlank="1" errorStyle="stop" imeMode="noControl" operator="between" showDropDown="0" showErrorMessage="1" showInputMessage="1">
          <x14:formula1>
            <xm:f>ДаНет</xm:f>
          </x14:formula1>
          <xm:sqref>H69:H83 H53:H67 H132:H146 H85:H89 H98:H112 H114:H123 H17:H18 H25:H35 H37:H51 H20 H21 H22 H23 H24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F24" activeCellId="0" sqref="F24"/>
    </sheetView>
  </sheetViews>
  <sheetFormatPr defaultRowHeight="14.25"/>
  <sheetData>
    <row r="1">
      <c r="A1" t="s">
        <v>45</v>
      </c>
    </row>
    <row r="2">
      <c r="A2" t="s">
        <v>51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r7-office/2025.3.2.1000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Иванова Оксана Петровна</dc:creator>
  <cp:lastModifiedBy>Венецкая Маргарита</cp:lastModifiedBy>
  <cp:revision>381</cp:revision>
  <dcterms:created xsi:type="dcterms:W3CDTF">2019-04-17T07:56:15Z</dcterms:created>
  <dcterms:modified xsi:type="dcterms:W3CDTF">2026-04-02T09:24:15Z</dcterms:modified>
</cp:coreProperties>
</file>
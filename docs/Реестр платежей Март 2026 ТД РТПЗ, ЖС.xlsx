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7.xml" ContentType="application/vnd.openxmlformats-officedocument.spreadsheetml.worksheet+xml"/>
  <Override PartName="/xl/worksheets/sheet4.xml" ContentType="application/vnd.openxmlformats-officedocument.spreadsheetml.worksheet+xml"/>
  <Override PartName="/xl/worksheets/sheet28.xml" ContentType="application/vnd.openxmlformats-officedocument.spreadsheetml.worksheet+xml"/>
  <Override PartName="/xl/worksheets/sheet8.xml" ContentType="application/vnd.openxmlformats-officedocument.spreadsheetml.worksheet+xml"/>
  <Override PartName="/xl/worksheets/sheet2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5"/>
  </bookViews>
  <sheets>
    <sheet name="01" sheetId="1" state="visible" r:id="rId1"/>
    <sheet name="02" sheetId="2" state="visible" r:id="rId2"/>
    <sheet name="03" sheetId="3" state="visible" r:id="rId3"/>
    <sheet name="04" sheetId="4" state="visible" r:id="rId4"/>
    <sheet name="05" sheetId="5" state="visible" r:id="rId5"/>
    <sheet name="06" sheetId="6" state="visible" r:id="rId6"/>
    <sheet name="07" sheetId="7" state="visible" r:id="rId7"/>
    <sheet name="08" sheetId="8" state="visible" r:id="rId8"/>
    <sheet name="0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Тех.Лист" sheetId="32" state="hidden" r:id="rId32"/>
  </sheets>
  <definedNames>
    <definedName name="Z_525A67BF_0EC6_479A_827A_4EE55011310F_.wvu.Rows" localSheetId="0" hidden="1">'01'!$14:$105</definedName>
    <definedName name="Z_525A67BF_0EC6_479A_827A_4EE55011310F_.wvu.Rows" localSheetId="1" hidden="1">'02'!$13:$101</definedName>
    <definedName name="Z_525A67BF_0EC6_479A_827A_4EE55011310F_.wvu.Rows" localSheetId="2" hidden="1">'03'!$13:$99</definedName>
    <definedName name="Z_525A67BF_0EC6_479A_827A_4EE55011310F_.wvu.Rows" localSheetId="3" hidden="1">'04'!$13:$114</definedName>
    <definedName name="Z_525A67BF_0EC6_479A_827A_4EE55011310F_.wvu.Rows" localSheetId="4" hidden="1">'05'!$13:$99</definedName>
    <definedName name="Z_4BC8836F_67FA_4ADD_8BF2_2849727F82ED_.wvu.Rows" localSheetId="5" hidden="1">'06'!$13:$99</definedName>
    <definedName name="Z_FA3A1891_F2A6_4F77_B7A7_31E16BA7D8D7_.wvu.Rows" localSheetId="5" hidden="1">'06'!$13:$99</definedName>
    <definedName name="Z_426687FD_750A_4CE4_9CD7_456268DEAEB9_.wvu.Rows" localSheetId="6" hidden="1">'07'!$13:$99</definedName>
    <definedName name="Z_EC8093C0_B7E2_4217_8482_B79AFD6E926F_.wvu.Rows" localSheetId="6" hidden="1">'07'!$13:$99</definedName>
    <definedName name="Z_0B5B4FAE_B353_4A05_99F6_BD7D6C7696CA_.wvu.Rows" localSheetId="7" hidden="1">'08'!$13:$122</definedName>
    <definedName name="Z_3784030C_584B_439C_8C22_F35D4C0C2F20_.wvu.Rows" localSheetId="7" hidden="1">'08'!$13:$122</definedName>
    <definedName name="Z_4BC8836F_67FA_4ADD_8BF2_2849727F82ED_.wvu.Rows" localSheetId="7" hidden="1">'08'!$13:$122</definedName>
    <definedName name="Z_744BD12D_C8AC_449A_9ACA_1F55F56C7796_.wvu.Rows" localSheetId="7" hidden="1">'08'!$13:$122</definedName>
    <definedName name="Z_7AFC5D51_FD9F_4863_8A51_4C412D6A5939_.wvu.Rows" localSheetId="7" hidden="1">'08'!$13:$122</definedName>
    <definedName name="Z_EC8093C0_B7E2_4217_8482_B79AFD6E926F_.wvu.Rows" localSheetId="7" hidden="1">'08'!$13:$122</definedName>
    <definedName name="Z_FA3A1891_F2A6_4F77_B7A7_31E16BA7D8D7_.wvu.Rows" localSheetId="7" hidden="1">'08'!$13:$122</definedName>
    <definedName name="Z_525A67BF_0EC6_479A_827A_4EE55011310F_.wvu.Rows" localSheetId="8" hidden="1">'09'!$13:$99</definedName>
    <definedName name="Z_525A67BF_0EC6_479A_827A_4EE55011310F_.wvu.Rows" localSheetId="9" hidden="1">'10'!$13:$147</definedName>
    <definedName name="Z_525A67BF_0EC6_479A_827A_4EE55011310F_.wvu.Rows" localSheetId="10" hidden="1">'11'!$13:$104</definedName>
    <definedName name="Z_525A67BF_0EC6_479A_827A_4EE55011310F_.wvu.Rows" localSheetId="11" hidden="1">'12'!$13:$99</definedName>
    <definedName name="Z_525A67BF_0EC6_479A_827A_4EE55011310F_.wvu.Rows" localSheetId="13" hidden="1">'14'!$13:$99</definedName>
    <definedName name="Z_525A67BF_0EC6_479A_827A_4EE55011310F_.wvu.Rows" localSheetId="15" hidden="1">'16'!$13:$112</definedName>
    <definedName name="Z_525A67BF_0EC6_479A_827A_4EE55011310F_.wvu.Rows" localSheetId="16" hidden="1">'17'!$13:$96</definedName>
    <definedName name="Z_525A67BF_0EC6_479A_827A_4EE55011310F_.wvu.Rows" localSheetId="17" hidden="1">'18'!$13:$118</definedName>
    <definedName name="Z_525A67BF_0EC6_479A_827A_4EE55011310F_.wvu.Rows" localSheetId="18" hidden="1">'19'!$13:$99</definedName>
    <definedName name="Z_4BC8836F_67FA_4ADD_8BF2_2849727F82ED_.wvu.Rows" localSheetId="19" hidden="1">'20'!$13:$99</definedName>
    <definedName name="Z_FA3A1891_F2A6_4F77_B7A7_31E16BA7D8D7_.wvu.Rows" localSheetId="19" hidden="1">'20'!$13:$99</definedName>
    <definedName name="Z_6668B387_912B_41D3_A438_086D34482F31_.wvu.Rows" localSheetId="21" hidden="1">'22'!$13:$99</definedName>
    <definedName name="Z_525A67BF_0EC6_479A_827A_4EE55011310F_.wvu.Rows" localSheetId="22" hidden="1">'23'!$13:$97</definedName>
    <definedName name="Z_6668B387_912B_41D3_A438_086D34482F31_.wvu.Rows" localSheetId="22" hidden="1">'23'!$13:$97</definedName>
    <definedName name="Z_744BD12D_C8AC_449A_9ACA_1F55F56C7796_.wvu.Rows" localSheetId="22" hidden="1">'23'!$13:$97</definedName>
    <definedName name="Z_7AFC5D51_FD9F_4863_8A51_4C412D6A5939_.wvu.Rows" localSheetId="22" hidden="1">'23'!$13:$97</definedName>
    <definedName name="Z_BE95F399_F8F3_4CBB_A91F_605EF249A9B6_.wvu.Rows" localSheetId="22" hidden="1">'23'!$13:$97</definedName>
    <definedName name="Z_525A67BF_0EC6_479A_827A_4EE55011310F_.wvu.Rows" localSheetId="23" hidden="1">'24'!$13:$103</definedName>
    <definedName name="Z_6668B387_912B_41D3_A438_086D34482F31_.wvu.Rows" localSheetId="23" hidden="1">'24'!$13:$103</definedName>
    <definedName name="Z_744BD12D_C8AC_449A_9ACA_1F55F56C7796_.wvu.Rows" localSheetId="23" hidden="1">'24'!$13:$103</definedName>
    <definedName name="Z_7AFC5D51_FD9F_4863_8A51_4C412D6A5939_.wvu.Rows" localSheetId="23" hidden="1">'24'!$13:$103</definedName>
    <definedName name="Z_C2F1D4B1_A1F1_448D_93DB_7A0865BB4FAC_.wvu.Rows" localSheetId="23" hidden="1">'24'!$13:$103</definedName>
    <definedName name="Z_525A67BF_0EC6_479A_827A_4EE55011310F_.wvu.Rows" localSheetId="24" hidden="1">'25'!$13:$99</definedName>
    <definedName name="Z_525A67BF_0EC6_479A_827A_4EE55011310F_.wvu.Rows" localSheetId="25" hidden="1">'26'!$13:$99</definedName>
    <definedName name="Z_525A67BF_0EC6_479A_827A_4EE55011310F_.wvu.Rows" localSheetId="26" hidden="1">'27'!$84:$84</definedName>
    <definedName name="Z_744BD12D_C8AC_449A_9ACA_1F55F56C7796_.wvu.Rows" localSheetId="26" hidden="1">'27'!$13:$99</definedName>
    <definedName name="Z_525A67BF_0EC6_479A_827A_4EE55011310F_.wvu.Rows" localSheetId="27" hidden="1">'28'!$13:$99</definedName>
    <definedName name="Z_525A67BF_0EC6_479A_827A_4EE55011310F_.wvu.Rows" localSheetId="28" hidden="1">'29'!$13:$99</definedName>
    <definedName name="Z_6668B387_912B_41D3_A438_086D34482F31_.wvu.Rows" localSheetId="28" hidden="1">'29'!$13:$99</definedName>
    <definedName name="Z_744BD12D_C8AC_449A_9ACA_1F55F56C7796_.wvu.Rows" localSheetId="28" hidden="1">'29'!$13:$99</definedName>
    <definedName name="ДаНет">Тех.Лист!$A$1:$A$2</definedName>
    <definedName name="С2">'01'!$C$2</definedName>
    <definedName name="число">'01'!$C$2</definedName>
  </definedNames>
  <calcPr/>
</workbook>
</file>

<file path=xl/sharedStrings.xml><?xml version="1.0" encoding="utf-8"?>
<sst xmlns="http://schemas.openxmlformats.org/spreadsheetml/2006/main" count="764" uniqueCount="764">
  <si>
    <t xml:space="preserve">ООО ТД РТПЗ</t>
  </si>
  <si>
    <r>
      <rPr>
        <i/>
        <sz val="11"/>
        <color theme="1"/>
        <rFont val="Times New Roman"/>
      </rPr>
      <t xml:space="preserve">Волжский счёт</t>
    </r>
    <r>
      <rPr>
        <b/>
        <i/>
        <sz val="11"/>
        <color theme="1"/>
        <rFont val="Times New Roman"/>
      </rPr>
      <t xml:space="preserve"> СБ 7503</t>
    </r>
  </si>
  <si>
    <r>
      <rPr>
        <i/>
        <sz val="11"/>
        <color theme="1"/>
        <rFont val="Times New Roman"/>
      </rPr>
      <t xml:space="preserve">Головной счёт</t>
    </r>
    <r>
      <rPr>
        <b/>
        <i/>
        <sz val="11"/>
        <color theme="1"/>
        <rFont val="Times New Roman"/>
      </rPr>
      <t xml:space="preserve"> СБ 13291</t>
    </r>
  </si>
  <si>
    <r>
      <t xml:space="preserve">ИП Коваленко </t>
    </r>
    <r>
      <rPr>
        <b/>
        <i/>
        <sz val="11"/>
        <color theme="1"/>
        <rFont val="Times New Roman"/>
      </rPr>
      <t>СБ</t>
    </r>
    <r>
      <rPr>
        <i/>
        <sz val="11"/>
        <color theme="1"/>
        <rFont val="Times New Roman"/>
      </rPr>
      <t xml:space="preserve"> </t>
    </r>
    <r>
      <rPr>
        <b/>
        <i/>
        <sz val="11"/>
        <color theme="1"/>
        <rFont val="Times New Roman"/>
      </rPr>
      <t>17500</t>
    </r>
  </si>
  <si>
    <r>
      <rPr>
        <i/>
        <sz val="11"/>
        <color theme="1"/>
        <rFont val="Times New Roman"/>
      </rPr>
      <t>счёт</t>
    </r>
    <r>
      <rPr>
        <b/>
        <i/>
        <sz val="11"/>
        <color theme="1"/>
        <rFont val="Times New Roman"/>
      </rPr>
      <t xml:space="preserve"> ЦМР Банк     </t>
    </r>
  </si>
  <si>
    <r>
      <rPr>
        <i/>
        <sz val="11"/>
        <color theme="1"/>
        <rFont val="Times New Roman"/>
      </rPr>
      <t>счёт</t>
    </r>
    <r>
      <rPr>
        <b/>
        <i/>
        <sz val="11"/>
        <color theme="1"/>
        <rFont val="Times New Roman"/>
      </rPr>
      <t xml:space="preserve"> РОСБАНК  1115</t>
    </r>
  </si>
  <si>
    <r>
      <t xml:space="preserve">счёт </t>
    </r>
    <r>
      <rPr>
        <b/>
        <i/>
        <sz val="11"/>
        <color theme="1"/>
        <rFont val="Times New Roman"/>
      </rPr>
      <t xml:space="preserve">Райффайзенбанк 38867</t>
    </r>
  </si>
  <si>
    <r>
      <t xml:space="preserve">счёт </t>
    </r>
    <r>
      <rPr>
        <b/>
        <i/>
        <sz val="11"/>
        <color theme="1"/>
        <rFont val="Times New Roman"/>
      </rPr>
      <t xml:space="preserve">Промсвязьбанк 5439</t>
    </r>
  </si>
  <si>
    <r>
      <t xml:space="preserve">счёт </t>
    </r>
    <r>
      <rPr>
        <b/>
        <i/>
        <sz val="11"/>
        <color theme="1"/>
        <rFont val="Times New Roman"/>
      </rPr>
      <t xml:space="preserve">Альфа-Банк 10329    </t>
    </r>
  </si>
  <si>
    <t xml:space="preserve">№ п/п</t>
  </si>
  <si>
    <t xml:space="preserve">Инициатор платежа</t>
  </si>
  <si>
    <t xml:space="preserve">Контрагент - Получатель</t>
  </si>
  <si>
    <t>Договор/Счет</t>
  </si>
  <si>
    <t xml:space="preserve">Сумма  к оплате</t>
  </si>
  <si>
    <t xml:space="preserve">Назначение платежа</t>
  </si>
  <si>
    <t xml:space="preserve">Подразделение - плательщик </t>
  </si>
  <si>
    <t>Бюджет/Статья</t>
  </si>
  <si>
    <t xml:space="preserve">Наличие Договора</t>
  </si>
  <si>
    <t>Примечание</t>
  </si>
  <si>
    <t xml:space="preserve">Отметка об оплате</t>
  </si>
  <si>
    <t xml:space="preserve">Спец. Распоряжение</t>
  </si>
  <si>
    <r>
      <t xml:space="preserve">Коммерческий отдел </t>
    </r>
    <r>
      <rPr>
        <b/>
        <sz val="11"/>
        <color rgb="FFC00000"/>
        <rFont val="Times New Roman"/>
      </rPr>
      <t xml:space="preserve">(ПОСТАВЩИКИ / ПОКУПАТЕЛИ)</t>
    </r>
  </si>
  <si>
    <r>
      <t xml:space="preserve">Коммерческий отдел </t>
    </r>
    <r>
      <rPr>
        <b/>
        <sz val="11"/>
        <color rgb="FFC00000"/>
        <rFont val="Times New Roman"/>
      </rPr>
      <t xml:space="preserve">(ЛОГИСТИКА / Хранение / ПРР)</t>
    </r>
  </si>
  <si>
    <t xml:space="preserve"> ПРОИЗВОДСТВЕННЫЙ комплекс / ТЕХ служба </t>
  </si>
  <si>
    <t xml:space="preserve">РАСХОДЫ ПРОЧИЕ (Тех служба / Складской коммплекс / IT служба / Юр служба / Секретариат / Кадры / Маркетинг)</t>
  </si>
  <si>
    <t xml:space="preserve">Бухгалтерия  (Налоги / ЗП / ЕСН / прочие платежи бух. службы)</t>
  </si>
  <si>
    <t xml:space="preserve">ФЭО  (Кредиты/ Лизинг / Проценты / прочие платежи)</t>
  </si>
  <si>
    <t xml:space="preserve">ИТОГО   ТД РТПЗ   РАСХОДЫ ПО РЕЕСТРУ</t>
  </si>
  <si>
    <t xml:space="preserve">ДЕФИЦИТ  /  ПРОФИЦИТ с Остатка на начало дня</t>
  </si>
  <si>
    <t xml:space="preserve">ООО ЖИВАЯ СТАЛЬ</t>
  </si>
  <si>
    <r>
      <rPr>
        <i/>
        <sz val="11"/>
        <color theme="1"/>
        <rFont val="Times New Roman"/>
      </rPr>
      <t xml:space="preserve">счёт </t>
    </r>
    <r>
      <rPr>
        <b/>
        <i/>
        <sz val="11"/>
        <color theme="1"/>
        <rFont val="Times New Roman"/>
      </rPr>
      <t xml:space="preserve">СБ 1125</t>
    </r>
  </si>
  <si>
    <t xml:space="preserve">Коммерческий отдел (Закупка товара / Логистика / Снабжение/ ВЭД / Хранение / ПРР / Маркетинг)</t>
  </si>
  <si>
    <t xml:space="preserve">АХР (Тех служба / Складской коммплекс / IT служба / Юр служба / Секретариат / Кадры)</t>
  </si>
  <si>
    <t xml:space="preserve">ИТОГО ООО ЖИВАЯ СТАЛЬ РАСХОДЫ ПО РЕЕСТРУ</t>
  </si>
  <si>
    <t xml:space="preserve">РЕЕСТР ЗАКРЫТ !!!</t>
  </si>
  <si>
    <t>Дынник</t>
  </si>
  <si>
    <t xml:space="preserve">ООО "Группа Компаний Демидов"</t>
  </si>
  <si>
    <t xml:space="preserve">СЧЕТ № ФИЛ26-428364 от 27.02.26</t>
  </si>
  <si>
    <t xml:space="preserve">Труба профильная (2 сорт) (некондиция, упаковка)</t>
  </si>
  <si>
    <t xml:space="preserve">РТПЗ Волжский</t>
  </si>
  <si>
    <t xml:space="preserve">Бюджет ПЛАН</t>
  </si>
  <si>
    <t>Да</t>
  </si>
  <si>
    <t>оплачен</t>
  </si>
  <si>
    <t xml:space="preserve">СЧЕТ № ФИЛ26-428102 от 27.02.26</t>
  </si>
  <si>
    <t xml:space="preserve">Федоров А.А.</t>
  </si>
  <si>
    <t xml:space="preserve">Северсталь ПАО</t>
  </si>
  <si>
    <t xml:space="preserve">Договр № 643/1000-24100303 от 12.04.2024</t>
  </si>
  <si>
    <t>.26000000</t>
  </si>
  <si>
    <t>Металлопрокат</t>
  </si>
  <si>
    <t xml:space="preserve">Крикса М.П.</t>
  </si>
  <si>
    <t xml:space="preserve">АЛЮМИНАРТ ООО</t>
  </si>
  <si>
    <t xml:space="preserve">Договор № 14 от 21.01.2026 г</t>
  </si>
  <si>
    <t xml:space="preserve">возврат ошибочно перечисленных д.с</t>
  </si>
  <si>
    <t xml:space="preserve">Согласовано Солодовниковым А.Н.</t>
  </si>
  <si>
    <t>Голка</t>
  </si>
  <si>
    <t xml:space="preserve">АК№2 ООО</t>
  </si>
  <si>
    <t xml:space="preserve">Счет №1975 от 27.01</t>
  </si>
  <si>
    <t>Транспорт</t>
  </si>
  <si>
    <t xml:space="preserve">Дентро ООО</t>
  </si>
  <si>
    <t xml:space="preserve">Счет №2528 от 29.01</t>
  </si>
  <si>
    <t>Нет</t>
  </si>
  <si>
    <t>скан</t>
  </si>
  <si>
    <t xml:space="preserve">РАУТ ООО</t>
  </si>
  <si>
    <t xml:space="preserve">Счет №4,6,7,10 от 26.01</t>
  </si>
  <si>
    <t xml:space="preserve">Стальстройпоставка ООО</t>
  </si>
  <si>
    <t>копия</t>
  </si>
  <si>
    <t xml:space="preserve">Кравцов С.А. ИП</t>
  </si>
  <si>
    <t xml:space="preserve">Счет №2 от 30.01</t>
  </si>
  <si>
    <t xml:space="preserve">НЕО ТРАНС ООО</t>
  </si>
  <si>
    <t xml:space="preserve">Счет №813 от 25.01</t>
  </si>
  <si>
    <t xml:space="preserve">Черненко-Рус ООО</t>
  </si>
  <si>
    <t xml:space="preserve">Счет чр457-608п от 25.08</t>
  </si>
  <si>
    <t>Стадников</t>
  </si>
  <si>
    <t xml:space="preserve">ООО Волга-Бизнес</t>
  </si>
  <si>
    <t xml:space="preserve">счет №ВБ-94 от 25.02.2026</t>
  </si>
  <si>
    <t xml:space="preserve">вывоз крупногабаритных отходов (пр коммун)</t>
  </si>
  <si>
    <t xml:space="preserve">на подписании</t>
  </si>
  <si>
    <t xml:space="preserve">КАРБОН  ИНВЕСТ ЗАО</t>
  </si>
  <si>
    <t xml:space="preserve">Счет-фактура №69 от 03.02.2026</t>
  </si>
  <si>
    <t xml:space="preserve">Карбон, КМ (смазочные)</t>
  </si>
  <si>
    <t>2РС</t>
  </si>
  <si>
    <t xml:space="preserve">Счет на оплату № 9595 от 26 февраля 2026 г.</t>
  </si>
  <si>
    <t xml:space="preserve">Подшипники (РПМ)</t>
  </si>
  <si>
    <t xml:space="preserve">ИП Вязовская Ирина Геннадьевна</t>
  </si>
  <si>
    <t xml:space="preserve">Счет-договор № 97 от 25 февраля 2026 г.</t>
  </si>
  <si>
    <t xml:space="preserve">Перекись водорода 60% (смазочные)</t>
  </si>
  <si>
    <t xml:space="preserve">ООО "МИКРОБОР"</t>
  </si>
  <si>
    <t xml:space="preserve">Счет на оплату №408 от 26.02.2026</t>
  </si>
  <si>
    <t xml:space="preserve">Пластина режущая «MICROBOR» (Инструмент)</t>
  </si>
  <si>
    <t xml:space="preserve">ПРЕМИУМ ЭЙР ООО</t>
  </si>
  <si>
    <t xml:space="preserve">Счёт-договор № 00825 от 26.02.26</t>
  </si>
  <si>
    <t xml:space="preserve">Клапан термостатический VTFT (РПМ)</t>
  </si>
  <si>
    <t xml:space="preserve">ООО «Флэйн-Сервис»</t>
  </si>
  <si>
    <t xml:space="preserve">Счет на оплату № 852 от 27 февраля 2026 г.</t>
  </si>
  <si>
    <t xml:space="preserve">Резиновое кольцо для РКТ (РПМ)</t>
  </si>
  <si>
    <t>ПМЦ2015</t>
  </si>
  <si>
    <t xml:space="preserve">Счет на оплату № 10753/24 от 27 февраля 2026 г.</t>
  </si>
  <si>
    <t xml:space="preserve">Щетки, клей, замок (Хозрасходы)</t>
  </si>
  <si>
    <t xml:space="preserve">ООО "Поволжский Центр РТИ"</t>
  </si>
  <si>
    <t xml:space="preserve">Счет на оплату № 2265 от 26 февраля 2026 г.</t>
  </si>
  <si>
    <t xml:space="preserve">Ремень клиновой (РПМ)</t>
  </si>
  <si>
    <t xml:space="preserve">ООО "ЮЦТМ"</t>
  </si>
  <si>
    <t xml:space="preserve">Счет на оплату № УТ-267 от 27 февраля 2026 г.</t>
  </si>
  <si>
    <t xml:space="preserve">Пластина VCMT (РПМ)</t>
  </si>
  <si>
    <t xml:space="preserve">Интернет Решения, ООО</t>
  </si>
  <si>
    <t xml:space="preserve">Счет-Оферта № 0164150363-0048 от 27.02.2026</t>
  </si>
  <si>
    <t xml:space="preserve">Припой,шайба,винты (Инструмент)</t>
  </si>
  <si>
    <t xml:space="preserve">/ припой на сумму 2315,00 в счет возвращенных д/с от поставщика</t>
  </si>
  <si>
    <t xml:space="preserve">ВСЕИНСТРУМЕНТЫ.РУ ООО</t>
  </si>
  <si>
    <t xml:space="preserve">Счет-фактура №0302009527-ВЛЖ от 03.02.2026</t>
  </si>
  <si>
    <t>Инструмент</t>
  </si>
  <si>
    <t>СКАН</t>
  </si>
  <si>
    <t xml:space="preserve">ООО "Вектор-ПМ"</t>
  </si>
  <si>
    <t xml:space="preserve">Счет на оплату № 453 от 2 марта 2026 г.</t>
  </si>
  <si>
    <t xml:space="preserve">Весы крановые (Инутсрумент)</t>
  </si>
  <si>
    <t xml:space="preserve">Любимов Ю.В.</t>
  </si>
  <si>
    <t xml:space="preserve">ООО ОП Кристалл групп</t>
  </si>
  <si>
    <t xml:space="preserve">Счет № 9 от 14.01.2026 г. </t>
  </si>
  <si>
    <t xml:space="preserve">Услуги по охране согл договору №30/12/-1 от 30.12.2019 г. за Январь 2026г.</t>
  </si>
  <si>
    <t xml:space="preserve">Коваль В.А.</t>
  </si>
  <si>
    <t xml:space="preserve">УФК по Волгоградской области (Облкомимущество)</t>
  </si>
  <si>
    <t xml:space="preserve">Договор №14124 от 26 ноября 2021 г. </t>
  </si>
  <si>
    <t xml:space="preserve">НДС не облагается. Арендная плата по договору аренды.земельного участка №14124 от 26.11.2021 г. (Аренда зданий и помещений)</t>
  </si>
  <si>
    <t xml:space="preserve">ООО Волжскпромжелдортранс-Экспедитор</t>
  </si>
  <si>
    <t xml:space="preserve">счет № 22 от 24.02.2026</t>
  </si>
  <si>
    <t xml:space="preserve">Транспортно-экспедиционные услуги за 2 декаду февраля 2026 года (жд)</t>
  </si>
  <si>
    <t>Гаркушенко</t>
  </si>
  <si>
    <t xml:space="preserve">ИП Максимова ВД</t>
  </si>
  <si>
    <t xml:space="preserve">ЦХБ-0425511 от 28.02</t>
  </si>
  <si>
    <t xml:space="preserve">экспресс почта февраль</t>
  </si>
  <si>
    <t>Сухорутченко</t>
  </si>
  <si>
    <t xml:space="preserve">ООО КЕХ еКОММЕРЦ</t>
  </si>
  <si>
    <t xml:space="preserve">СЧ № 01-2031434506 от 02 марта 2026 г.</t>
  </si>
  <si>
    <t xml:space="preserve">Внесение аванса в личный кабинет 93403104 по счёту № 01-2031434506 от 02.03.2026 (обуч)</t>
  </si>
  <si>
    <t xml:space="preserve">общезаводская заявка</t>
  </si>
  <si>
    <t>Приезжева</t>
  </si>
  <si>
    <t xml:space="preserve">Мистер Пэн</t>
  </si>
  <si>
    <t xml:space="preserve">счет 25 от 26.02.2026</t>
  </si>
  <si>
    <t xml:space="preserve">моющие средства (хоз)</t>
  </si>
  <si>
    <t xml:space="preserve">счет 23 от 26.02.2026</t>
  </si>
  <si>
    <t xml:space="preserve">скотч (упаковка)</t>
  </si>
  <si>
    <t>СУ</t>
  </si>
  <si>
    <t xml:space="preserve">Татаринова Н.А.</t>
  </si>
  <si>
    <t xml:space="preserve">ИФНС по ЕНП</t>
  </si>
  <si>
    <t xml:space="preserve">КБК 18201061201010000510</t>
  </si>
  <si>
    <t xml:space="preserve">ЕНП (Прибыль аванс февраль)</t>
  </si>
  <si>
    <t xml:space="preserve">прибыль аванс февраль Срок оплаты -02.03.26</t>
  </si>
  <si>
    <t xml:space="preserve">ООО АФ "СТАНДАРТ"</t>
  </si>
  <si>
    <t xml:space="preserve">Счет 46 от 18.11.25, Договор от 18.11.25</t>
  </si>
  <si>
    <t xml:space="preserve">Аудит фин.отчетности за 2025г., без НДС (инф консуль)</t>
  </si>
  <si>
    <t xml:space="preserve">НЛМК ПАО</t>
  </si>
  <si>
    <t xml:space="preserve">Договор В204709-24 от 24.10.2024</t>
  </si>
  <si>
    <t>Выросткова</t>
  </si>
  <si>
    <t xml:space="preserve">билеты Казань</t>
  </si>
  <si>
    <t xml:space="preserve">РТПЗ Ростов</t>
  </si>
  <si>
    <t xml:space="preserve">Лазарева Л.Ю</t>
  </si>
  <si>
    <t xml:space="preserve">Сбер Волжский</t>
  </si>
  <si>
    <t>реестр</t>
  </si>
  <si>
    <t xml:space="preserve">Расчет при увольнении за март 2026г</t>
  </si>
  <si>
    <t xml:space="preserve">Ушаков ИП</t>
  </si>
  <si>
    <t xml:space="preserve">Счет № 55,50 от 02.02</t>
  </si>
  <si>
    <t xml:space="preserve">Донцов ИП</t>
  </si>
  <si>
    <t xml:space="preserve">Счет №03 от 13.02</t>
  </si>
  <si>
    <t xml:space="preserve">Альфа ООО</t>
  </si>
  <si>
    <t xml:space="preserve">Счет №5 от 27.02</t>
  </si>
  <si>
    <t xml:space="preserve">Воронков Ю.С. ИП</t>
  </si>
  <si>
    <t xml:space="preserve">Счет №7.26 от 15.01</t>
  </si>
  <si>
    <t xml:space="preserve">СКС ГРУПП ООО</t>
  </si>
  <si>
    <t xml:space="preserve">Счет №18,24,22 от 29.01</t>
  </si>
  <si>
    <t xml:space="preserve">Счет №1772 от 21.08</t>
  </si>
  <si>
    <t xml:space="preserve">Долотказин ИП</t>
  </si>
  <si>
    <t xml:space="preserve">Счет №07 от 02.02</t>
  </si>
  <si>
    <t xml:space="preserve">Вектор-Н ООО</t>
  </si>
  <si>
    <t xml:space="preserve">Счет №1183 от 26.12</t>
  </si>
  <si>
    <t xml:space="preserve">Счет №3627,3628 от 03.02</t>
  </si>
  <si>
    <t xml:space="preserve">Счет №8,9 от 02.02</t>
  </si>
  <si>
    <t xml:space="preserve">Кузнеченков ИП</t>
  </si>
  <si>
    <t xml:space="preserve">Счет №14 от 19.02</t>
  </si>
  <si>
    <t xml:space="preserve">Селезнёв ИП</t>
  </si>
  <si>
    <t xml:space="preserve">Счет №2163 от 24.02</t>
  </si>
  <si>
    <t xml:space="preserve">СПЕЦОБЪЕДИНЕНИЕ ЮГО-ЗАПАД ООО</t>
  </si>
  <si>
    <t xml:space="preserve">Счет-фактура №1.12-0023 от 12.01.2026</t>
  </si>
  <si>
    <t xml:space="preserve">Полуботинки (Спецодежда)</t>
  </si>
  <si>
    <t xml:space="preserve">Калабзаров Артем Олегович ИП</t>
  </si>
  <si>
    <t xml:space="preserve">Счет-фактуры №3081 от 22.01.2025, 3142 от 26.12.2025, 118 от 28.01.2026, 191 от 05.02.2026</t>
  </si>
  <si>
    <t xml:space="preserve">СИЗы (Спецодежда)</t>
  </si>
  <si>
    <t xml:space="preserve">Счет № 19 от 02.02.2026 г. </t>
  </si>
  <si>
    <t xml:space="preserve">Услуги по охране согл договору №30/12/-1 от 30.12.2019 г. за Февраль 2026г. (орг)</t>
  </si>
  <si>
    <t xml:space="preserve">ООО Техиндустрия</t>
  </si>
  <si>
    <t xml:space="preserve">валки (стан)</t>
  </si>
  <si>
    <t xml:space="preserve">сумма к оплате по реестру</t>
  </si>
  <si>
    <t xml:space="preserve">счет №20 от 02.02.2026</t>
  </si>
  <si>
    <t xml:space="preserve">втулки (стан)</t>
  </si>
  <si>
    <t xml:space="preserve">ИП Евдокимов С.М.</t>
  </si>
  <si>
    <t xml:space="preserve">счет №28 от 27.02.2026</t>
  </si>
  <si>
    <t xml:space="preserve">закалка оси, шлифовка ножей (АПР)</t>
  </si>
  <si>
    <t xml:space="preserve">ООО Дезинфекционный Сервис</t>
  </si>
  <si>
    <t xml:space="preserve">счет №32 от 26.02.2026</t>
  </si>
  <si>
    <t xml:space="preserve">дератизация, дезинсекция (пр коммун)</t>
  </si>
  <si>
    <t xml:space="preserve">ООО Полином+</t>
  </si>
  <si>
    <t xml:space="preserve">счет №313 от 13.02.2026</t>
  </si>
  <si>
    <t xml:space="preserve">стирка спецодежды (усл пр-ва)</t>
  </si>
  <si>
    <t xml:space="preserve">ИП Дроздова Н.Н.</t>
  </si>
  <si>
    <t xml:space="preserve">счет №12 от 28.02.2026</t>
  </si>
  <si>
    <t xml:space="preserve">услуги автовышки (ГПМ)</t>
  </si>
  <si>
    <t xml:space="preserve">ИП Швадченко А.В.</t>
  </si>
  <si>
    <t xml:space="preserve">счет №85611 от 03.03.2026</t>
  </si>
  <si>
    <t xml:space="preserve">ремонт БМВ Х5 (Метком)</t>
  </si>
  <si>
    <t xml:space="preserve">Бюджет МЕТКОМ</t>
  </si>
  <si>
    <t xml:space="preserve">ИП Шаповалов Г.В.</t>
  </si>
  <si>
    <t xml:space="preserve">счет №29 от 26.02.2026</t>
  </si>
  <si>
    <t xml:space="preserve">ремонт каравелла (Метком)</t>
  </si>
  <si>
    <t xml:space="preserve">ООО "Восток-Агро"</t>
  </si>
  <si>
    <t xml:space="preserve">Счет-договор №369 от 26.02.2026</t>
  </si>
  <si>
    <t xml:space="preserve">Насос НШ (Инструмент)</t>
  </si>
  <si>
    <t xml:space="preserve">ООО Центрэнерго</t>
  </si>
  <si>
    <t xml:space="preserve">Договор №40ЭС-20 от 15.10.2020 г.</t>
  </si>
  <si>
    <t xml:space="preserve">реквизиты АБ Россия за потребление электроэнергии в марте 2026 г.</t>
  </si>
  <si>
    <t xml:space="preserve">79.02 КОД</t>
  </si>
  <si>
    <t>КОД</t>
  </si>
  <si>
    <t xml:space="preserve">счет № 27 от 28.02.2026</t>
  </si>
  <si>
    <t xml:space="preserve">Транспортно-экспедиционные услуги за 3 декаду февраля 2026 года (ЖД)</t>
  </si>
  <si>
    <t xml:space="preserve">ИП Якшин С В</t>
  </si>
  <si>
    <t xml:space="preserve">Счет № 47 от 27.02.2026</t>
  </si>
  <si>
    <t xml:space="preserve">Услуги по перевозке пассажиров за Февраль 2026 г (Перевозка работников на производство)</t>
  </si>
  <si>
    <t xml:space="preserve">Праксайр Волгоград</t>
  </si>
  <si>
    <t xml:space="preserve">Счет №PXV-2617003921/50100532 от 28.02.2026</t>
  </si>
  <si>
    <t xml:space="preserve">Аренда баллонов аргона, углекислота, кислород (сварка)</t>
  </si>
  <si>
    <t xml:space="preserve">Деловые Линии</t>
  </si>
  <si>
    <t xml:space="preserve">Счет 26-02981014878 от 16.02.2026 14:44:59</t>
  </si>
  <si>
    <t xml:space="preserve">Расходы на доставку (на производство/с производства) </t>
  </si>
  <si>
    <t xml:space="preserve">Счет 26-00021044974 от 17.02.2026 18:38:12</t>
  </si>
  <si>
    <t xml:space="preserve">Счет 26-02571015278 от 20.02.2026 2:04:33</t>
  </si>
  <si>
    <t xml:space="preserve">Счет 26-02575008971 от 20.02.2026 8:21:46</t>
  </si>
  <si>
    <t xml:space="preserve">Счет 26-04031018621 от 26.02.2026 10:00:37</t>
  </si>
  <si>
    <t xml:space="preserve">Компания Промметиз</t>
  </si>
  <si>
    <t xml:space="preserve">Счет на оплату № 8131 от 03 марта 2026 г.</t>
  </si>
  <si>
    <t xml:space="preserve">Круги, полотно (Инструмент)</t>
  </si>
  <si>
    <t xml:space="preserve">ООО "ТД "Подшипник Трейд"</t>
  </si>
  <si>
    <t xml:space="preserve">Счет на оплату № УТ-6881 от 26 февраля 2026 г.</t>
  </si>
  <si>
    <t xml:space="preserve">Подшипник (РПМ)</t>
  </si>
  <si>
    <t xml:space="preserve">ИП МОРОЗОВА ЕКАТЕРИНА АЛЕКСАНДРОВНА</t>
  </si>
  <si>
    <t xml:space="preserve">Счет на оплату № 43483 от 4 март 2026 г.</t>
  </si>
  <si>
    <t xml:space="preserve">Сальники армированные (РПМ)</t>
  </si>
  <si>
    <t>Жарков</t>
  </si>
  <si>
    <t xml:space="preserve">ООО «СМБ-Сервис»</t>
  </si>
  <si>
    <t xml:space="preserve">Счёт № ОПЛ-22381265557 ЛСС-5264829686-1 от 3 марта 2026 г.</t>
  </si>
  <si>
    <t xml:space="preserve">Контекстная реклама (рекл)</t>
  </si>
  <si>
    <t xml:space="preserve">Амитон Д.Д.</t>
  </si>
  <si>
    <t xml:space="preserve">ООО Компания Гэндальф</t>
  </si>
  <si>
    <t xml:space="preserve">счёт РГА03030027 от 03.03.2026</t>
  </si>
  <si>
    <t xml:space="preserve">покупка термотрансферной ленты RESIN (расх IT)</t>
  </si>
  <si>
    <t xml:space="preserve">Аква сервис</t>
  </si>
  <si>
    <t xml:space="preserve">счет 1413 от 03.03.2026</t>
  </si>
  <si>
    <t xml:space="preserve">питьевая вода (орг)</t>
  </si>
  <si>
    <t xml:space="preserve">МБИ Волгоград</t>
  </si>
  <si>
    <t xml:space="preserve">счет 19-31116 от 28.02.2026</t>
  </si>
  <si>
    <t xml:space="preserve">экспресс почта</t>
  </si>
  <si>
    <t xml:space="preserve">счет 21 от 26.02.2026</t>
  </si>
  <si>
    <t xml:space="preserve">канцтовары (орг)</t>
  </si>
  <si>
    <t xml:space="preserve">счет 24 от 26.02.2026</t>
  </si>
  <si>
    <t xml:space="preserve">аптечки первой помощи (орг)</t>
  </si>
  <si>
    <t xml:space="preserve">Охрана труда</t>
  </si>
  <si>
    <t xml:space="preserve">счет 22 от 26.02.2026</t>
  </si>
  <si>
    <t xml:space="preserve">паста очищающая (хоз)</t>
  </si>
  <si>
    <t>ТСЦ</t>
  </si>
  <si>
    <t xml:space="preserve">НДФЛ (период с 23.02-28.02.2026)</t>
  </si>
  <si>
    <t xml:space="preserve">Крайний срок до 05.03.2026</t>
  </si>
  <si>
    <t xml:space="preserve">Патлачева Н.В.</t>
  </si>
  <si>
    <t xml:space="preserve">Федеральная нотариальная палата</t>
  </si>
  <si>
    <t xml:space="preserve">по реквизитам</t>
  </si>
  <si>
    <t xml:space="preserve">за регистрацию уведомления о залоге (госуслуги)</t>
  </si>
  <si>
    <t xml:space="preserve">Отпускные за март 2026г</t>
  </si>
  <si>
    <t>Тинькофф</t>
  </si>
  <si>
    <t xml:space="preserve">отдельным платежом</t>
  </si>
  <si>
    <t xml:space="preserve">Сбер Ростов</t>
  </si>
  <si>
    <t xml:space="preserve">Мат.помощь в связи со смертью матери</t>
  </si>
  <si>
    <t>Внебюджет</t>
  </si>
  <si>
    <t xml:space="preserve">ООО Лайт Моторс</t>
  </si>
  <si>
    <t xml:space="preserve">счет №TR-5983 от 06.03.2026</t>
  </si>
  <si>
    <t xml:space="preserve">автошины БМВ Х5 (Метком)</t>
  </si>
  <si>
    <t xml:space="preserve">Единовременная премия к 8 марта</t>
  </si>
  <si>
    <t xml:space="preserve">на карту третьих лиц/Реквизиты на карту Миллер Светланы </t>
  </si>
  <si>
    <t xml:space="preserve">на карту третьих лиц/Реквизиты на карту Книпенберг Марины </t>
  </si>
  <si>
    <t xml:space="preserve">Зар.плата за февраль 2026г</t>
  </si>
  <si>
    <t xml:space="preserve">НДФЛ (период с 01.03 по 22.03.2025)+ Страх.взносы за февраль 2026г</t>
  </si>
  <si>
    <t xml:space="preserve">с райффайзена </t>
  </si>
  <si>
    <t xml:space="preserve">На карту третьих лиц /Реквизиты Миллер Светланы Александровны</t>
  </si>
  <si>
    <t xml:space="preserve">Бюджет </t>
  </si>
  <si>
    <t> </t>
  </si>
  <si>
    <t xml:space="preserve">На карту третьих лиц /Реквизиты Марьиной Надежды Александровны</t>
  </si>
  <si>
    <t xml:space="preserve">На карту третьих лиц /Реквизиты Олейниковой Кристины Денисовны </t>
  </si>
  <si>
    <t xml:space="preserve">На карту третьих лиц /Реквизиты Книпенберг Марины Николаевны </t>
  </si>
  <si>
    <t xml:space="preserve">На карту третьих лиц /Реквизиты Новикова Валентина Ивановича</t>
  </si>
  <si>
    <t>ВТБ</t>
  </si>
  <si>
    <t>Альфа-Банк</t>
  </si>
  <si>
    <t>Россельхозбанк</t>
  </si>
  <si>
    <t xml:space="preserve">Озон Банк</t>
  </si>
  <si>
    <t xml:space="preserve">Тинькофф Банк</t>
  </si>
  <si>
    <t xml:space="preserve">В п/п у Жильцова НАЗНАЧЕНИЕ ПЛАТЕЖА: Код в назначении 1 //ВЗС//25135-46//</t>
  </si>
  <si>
    <t>Совкомбанк</t>
  </si>
  <si>
    <t xml:space="preserve">В п/п у Шибитова НАЗНАЧЕНИЕ ПЛАТЕЖА: Код в назначении 1 //ВЗС//78744-16//</t>
  </si>
  <si>
    <t xml:space="preserve">БАНК ПСБ </t>
  </si>
  <si>
    <t xml:space="preserve">Банк Уралсиб</t>
  </si>
  <si>
    <t xml:space="preserve">Сбер Волжский/Болотин</t>
  </si>
  <si>
    <t xml:space="preserve">Аренда транспорта с экипажем (пр тс)</t>
  </si>
  <si>
    <t xml:space="preserve">ВТБ/ Машков Б.И</t>
  </si>
  <si>
    <t xml:space="preserve">Аренда транспорта без экипажа (пр тс)</t>
  </si>
  <si>
    <t xml:space="preserve">Волжский ГОСП №2 УФССП России по Волгоградской области</t>
  </si>
  <si>
    <t>Испол.лист</t>
  </si>
  <si>
    <t xml:space="preserve">Удержание из аренды транспорта Машкова Б. И (пр тс)</t>
  </si>
  <si>
    <t xml:space="preserve">ИФНС по г.Волжскому Волгоградской обл.</t>
  </si>
  <si>
    <t xml:space="preserve">Шибанова Татьяна Ильинична</t>
  </si>
  <si>
    <t xml:space="preserve">Удержание из з/платы Титова А.В</t>
  </si>
  <si>
    <t xml:space="preserve">Марьина Надежда Александровна</t>
  </si>
  <si>
    <t xml:space="preserve">Удержание из з/платы Термуса А.А</t>
  </si>
  <si>
    <t xml:space="preserve">Ермольчева Анна Александровна</t>
  </si>
  <si>
    <t xml:space="preserve">Удержание из з/платы Сафонова В.В</t>
  </si>
  <si>
    <t xml:space="preserve">Сухорукова Лариса Сергеевна</t>
  </si>
  <si>
    <t xml:space="preserve">Удержание из з/платы Горемыкина В.Н</t>
  </si>
  <si>
    <t xml:space="preserve">Чепурик Марина Валерьевна </t>
  </si>
  <si>
    <t xml:space="preserve">Удержание из з/платы Шибитова Т.А</t>
  </si>
  <si>
    <t xml:space="preserve">Волжский ГОСП №1 УФССП России по Волгоградской области</t>
  </si>
  <si>
    <t xml:space="preserve">Удержание из з/платы Дмитриева М.В.</t>
  </si>
  <si>
    <t xml:space="preserve">Дмитриева Юлия Александровна</t>
  </si>
  <si>
    <t>Заявление</t>
  </si>
  <si>
    <t>Испол.лист </t>
  </si>
  <si>
    <t xml:space="preserve">Удержание из з/платы Кузнецова Г.В</t>
  </si>
  <si>
    <t xml:space="preserve">Удержание из з/п Ковалёва Владимира Александровича</t>
  </si>
  <si>
    <t xml:space="preserve">Удержание из зп Бородина М.В.</t>
  </si>
  <si>
    <t xml:space="preserve">Ленинское РОСП ГУФССП по Волг.обл</t>
  </si>
  <si>
    <t xml:space="preserve">Удержание из з/платы Терещенко Р.А.</t>
  </si>
  <si>
    <t xml:space="preserve">Дадоян Рузан Гагиковна</t>
  </si>
  <si>
    <t xml:space="preserve">Удержание из з/платы Торчян О.Г</t>
  </si>
  <si>
    <t xml:space="preserve">Калачевское районное отделение судебных приставов</t>
  </si>
  <si>
    <t xml:space="preserve">Удержание из з/п Сорокина Ильи Алексеевича</t>
  </si>
  <si>
    <t xml:space="preserve">Удержание из з/п Жильцова Игоря Николаевича</t>
  </si>
  <si>
    <t xml:space="preserve">Жильцова Елена Владимировна</t>
  </si>
  <si>
    <t xml:space="preserve">Удержание из з/п Степанова Данила Михайловича</t>
  </si>
  <si>
    <t xml:space="preserve">Удержание из з/п Федорова Никиты Юрьевича</t>
  </si>
  <si>
    <t xml:space="preserve">Гордиенко Екатерина Ивановна</t>
  </si>
  <si>
    <t xml:space="preserve">Удержание из з/п Гордиенко Анатолия Александровича</t>
  </si>
  <si>
    <t xml:space="preserve">ООО "ПКО " САНКОЛЛЕКТ"</t>
  </si>
  <si>
    <t xml:space="preserve">Удержание из з/п Залипаева Ивана Алексеевича</t>
  </si>
  <si>
    <t xml:space="preserve">Коновалюк Полина Евгеньевна</t>
  </si>
  <si>
    <t xml:space="preserve">Удержание из з/п Коновалюка Антона Петровича</t>
  </si>
  <si>
    <t xml:space="preserve">НДФЛ с аренды (пр тс)/Машков</t>
  </si>
  <si>
    <t xml:space="preserve">НДФЛ с аренды (пр тс)/Болотин</t>
  </si>
  <si>
    <t xml:space="preserve">Страх.взносы за февраль 2026г</t>
  </si>
  <si>
    <t xml:space="preserve">ПО РТПЗ</t>
  </si>
  <si>
    <t xml:space="preserve">оплачен 06.03</t>
  </si>
  <si>
    <t>Метком</t>
  </si>
  <si>
    <t xml:space="preserve">СЧЕТ № ФИЛ26-432101 от 10.03.26</t>
  </si>
  <si>
    <t xml:space="preserve">Труба профильная (2 сорт) (некондиция. упаковка)</t>
  </si>
  <si>
    <t xml:space="preserve">В счете не указан договор - Договор поставки №15032021/2217 от 15.03.2021</t>
  </si>
  <si>
    <t xml:space="preserve">ТЛК-Групп ООО</t>
  </si>
  <si>
    <t xml:space="preserve">Счет №5906,5262,5620,5370  от 26.01</t>
  </si>
  <si>
    <t>Бюджет</t>
  </si>
  <si>
    <t xml:space="preserve">Качурин М.О. ИП</t>
  </si>
  <si>
    <t xml:space="preserve">Счет №112,124,207 от 22.01</t>
  </si>
  <si>
    <t xml:space="preserve">Счет №6132,3973,6774,8155 от 04.02</t>
  </si>
  <si>
    <t xml:space="preserve">Промснаб ООО</t>
  </si>
  <si>
    <t xml:space="preserve">Счет №14 от 06.02</t>
  </si>
  <si>
    <t xml:space="preserve">Ушаков  А.С. ИП</t>
  </si>
  <si>
    <t xml:space="preserve">Счет №66 от 09.02</t>
  </si>
  <si>
    <t xml:space="preserve">Счет №50,67,82,41,68,69 от 09.02</t>
  </si>
  <si>
    <t xml:space="preserve">АК №2 ООО</t>
  </si>
  <si>
    <t xml:space="preserve">Счет №1980 от 05.02</t>
  </si>
  <si>
    <t xml:space="preserve">Счет №1867 от 04.02</t>
  </si>
  <si>
    <t xml:space="preserve">СКС-Групп ООО</t>
  </si>
  <si>
    <t xml:space="preserve">Счет №23 от 03.02</t>
  </si>
  <si>
    <t xml:space="preserve">Настина Т.В. ИП</t>
  </si>
  <si>
    <t xml:space="preserve">Счет №18 от 08.02</t>
  </si>
  <si>
    <t xml:space="preserve">Счет №1,36 от 04.02</t>
  </si>
  <si>
    <t xml:space="preserve">Счет №11 от 30.01</t>
  </si>
  <si>
    <t xml:space="preserve">Загребная Н.В. ИП</t>
  </si>
  <si>
    <t xml:space="preserve">Счет №18 от 26.02</t>
  </si>
  <si>
    <t xml:space="preserve">Деловые Линии ООО</t>
  </si>
  <si>
    <t xml:space="preserve">Счет №26-02441188005 от 03.03</t>
  </si>
  <si>
    <t xml:space="preserve">сч.44  сразу на расходы</t>
  </si>
  <si>
    <t>Высокова </t>
  </si>
  <si>
    <t xml:space="preserve">ООО Металл-Инвест </t>
  </si>
  <si>
    <t xml:space="preserve">Счет № 13 от 30.01.2026 </t>
  </si>
  <si>
    <t xml:space="preserve">Спекта Интерпак</t>
  </si>
  <si>
    <t xml:space="preserve">Счет на оплату № 1229 от 03 марта 2026</t>
  </si>
  <si>
    <t xml:space="preserve">Бирки (упаковка)</t>
  </si>
  <si>
    <t xml:space="preserve">ООО НВЭК ПБ</t>
  </si>
  <si>
    <t xml:space="preserve">счет №43 от 03.03.2026</t>
  </si>
  <si>
    <t xml:space="preserve">экспертиза промбезопасности мостовых кранов и диагностика кран-балок (ГПМ)</t>
  </si>
  <si>
    <t xml:space="preserve">ООО ВПЖТ</t>
  </si>
  <si>
    <t xml:space="preserve">счет №57 от 28.02.2026</t>
  </si>
  <si>
    <t xml:space="preserve">предрейсовый медосмотр (пр тс)</t>
  </si>
  <si>
    <t xml:space="preserve">ООО ТК Петролиум</t>
  </si>
  <si>
    <t xml:space="preserve">счет №145 от 05.03.2026</t>
  </si>
  <si>
    <t>ГСМ</t>
  </si>
  <si>
    <t xml:space="preserve">ООО НП Транспортники Волгоградской области</t>
  </si>
  <si>
    <t xml:space="preserve">счет №193 от 28.02.2026</t>
  </si>
  <si>
    <t xml:space="preserve">ООО Экоцентр</t>
  </si>
  <si>
    <t xml:space="preserve">счет №ЭВ-39334 от 28.02.2026</t>
  </si>
  <si>
    <t xml:space="preserve">вывоз ТКО (пр коммун)</t>
  </si>
  <si>
    <t xml:space="preserve">ИП Клюев В.Г.</t>
  </si>
  <si>
    <t xml:space="preserve">счет №11 от 05.03.2026</t>
  </si>
  <si>
    <t xml:space="preserve">химическая очистка теплообменника (АПР)</t>
  </si>
  <si>
    <t xml:space="preserve">ИП Черкас Н.А.</t>
  </si>
  <si>
    <t xml:space="preserve">счет №YGYG1257 от 05.03.2026</t>
  </si>
  <si>
    <t xml:space="preserve">запчасти БМВ Х5 (Метком)</t>
  </si>
  <si>
    <t xml:space="preserve">счет №88145 от 10.03.2026</t>
  </si>
  <si>
    <t xml:space="preserve">счет №43 от 10.03.2026</t>
  </si>
  <si>
    <t xml:space="preserve">запчасти каравелла (Метком)</t>
  </si>
  <si>
    <t xml:space="preserve">ООО "ТД "Антей"</t>
  </si>
  <si>
    <t xml:space="preserve">Спецификация №8 от 27.02.2026</t>
  </si>
  <si>
    <t xml:space="preserve">Аванс за пилы дисковые (АПР)</t>
  </si>
  <si>
    <t xml:space="preserve">Сумма по реестру</t>
  </si>
  <si>
    <t xml:space="preserve">ООО "Агрисовгаз"</t>
  </si>
  <si>
    <t xml:space="preserve">Спецификация №6 от 03.03.2026</t>
  </si>
  <si>
    <t xml:space="preserve">Аванс за шайбы (АПР)</t>
  </si>
  <si>
    <t xml:space="preserve">ООО "ПРОМСТРОЙАВТОМАТИКА"</t>
  </si>
  <si>
    <t xml:space="preserve">Счет-фактура №161 от 20.02.2026</t>
  </si>
  <si>
    <t xml:space="preserve">Замки (Упаковка)</t>
  </si>
  <si>
    <t xml:space="preserve">Интернет Решения</t>
  </si>
  <si>
    <t xml:space="preserve">Счет-Оферта № 0164150363-0049 от 11.03.2026</t>
  </si>
  <si>
    <t xml:space="preserve">Костюм женский (Спецодежда)</t>
  </si>
  <si>
    <t xml:space="preserve">Счет № 20 от 02.02.2026 г. </t>
  </si>
  <si>
    <t>Выростокова</t>
  </si>
  <si>
    <t xml:space="preserve">командировочные Казань</t>
  </si>
  <si>
    <t xml:space="preserve">счет 26 от 26.02.2026</t>
  </si>
  <si>
    <t>.126</t>
  </si>
  <si>
    <t xml:space="preserve">чайники (орг)</t>
  </si>
  <si>
    <t xml:space="preserve">ТСЦ, СУ</t>
  </si>
  <si>
    <t xml:space="preserve">ПАО Мегафон</t>
  </si>
  <si>
    <t xml:space="preserve">счёт 72600253063/400 от 28.02.2026</t>
  </si>
  <si>
    <t xml:space="preserve">оплата услуг связи (8-800)</t>
  </si>
  <si>
    <t xml:space="preserve">счёт 420078146583 от 28.02.26</t>
  </si>
  <si>
    <t xml:space="preserve">оплата услуг связи</t>
  </si>
  <si>
    <t xml:space="preserve">ООО Яндекс 360 для бизнеса</t>
  </si>
  <si>
    <t xml:space="preserve">счёт ЛС-5001351528-1 от 11 марта 2026 г.</t>
  </si>
  <si>
    <t xml:space="preserve">оплата доступа к сервису электронной почты (расх IT)</t>
  </si>
  <si>
    <t xml:space="preserve">Ермолина Е.В</t>
  </si>
  <si>
    <t xml:space="preserve">Стадников А.Ю.</t>
  </si>
  <si>
    <t xml:space="preserve">авансовый отчет</t>
  </si>
  <si>
    <t xml:space="preserve">ТО автомобиля Каравелла</t>
  </si>
  <si>
    <t xml:space="preserve">ОСФР ПО РОСТОВСКОЙ ОБЛАСТИ , Л/С 04584Ф58010)</t>
  </si>
  <si>
    <t xml:space="preserve">КБК 79710212000061000160</t>
  </si>
  <si>
    <t xml:space="preserve">Страховые взносы по НС и ПЗ за февраль 2026г (налоги с фот)</t>
  </si>
  <si>
    <t xml:space="preserve">Крайний срок 16.03.2026</t>
  </si>
  <si>
    <t xml:space="preserve">Панфилова Е.О.</t>
  </si>
  <si>
    <t>СБЕР</t>
  </si>
  <si>
    <t xml:space="preserve">7M-520KROD-XVL от 05.12.2025</t>
  </si>
  <si>
    <t xml:space="preserve">%% по оверу</t>
  </si>
  <si>
    <t>Татевосян</t>
  </si>
  <si>
    <t xml:space="preserve">Ереванский завод стальных труб  Металл Стиль ЗАО</t>
  </si>
  <si>
    <t xml:space="preserve">Письмо от 27.02.2026</t>
  </si>
  <si>
    <t xml:space="preserve">возврат по письму</t>
  </si>
  <si>
    <t xml:space="preserve">Договор №204709-23 от 15.03.2023</t>
  </si>
  <si>
    <t>.25 933 135,75</t>
  </si>
  <si>
    <t>пышный</t>
  </si>
  <si>
    <t>Кармет</t>
  </si>
  <si>
    <t xml:space="preserve">с райфа</t>
  </si>
  <si>
    <t xml:space="preserve">АлСар ТОО</t>
  </si>
  <si>
    <t xml:space="preserve">Контракт № 19Э-2024 от 16.08.2024 </t>
  </si>
  <si>
    <t xml:space="preserve">Возврат денежных средств клиенту.</t>
  </si>
  <si>
    <t xml:space="preserve">РТПЗ Волжский </t>
  </si>
  <si>
    <t xml:space="preserve">Согласовано с Солодовниковым А.Н.</t>
  </si>
  <si>
    <t xml:space="preserve">СЧЕТ № ФИЛ26-434576 от 13.03.26</t>
  </si>
  <si>
    <t xml:space="preserve">Труба профильная 2 сорт (некондиция, упаковка)</t>
  </si>
  <si>
    <t xml:space="preserve">Ченский М.В.</t>
  </si>
  <si>
    <t xml:space="preserve">СтройПартнёр ООО</t>
  </si>
  <si>
    <t xml:space="preserve">Договор №СП23-00689-КР от 12.07.2023</t>
  </si>
  <si>
    <t xml:space="preserve">Мечел-Сервис ООО</t>
  </si>
  <si>
    <t xml:space="preserve">Договор №370019010049 от 01.04.2019</t>
  </si>
  <si>
    <t xml:space="preserve">Счет №3730 от 13.02</t>
  </si>
  <si>
    <t xml:space="preserve">Картавцев ИП</t>
  </si>
  <si>
    <t xml:space="preserve">Счет №1 от 13.02</t>
  </si>
  <si>
    <t xml:space="preserve">Счет №4 от 24.02</t>
  </si>
  <si>
    <t xml:space="preserve">ДЕЛКО ООО</t>
  </si>
  <si>
    <t xml:space="preserve">Счет №14701 от 13.02</t>
  </si>
  <si>
    <t xml:space="preserve">МЭТ ООО</t>
  </si>
  <si>
    <t xml:space="preserve">Счет №739/2026 от 12.02</t>
  </si>
  <si>
    <t xml:space="preserve">АРКС ЛОГИСТИК ООО</t>
  </si>
  <si>
    <t xml:space="preserve">Счет №96 от 12.02</t>
  </si>
  <si>
    <t xml:space="preserve">Землянский С.В. ИП</t>
  </si>
  <si>
    <t xml:space="preserve">Счет №43 от 14.02</t>
  </si>
  <si>
    <t xml:space="preserve">Счет №29 от 04.02</t>
  </si>
  <si>
    <t xml:space="preserve">Счет №29 от 16.02</t>
  </si>
  <si>
    <t xml:space="preserve">Кушнарев ИП</t>
  </si>
  <si>
    <t xml:space="preserve">Счет №8 от 12.02</t>
  </si>
  <si>
    <t xml:space="preserve">Счет №73 от 12.02</t>
  </si>
  <si>
    <t xml:space="preserve">ИП Мангов </t>
  </si>
  <si>
    <t xml:space="preserve">Счет № 82 от 17.02.2026 </t>
  </si>
  <si>
    <t>транспорт </t>
  </si>
  <si>
    <t xml:space="preserve">ИП Григорян Г.К.</t>
  </si>
  <si>
    <t xml:space="preserve">Счет № Р32603-10 от 10.03.2026</t>
  </si>
  <si>
    <t xml:space="preserve">ИП Анохина Л. В.</t>
  </si>
  <si>
    <t xml:space="preserve">Договор №01052024 от 01.05.2024 г.</t>
  </si>
  <si>
    <t xml:space="preserve">НДС не облагается. Аренда движимого имущества по договору №01052024 от 01.05.2024 г. за февраль 2026 г. (прибыль соб-ку)</t>
  </si>
  <si>
    <t xml:space="preserve">ООО Волжская вода</t>
  </si>
  <si>
    <t xml:space="preserve">договор №17/82-В от 18.09.2018</t>
  </si>
  <si>
    <t xml:space="preserve">Вода питьевая за февраль 2026 г.(води стоки)</t>
  </si>
  <si>
    <t xml:space="preserve">ООО Волжские стоки</t>
  </si>
  <si>
    <t xml:space="preserve">договор №17/82-С от 18.09.2018</t>
  </si>
  <si>
    <t xml:space="preserve">Стоки хозфекальные за февраль 2026 г. (вод и стоки)</t>
  </si>
  <si>
    <t xml:space="preserve">ООО Грат</t>
  </si>
  <si>
    <t xml:space="preserve">Счет № 646 от 01.03.26 г.</t>
  </si>
  <si>
    <t xml:space="preserve">Техническая эксплуатация сети газораспределения и сети газопотребления объекта (газопровод среднего давления, ГРУ-400-У1), расположенного по адресу: Волгоградская обл., г. Волжский, ул. Александрова, 76 по дог. №ТЭ-35, от 6.06.2024 г. за Март 2025г. (отопление)</t>
  </si>
  <si>
    <t xml:space="preserve">Счет № 645 от 01.03.26 г.</t>
  </si>
  <si>
    <t xml:space="preserve">Техническое обслуживание, текущий ремонт и аварийно-диспетчерское обслуживание объекта (газопровод низкого давления (532,5 м), внутренний газопровод (32м) и газовое оборудование), расположенного по адресу: Волгоградская обл. г. Волжский, ул. Александрова, 76 по дог №ТО-88 от 6.05.2024г. за Март 2026 г. (отопление)</t>
  </si>
  <si>
    <t xml:space="preserve">ООО Волжскпромжелдортранс</t>
  </si>
  <si>
    <t xml:space="preserve">Счет № 68 от 28.02.2026 г. </t>
  </si>
  <si>
    <t xml:space="preserve">За услуги жд транспорта по договору № 49В/2016 от 26.04.2016 г. за 3 декаду февраля 2025 г (жд)</t>
  </si>
  <si>
    <t xml:space="preserve">счет № 73 от 28.02.2026</t>
  </si>
  <si>
    <t xml:space="preserve">За услуги по договору № 35-11/2021 от 18.02.2021 (пользов. жд краном) за 3 декаду февраля 2026 года (жд)</t>
  </si>
  <si>
    <t xml:space="preserve">Счет № 69 от 28.02.2026 г.</t>
  </si>
  <si>
    <t xml:space="preserve">За услуги по договору № 38-48/2020  (пользов. Жд пути) за февраль 2026 г (жд)</t>
  </si>
  <si>
    <t xml:space="preserve">ООО Резерв</t>
  </si>
  <si>
    <t xml:space="preserve">Счет № 44 от 28.02.2026</t>
  </si>
  <si>
    <t xml:space="preserve">перевозка пассажиров за ФЕВРАЛЬ 2026 г. (Перевозка работников на производство)</t>
  </si>
  <si>
    <t>Копия</t>
  </si>
  <si>
    <t xml:space="preserve">счет №42 от 03.03.2026</t>
  </si>
  <si>
    <t xml:space="preserve">экспертиза промбезопасности цеха (усл сертиф)</t>
  </si>
  <si>
    <t>Скан</t>
  </si>
  <si>
    <t xml:space="preserve">ООО Профмед</t>
  </si>
  <si>
    <t xml:space="preserve">счет №189 от 28.02.2026</t>
  </si>
  <si>
    <t xml:space="preserve">предварительный медосмотр (усл пр-ва)</t>
  </si>
  <si>
    <t xml:space="preserve">ИП Хорищенко </t>
  </si>
  <si>
    <t xml:space="preserve">счет №3 от 04.03.2026</t>
  </si>
  <si>
    <t xml:space="preserve">ремонт кровли АБК (Содержание зданий и помещений)</t>
  </si>
  <si>
    <t xml:space="preserve">Внебюджет ПЛАТИМ</t>
  </si>
  <si>
    <t xml:space="preserve">ООО Фирма Волжский НТЦ</t>
  </si>
  <si>
    <t xml:space="preserve">счет №33 от 28.02.2026</t>
  </si>
  <si>
    <t xml:space="preserve">тех.обслуживание системы учета газа (отопление)</t>
  </si>
  <si>
    <t xml:space="preserve">ООО Кингойл</t>
  </si>
  <si>
    <t xml:space="preserve">счет №56725 от 11.03.2026</t>
  </si>
  <si>
    <t xml:space="preserve">масла для авто, щетки (4150р-рем тс, 12 298,86 - ГСМ)</t>
  </si>
  <si>
    <t xml:space="preserve">Счет № 19167389/50000532 от 11.03.2026</t>
  </si>
  <si>
    <t xml:space="preserve">Аргон, углекислота (сварка)</t>
  </si>
  <si>
    <t xml:space="preserve">ФИРСТ ООО ГК</t>
  </si>
  <si>
    <t xml:space="preserve">Счет-фактура №ФТ-144 от 28.01.2026</t>
  </si>
  <si>
    <t>Спецодежда</t>
  </si>
  <si>
    <t xml:space="preserve">Счет-фактура №1802006142-ВЛЖ от 18.02.2026</t>
  </si>
  <si>
    <t xml:space="preserve">ПРОМПРОЕКТ ООО</t>
  </si>
  <si>
    <t xml:space="preserve">Счет-фактура №70 от 09.02.2026</t>
  </si>
  <si>
    <t xml:space="preserve">Импидоры, стержни, трубки, пластины (РПМ, Инструмент-46 тыс)</t>
  </si>
  <si>
    <t xml:space="preserve">заявление под отчет</t>
  </si>
  <si>
    <t xml:space="preserve">офисные расходы (орг)</t>
  </si>
  <si>
    <t xml:space="preserve">чай, кофе</t>
  </si>
  <si>
    <t xml:space="preserve">почтовые расходы</t>
  </si>
  <si>
    <t xml:space="preserve">отправка и получение корреспонденции</t>
  </si>
  <si>
    <t xml:space="preserve">производственные расходы (РПМ)</t>
  </si>
  <si>
    <t xml:space="preserve">аварийные ситуации на производстве</t>
  </si>
  <si>
    <t xml:space="preserve">ООО Новофон-ОС</t>
  </si>
  <si>
    <t xml:space="preserve">счёт 0013230АВNF от 12 марта 2026 г.</t>
  </si>
  <si>
    <t>БГ</t>
  </si>
  <si>
    <t xml:space="preserve">%% по БГ</t>
  </si>
  <si>
    <t>Николаев</t>
  </si>
  <si>
    <t xml:space="preserve">ПАО "МегаФон"</t>
  </si>
  <si>
    <t xml:space="preserve">Счёт на оплату № 560096635295 от 28.02.2026</t>
  </si>
  <si>
    <t xml:space="preserve">Услуги связи (Договор № 5100811 от 21.09.2017)</t>
  </si>
  <si>
    <t>Волжский</t>
  </si>
  <si>
    <t xml:space="preserve">Оплата 1000 (в счёте 474)</t>
  </si>
  <si>
    <r>
      <rPr>
        <b/>
        <sz val="11"/>
        <color theme="1"/>
        <rFont val="Times New Roman"/>
      </rPr>
      <t xml:space="preserve">Коммерческий отдел </t>
    </r>
    <r>
      <rPr>
        <b/>
        <sz val="11"/>
        <color rgb="FFC00000"/>
        <rFont val="Times New Roman"/>
      </rPr>
      <t xml:space="preserve">(ЛОГИСТИКА / Хранение / ПРР)</t>
    </r>
  </si>
  <si>
    <t xml:space="preserve">Третьяков ИП</t>
  </si>
  <si>
    <t xml:space="preserve">Счет №260012601,26012801,26021101 от 11.02</t>
  </si>
  <si>
    <t xml:space="preserve">Бабенко А.В. ИП</t>
  </si>
  <si>
    <t xml:space="preserve">Счет №54 от 27.02</t>
  </si>
  <si>
    <t xml:space="preserve">Качурин М.О.  ИП</t>
  </si>
  <si>
    <t xml:space="preserve">Счет №324 от 17.02</t>
  </si>
  <si>
    <t xml:space="preserve">Ушаков А.С. ИП</t>
  </si>
  <si>
    <t xml:space="preserve">Счет №82 от 18.02</t>
  </si>
  <si>
    <t xml:space="preserve">Счет №16152 от 18.02</t>
  </si>
  <si>
    <t xml:space="preserve">Исаев М.Е. ИП</t>
  </si>
  <si>
    <t xml:space="preserve">Счет №13 от 11.03</t>
  </si>
  <si>
    <t xml:space="preserve">Счет №36 от 13.02</t>
  </si>
  <si>
    <t xml:space="preserve">Счет №12,14,17 от 16.02</t>
  </si>
  <si>
    <t xml:space="preserve">Счет №106,105,108,125,140,131,352 от 18.02</t>
  </si>
  <si>
    <t xml:space="preserve">Ахметов А.С. ИП</t>
  </si>
  <si>
    <t xml:space="preserve">По Акту сверки от 17.02</t>
  </si>
  <si>
    <t xml:space="preserve">ПАО ТРАНСКОНТЕЙНЕР</t>
  </si>
  <si>
    <t xml:space="preserve">Счет №3577771 от 16.03</t>
  </si>
  <si>
    <t xml:space="preserve">Поволжье-Транс ООО</t>
  </si>
  <si>
    <t xml:space="preserve">Счет №ТЛПТ0006876 от 03.02</t>
  </si>
  <si>
    <t xml:space="preserve">счет № 34 от 11.03.2026</t>
  </si>
  <si>
    <t xml:space="preserve">Транспортно-экспедиционные услуги за 1 декаду марта 2026 года (ЖД)</t>
  </si>
  <si>
    <t xml:space="preserve">счет № 80 от 10.3.2026</t>
  </si>
  <si>
    <t xml:space="preserve">За услуги жд транспорта по договору № 49В/2016 от 26.04.2016 г. за 1 декаду марта 2026 г (ЖД)</t>
  </si>
  <si>
    <t xml:space="preserve">счет № 79 от 10.03.2026</t>
  </si>
  <si>
    <t xml:space="preserve">За услуги по договору № 35-11/2021 от 18.02.2021 (пользов. жд краном) за 1 декаду марта 2026 года (ЖД)</t>
  </si>
  <si>
    <t xml:space="preserve">ООО Донской арсенал</t>
  </si>
  <si>
    <t xml:space="preserve">счет №260 от 12.03.2026</t>
  </si>
  <si>
    <t xml:space="preserve">автошины черри 430 (Метком)</t>
  </si>
  <si>
    <t xml:space="preserve">ООО Волжская противопожарная автоматика</t>
  </si>
  <si>
    <t xml:space="preserve">счет №62 от 03.03.2026</t>
  </si>
  <si>
    <t xml:space="preserve">тех.обслуживание АУПС (усл -пр-ва)</t>
  </si>
  <si>
    <t xml:space="preserve">ООО Газпром межрегионгаз Волгоград</t>
  </si>
  <si>
    <t xml:space="preserve">договор № 09-5-68353/23К</t>
  </si>
  <si>
    <t xml:space="preserve">За потребление газа в феврале 2025 года по договору № 09-5-68353/23К (отопление)</t>
  </si>
  <si>
    <t xml:space="preserve">договор № 09-5-68353/23Б</t>
  </si>
  <si>
    <t xml:space="preserve">За потребление и транспортировку газа в феврале 2025 года по договору № 09-5-68353/23Б (отопление)</t>
  </si>
  <si>
    <t xml:space="preserve">счет №3 от 19.01.2026</t>
  </si>
  <si>
    <t xml:space="preserve">валик, кронштейн, обод (АПР)</t>
  </si>
  <si>
    <t xml:space="preserve">ИП Кузнецова Е.В.</t>
  </si>
  <si>
    <t xml:space="preserve">счет №106 от 16.03.2026</t>
  </si>
  <si>
    <t xml:space="preserve">тех.осмотр ларгус 188 (пр тс)</t>
  </si>
  <si>
    <t xml:space="preserve">МВД по городу Волжскому</t>
  </si>
  <si>
    <t xml:space="preserve">гос.пошлина за тех.осмотр (пр тс)</t>
  </si>
  <si>
    <t xml:space="preserve">счет №YGYG1343 от 16.03.2026</t>
  </si>
  <si>
    <t xml:space="preserve">зап.части БМВ Х5 (Метком)</t>
  </si>
  <si>
    <t xml:space="preserve">ИП Шевцова Е.Б.</t>
  </si>
  <si>
    <t xml:space="preserve">счет-оферта №ШЕ26-159 от 17.03.2026</t>
  </si>
  <si>
    <t xml:space="preserve">шиномонтаж БМВ Х5 (Метком)</t>
  </si>
  <si>
    <t xml:space="preserve">ФБУ Волгоградский ЦСМ</t>
  </si>
  <si>
    <t xml:space="preserve">счет №7316 от 17.03.2026</t>
  </si>
  <si>
    <t xml:space="preserve">поверка СИ (усл сертиф-я)</t>
  </si>
  <si>
    <t xml:space="preserve">ООО Траектория</t>
  </si>
  <si>
    <t xml:space="preserve">счет №4260 от 17.03.2026</t>
  </si>
  <si>
    <t xml:space="preserve">услуги Глонасс (пр тс)</t>
  </si>
  <si>
    <t xml:space="preserve">ООО "Галактика"</t>
  </si>
  <si>
    <t xml:space="preserve">Счет на оплату № 7607 от 17 марта 2026 г.</t>
  </si>
  <si>
    <t xml:space="preserve">Трубки медные (РПМ)</t>
  </si>
  <si>
    <t xml:space="preserve">Счет №19167807/50000532 от 17.03.2026</t>
  </si>
  <si>
    <t xml:space="preserve">Углекислота (сварка)</t>
  </si>
  <si>
    <t xml:space="preserve">Счет №26-02441155052 от 28.02.2026</t>
  </si>
  <si>
    <t xml:space="preserve">Сумма по реестру. База для расчета НДС: 473,2-90 (страховая сумма)=383,20</t>
  </si>
  <si>
    <t xml:space="preserve">Счет 26-04031027088 от 05.03.2026 10:32:56</t>
  </si>
  <si>
    <t xml:space="preserve">Счет 26-01691018333 от 05.03.2026 15:47:33</t>
  </si>
  <si>
    <t xml:space="preserve">Счет 26-50190077149 от 06.03.2026 16:37:22</t>
  </si>
  <si>
    <t xml:space="preserve">Счет 26-01301034942 от 07.03.2026 3:49:24</t>
  </si>
  <si>
    <t xml:space="preserve">Счет 26-00721013042 от 07.03.2026 13:12:34</t>
  </si>
  <si>
    <t xml:space="preserve">Счет 26-00261006699 от 06.03.2026 13:35:44</t>
  </si>
  <si>
    <t xml:space="preserve">Счет 26-00661081932 от 13.03.2026 13:11:37</t>
  </si>
  <si>
    <t xml:space="preserve">Качурин Максим Олегович ИП</t>
  </si>
  <si>
    <t xml:space="preserve">Счет-фактура №М00106 от 16.02.2026</t>
  </si>
  <si>
    <t xml:space="preserve">Брус профилированный (упаковка)</t>
  </si>
  <si>
    <t xml:space="preserve">Счет-фактура №М00145 от 03.03.2026</t>
  </si>
  <si>
    <t>ЭкоСтрой</t>
  </si>
  <si>
    <t xml:space="preserve">Счет-фактуры №30 от 26.01.2026, 57 от 13.02.2026, 61 от 16.02.2026</t>
  </si>
  <si>
    <t xml:space="preserve">Да </t>
  </si>
  <si>
    <t xml:space="preserve">Копия/ Сумма по реестру</t>
  </si>
  <si>
    <t xml:space="preserve">счет №89604 от 18.03.2026</t>
  </si>
  <si>
    <t xml:space="preserve">ремонт БМВ Х5 (Метом)</t>
  </si>
  <si>
    <t xml:space="preserve">ИП Данилов ВД</t>
  </si>
  <si>
    <t xml:space="preserve">сч 146 от 02.03.26</t>
  </si>
  <si>
    <t xml:space="preserve">аренда офис март</t>
  </si>
  <si>
    <t xml:space="preserve">Ермолина ЕВ</t>
  </si>
  <si>
    <t xml:space="preserve">Добрынин Н.Н.</t>
  </si>
  <si>
    <t xml:space="preserve">ТО автомобиля Volkswagen Caravelle</t>
  </si>
  <si>
    <t xml:space="preserve">Сталепромышленная компания АО</t>
  </si>
  <si>
    <t xml:space="preserve">Договор поставки № 30/2019 от 02.04.2019</t>
  </si>
  <si>
    <t>кармет</t>
  </si>
  <si>
    <t>ПСБ</t>
  </si>
  <si>
    <t>84-32315/0353</t>
  </si>
  <si>
    <t xml:space="preserve">%% по ВКЛ</t>
  </si>
  <si>
    <t xml:space="preserve">ИП  Хачатрян </t>
  </si>
  <si>
    <t xml:space="preserve">Счет № 17 от 05.03.2026</t>
  </si>
  <si>
    <t xml:space="preserve">Воробьев А.Н. ИП</t>
  </si>
  <si>
    <t xml:space="preserve">Счет №31 от 17.02</t>
  </si>
  <si>
    <t xml:space="preserve">Делко ООО</t>
  </si>
  <si>
    <t xml:space="preserve">Счет №17677 от 19.02</t>
  </si>
  <si>
    <t xml:space="preserve">Третьяков В.И. </t>
  </si>
  <si>
    <t xml:space="preserve">Счет №25120501 от 05.12</t>
  </si>
  <si>
    <t xml:space="preserve">Счет №1998,1995 от 18.02</t>
  </si>
  <si>
    <t xml:space="preserve">Счет №350 от 20.02</t>
  </si>
  <si>
    <t xml:space="preserve">ТК Никотранс ООО</t>
  </si>
  <si>
    <t xml:space="preserve">Счет №3526 от 20.02</t>
  </si>
  <si>
    <t>КОПИЯ</t>
  </si>
  <si>
    <t xml:space="preserve">Долотказин Р.Р ИП</t>
  </si>
  <si>
    <t xml:space="preserve">Счет №13 от 20.02</t>
  </si>
  <si>
    <t xml:space="preserve">Ес-Логистик ООО</t>
  </si>
  <si>
    <t xml:space="preserve">Счет №489 от 18.02</t>
  </si>
  <si>
    <t xml:space="preserve">Счет №37 от 09.02</t>
  </si>
  <si>
    <t xml:space="preserve">Счет №26,18,20,19 от 24.02</t>
  </si>
  <si>
    <t xml:space="preserve">Счет №110,107,66,71,126,127,132,138,137 от 20.02</t>
  </si>
  <si>
    <t xml:space="preserve">7M-520COP9-JD8 от 05.05.2025</t>
  </si>
  <si>
    <t>неттинг</t>
  </si>
  <si>
    <t xml:space="preserve">Налог на прибыль 2025г.</t>
  </si>
  <si>
    <t xml:space="preserve">не позднее 30.03.2026</t>
  </si>
  <si>
    <t xml:space="preserve">Зар.плата за 1 половину марта 2026г</t>
  </si>
  <si>
    <t xml:space="preserve">НДФЛ (период с 23.03 по 31.03.2025)</t>
  </si>
  <si>
    <t>30501.41</t>
  </si>
  <si>
    <t xml:space="preserve">На карту третьих лиц /Реквизиты Гришиной Елизаветы Николаевны</t>
  </si>
  <si>
    <t xml:space="preserve">Кузнеченков И.А. ИП</t>
  </si>
  <si>
    <t xml:space="preserve">Счет №21 от 05.03</t>
  </si>
  <si>
    <t xml:space="preserve">Счет №56,50,58,59 от 14.03</t>
  </si>
  <si>
    <t xml:space="preserve">Счет №402,401 от 24.02</t>
  </si>
  <si>
    <t xml:space="preserve">Кушнарев Ю.Н. ИП</t>
  </si>
  <si>
    <t xml:space="preserve">Счет №9 от 16.02</t>
  </si>
  <si>
    <t xml:space="preserve">Счет №89 от 24.02</t>
  </si>
  <si>
    <t xml:space="preserve">Исаев ИП</t>
  </si>
  <si>
    <t xml:space="preserve">Счет №15 от 16.03</t>
  </si>
  <si>
    <t xml:space="preserve">Договор № 01/05/24/01 от 01.05.2024 г.</t>
  </si>
  <si>
    <t xml:space="preserve">НДС не облагается. Аренда движимого имущества по договору№ 01/05/24/01 от 01.05.2024 г. за февраль 2026 г. (прибыль соб-ку)</t>
  </si>
  <si>
    <t xml:space="preserve">РТПЗ Голова</t>
  </si>
  <si>
    <t xml:space="preserve">Договор № 01/05/24/02 от 01.05.2024 г.</t>
  </si>
  <si>
    <t xml:space="preserve">НДС не облагается. Аренда движимого имущества по договору  № 01/05/24/02 от 01.05.2024 г. за февраль 2026 г. (прибыль соб-ку)</t>
  </si>
  <si>
    <t xml:space="preserve">ООО Электросила</t>
  </si>
  <si>
    <t xml:space="preserve">счет №73 от 13.03.2026</t>
  </si>
  <si>
    <t xml:space="preserve">ремонт электродвигателя (АПР)</t>
  </si>
  <si>
    <t xml:space="preserve">счет №YGYG1375 от 19.03.2026</t>
  </si>
  <si>
    <t xml:space="preserve">ТПК ООО</t>
  </si>
  <si>
    <t xml:space="preserve">Счет-фактура №220 от 18.03.2026</t>
  </si>
  <si>
    <t xml:space="preserve">Проволока (сварка)</t>
  </si>
  <si>
    <t xml:space="preserve">КИНГОЙЛ ООО</t>
  </si>
  <si>
    <t xml:space="preserve">Счет-фактура №47554 от 06.03.2026</t>
  </si>
  <si>
    <t xml:space="preserve">Масло гидравл (смазочные)</t>
  </si>
  <si>
    <t xml:space="preserve">КОПИЯ/Сумма по реестру</t>
  </si>
  <si>
    <t xml:space="preserve">ЭНЕРГОКОМ ООО ﻿</t>
  </si>
  <si>
    <t xml:space="preserve">Счет-фактура №063/2253 от 27.02.2026</t>
  </si>
  <si>
    <t xml:space="preserve">Электроматериалы (РПМ)</t>
  </si>
  <si>
    <t xml:space="preserve">Стержни, трубки (РПМ)</t>
  </si>
  <si>
    <t xml:space="preserve">Счет №19168306/50000532 от 24.03.2026</t>
  </si>
  <si>
    <t xml:space="preserve">Аргон (сварка)</t>
  </si>
  <si>
    <t xml:space="preserve">счет №24 от 23.03.2026</t>
  </si>
  <si>
    <t xml:space="preserve">счет 1927 от 23.03.2026</t>
  </si>
  <si>
    <t xml:space="preserve">счет №89883 от 18.03.2026</t>
  </si>
  <si>
    <t>Мирошников</t>
  </si>
  <si>
    <t xml:space="preserve">билеты Узбекистан</t>
  </si>
  <si>
    <t xml:space="preserve">ПАО Вымпелком</t>
  </si>
  <si>
    <t xml:space="preserve">счёт 101191736436 от 05.03.26</t>
  </si>
  <si>
    <t xml:space="preserve">счёт 602-U00OL от 28.02.26</t>
  </si>
  <si>
    <t xml:space="preserve">ООО ТД Мистер Пэн</t>
  </si>
  <si>
    <t xml:space="preserve">счёт 34 от 23.03.26</t>
  </si>
  <si>
    <t xml:space="preserve">покупка риббона для термотрансферного принтера (расх IT)</t>
  </si>
  <si>
    <t xml:space="preserve">ООО ПАУЭРНЕТ</t>
  </si>
  <si>
    <t xml:space="preserve">счёт 991 от 28.02.26</t>
  </si>
  <si>
    <t xml:space="preserve">ИП Николаевский А.В.</t>
  </si>
  <si>
    <t xml:space="preserve">счёт 7 от 31.01.26</t>
  </si>
  <si>
    <t xml:space="preserve">Сервисной техническое обслуживание сети видеонаблюдения за январь 2026 (орг)</t>
  </si>
  <si>
    <t xml:space="preserve">счёт 32 от 31.10.25</t>
  </si>
  <si>
    <t xml:space="preserve">Сервисной техническое обслуживание сети видеонаблюдения за октябрь 2025 (орг)</t>
  </si>
  <si>
    <t xml:space="preserve">счёт 36 от 28.11.25</t>
  </si>
  <si>
    <t xml:space="preserve">Сервисной техническое обслуживание сети видеонаблюдения за ноябрь 2025 (орг)</t>
  </si>
  <si>
    <t xml:space="preserve">счёт 37 от 30.12.25</t>
  </si>
  <si>
    <t xml:space="preserve">Сервисной техническое обслуживание сети видеонаблюдения за декабрь 2025 (орг)</t>
  </si>
  <si>
    <t xml:space="preserve">Солодовников АН</t>
  </si>
  <si>
    <t xml:space="preserve">командировочные Воронеж</t>
  </si>
  <si>
    <t xml:space="preserve">Сбер Волжский/Швец</t>
  </si>
  <si>
    <t xml:space="preserve">Оплата по договору ГПХ за март 2026г/Составление программ для токарного станка с ЧПУ (13 программ) (АПР)</t>
  </si>
  <si>
    <t xml:space="preserve">НДФЛ по договору ГПХ/Швец (период с 23.03 по 31.03.2025) (АПР)</t>
  </si>
  <si>
    <t xml:space="preserve">Котельникова Т.В.</t>
  </si>
  <si>
    <t xml:space="preserve">НДС 1/3 за 4 кв.2025</t>
  </si>
  <si>
    <t xml:space="preserve">срок оплаты до 28.03.2026</t>
  </si>
  <si>
    <t xml:space="preserve">Страховые взносы за февраль 2026г(налоги с фот)</t>
  </si>
  <si>
    <t xml:space="preserve">Крайний срок 30.03.2026</t>
  </si>
  <si>
    <r>
      <rPr>
        <b/>
        <sz val="11"/>
        <color theme="1"/>
        <rFont val="Times New Roman"/>
      </rPr>
      <t xml:space="preserve">Коммерческий отдел </t>
    </r>
    <r>
      <rPr>
        <b/>
        <sz val="11"/>
        <color rgb="FFC00000"/>
        <rFont val="Times New Roman"/>
      </rPr>
      <t xml:space="preserve">(ПОСТАВЩИКИ / ПОКУПАТЕЛИ)</t>
    </r>
  </si>
  <si>
    <t xml:space="preserve">счет №94 от 26.03.2026</t>
  </si>
  <si>
    <t xml:space="preserve">НДФЛ (период с 01.03-22.03.2026) (налоги с фот)</t>
  </si>
  <si>
    <t>.977032,5</t>
  </si>
  <si>
    <t xml:space="preserve">Внебюджет платим</t>
  </si>
  <si>
    <t>Антоненко</t>
  </si>
  <si>
    <t xml:space="preserve">ИП ПОГУДИН ГРИГОРИЙ АНДРЕЕВИЧ</t>
  </si>
  <si>
    <t xml:space="preserve">Счет на оплату № 522 от 25 марта 2026 г.</t>
  </si>
  <si>
    <t>.4000</t>
  </si>
  <si>
    <t xml:space="preserve">Брошюра ООО «РТПЗ», полимерный рулон, 4
страницы, А5</t>
  </si>
  <si>
    <t xml:space="preserve">Прибыль доплата год 2025 и аванс март 2026</t>
  </si>
  <si>
    <t xml:space="preserve">Бюджет 10тыс</t>
  </si>
  <si>
    <t>.50000000</t>
  </si>
  <si>
    <t xml:space="preserve">гасим тело долга </t>
  </si>
  <si>
    <t xml:space="preserve">НЕТ (Пышный)</t>
  </si>
  <si>
    <t xml:space="preserve">Прибыль  аванс март 2026</t>
  </si>
  <si>
    <t xml:space="preserve">НДС не облагается. Аренда движимого имущества по договору №01052024 от 01.05.2024 г. за февраль 2026 г.</t>
  </si>
  <si>
    <t>Ермолина</t>
  </si>
  <si>
    <t xml:space="preserve">Сидоров И В</t>
  </si>
  <si>
    <t xml:space="preserve">шиномонтаж авто CHERY 430</t>
  </si>
  <si>
    <t xml:space="preserve">Внебюджет МЕТКОМ</t>
  </si>
  <si>
    <t xml:space="preserve">посмотрим (пышный)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</si>
</sst>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[$-F800]dddd\,\ mmmm\ dd\,\ yyyy"/>
    <numFmt numFmtId="161" formatCode="_-* #,##0.00_р_._-;\-* #,##0.00_р_._-;_-* &quot;-&quot;??_р_._-;_-@_-"/>
    <numFmt numFmtId="162" formatCode="#,##0.00_ ;[Red]\-#,##0.00\ "/>
  </numFmts>
  <fonts count="20">
    <font>
      <sz val="11.000000"/>
      <color theme="1"/>
      <name val="Calibri"/>
      <scheme val="minor"/>
    </font>
    <font>
      <sz val="11.000000"/>
      <name val="Calibri"/>
    </font>
    <font>
      <sz val="11.000000"/>
      <color theme="1"/>
      <name val="Times New Roman"/>
    </font>
    <font>
      <b/>
      <sz val="11.000000"/>
      <color theme="1"/>
      <name val="Times New Roman"/>
    </font>
    <font>
      <b/>
      <i/>
      <u/>
      <sz val="12.000000"/>
      <color theme="1"/>
      <name val="Times New Roman"/>
    </font>
    <font>
      <b/>
      <sz val="13.000000"/>
      <color theme="1"/>
      <name val="Times New Roman"/>
    </font>
    <font>
      <b/>
      <i/>
      <sz val="11.000000"/>
      <color theme="1"/>
      <name val="Times New Roman"/>
    </font>
    <font>
      <i/>
      <sz val="11.000000"/>
      <color theme="1"/>
      <name val="Times New Roman"/>
    </font>
    <font>
      <b/>
      <sz val="9.000000"/>
      <color theme="1"/>
      <name val="Times New Roman"/>
    </font>
    <font>
      <b/>
      <sz val="11.000000"/>
      <name val="Times New Roman"/>
    </font>
    <font>
      <b/>
      <sz val="11.000000"/>
      <color rgb="FFC00000"/>
      <name val="Times New Roman"/>
    </font>
    <font>
      <b/>
      <sz val="11.000000"/>
      <color indexed="2"/>
      <name val="Calibri"/>
      <scheme val="minor"/>
    </font>
    <font>
      <b val="0"/>
      <i val="0"/>
      <strike val="0"/>
      <u val="none"/>
      <sz val="11.000000"/>
      <name val="Times New Roman"/>
    </font>
    <font>
      <b val="0"/>
      <i val="0"/>
      <strike val="0"/>
      <u val="none"/>
      <sz val="12.000000"/>
      <name val="Times New Roman"/>
    </font>
    <font>
      <b/>
      <sz val="11.000000"/>
      <color indexed="2"/>
      <name val="Times New Roman"/>
    </font>
    <font>
      <b/>
      <i val="0"/>
      <strike val="0"/>
      <u val="none"/>
      <sz val="12.000000"/>
      <name val="Times New Roman"/>
    </font>
    <font>
      <sz val="11.000000"/>
      <name val="Times New Roman"/>
    </font>
    <font>
      <b/>
      <i val="0"/>
      <strike val="0"/>
      <u val="none"/>
      <sz val="12.000000"/>
      <color indexed="2"/>
      <name val="Times New Roman"/>
    </font>
    <font>
      <sz val="12.000000"/>
      <color theme="1"/>
      <name val="Times New Roman"/>
    </font>
    <font>
      <sz val="11.000000"/>
      <color indexed="2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indexed="2"/>
        <bgColor indexed="2"/>
      </patternFill>
    </fill>
    <fill>
      <patternFill patternType="solid">
        <fgColor rgb="FFFFCCFF"/>
        <bgColor rgb="FFFFCCFF"/>
      </patternFill>
    </fill>
    <fill>
      <patternFill patternType="solid">
        <fgColor theme="0" tint="0"/>
        <bgColor theme="0" tint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70C0"/>
        <bgColor rgb="FF0070C0"/>
      </patternFill>
    </fill>
    <fill>
      <patternFill patternType="solid">
        <fgColor rgb="FFF5C6F7"/>
        <bgColor rgb="FFF5C6F7"/>
      </patternFill>
    </fill>
    <fill>
      <patternFill patternType="solid">
        <fgColor rgb="FFC00000"/>
        <bgColor rgb="FFC00000"/>
      </patternFill>
    </fill>
  </fills>
  <borders count="75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thin">
        <color theme="1"/>
      </top>
      <bottom style="thin">
        <color theme="1"/>
      </bottom>
      <diagonal style="none"/>
    </border>
  </borders>
  <cellStyleXfs count="5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</cellStyleXfs>
  <cellXfs count="367">
    <xf fontId="0" fillId="0" borderId="0" numFmtId="0" xfId="0"/>
    <xf fontId="0" fillId="0" borderId="0" numFmtId="0" xfId="4"/>
    <xf fontId="2" fillId="0" borderId="0" numFmtId="0" xfId="4" applyFont="1"/>
    <xf fontId="2" fillId="0" borderId="0" numFmtId="0" xfId="4" applyFont="1" applyAlignment="1">
      <alignment horizontal="center" wrapText="1"/>
    </xf>
    <xf fontId="3" fillId="0" borderId="0" numFmtId="0" xfId="4" applyFont="1"/>
    <xf fontId="4" fillId="2" borderId="1" numFmtId="160" xfId="4" applyNumberFormat="1" applyFont="1" applyFill="1" applyBorder="1" applyAlignment="1" applyProtection="1">
      <alignment horizontal="center" vertical="center"/>
      <protection locked="0"/>
    </xf>
    <xf fontId="3" fillId="0" borderId="0" numFmtId="161" xfId="4" applyNumberFormat="1" applyFont="1"/>
    <xf fontId="3" fillId="0" borderId="0" numFmtId="0" xfId="4" applyFont="1" applyAlignment="1">
      <alignment wrapText="1"/>
    </xf>
    <xf fontId="5" fillId="3" borderId="2" numFmtId="0" xfId="4" applyFont="1" applyFill="1" applyBorder="1" applyAlignment="1" applyProtection="1">
      <alignment horizontal="center" vertical="center" wrapText="1"/>
      <protection locked="0"/>
    </xf>
    <xf fontId="5" fillId="3" borderId="3" numFmtId="0" xfId="4" applyFont="1" applyFill="1" applyBorder="1" applyAlignment="1" applyProtection="1">
      <alignment horizontal="center" vertical="center" wrapText="1"/>
      <protection locked="0"/>
    </xf>
    <xf fontId="5" fillId="3" borderId="4" numFmtId="0" xfId="4" applyFont="1" applyFill="1" applyBorder="1" applyAlignment="1" applyProtection="1">
      <alignment horizontal="center" vertical="center" wrapText="1"/>
      <protection locked="0"/>
    </xf>
    <xf fontId="5" fillId="3" borderId="4" numFmtId="162" xfId="4" applyNumberFormat="1" applyFont="1" applyFill="1" applyBorder="1" applyAlignment="1" applyProtection="1">
      <alignment horizontal="center" vertical="center"/>
      <protection locked="0"/>
    </xf>
    <xf fontId="3" fillId="0" borderId="0" numFmtId="0" xfId="4" applyFont="1" applyAlignment="1">
      <alignment horizontal="center" vertical="center" wrapText="1"/>
    </xf>
    <xf fontId="6" fillId="0" borderId="5" numFmtId="0" xfId="4" applyFont="1" applyBorder="1" applyAlignment="1" applyProtection="1">
      <alignment horizontal="right" vertical="center" wrapText="1"/>
      <protection locked="0"/>
    </xf>
    <xf fontId="6" fillId="0" borderId="6" numFmtId="0" xfId="4" applyFont="1" applyBorder="1" applyAlignment="1" applyProtection="1">
      <alignment horizontal="right" vertical="center" wrapText="1"/>
      <protection locked="0"/>
    </xf>
    <xf fontId="6" fillId="0" borderId="7" numFmtId="0" xfId="4" applyFont="1" applyBorder="1" applyAlignment="1" applyProtection="1">
      <alignment horizontal="right" vertical="center" wrapText="1"/>
      <protection locked="0"/>
    </xf>
    <xf fontId="7" fillId="0" borderId="8" numFmtId="162" xfId="4" applyNumberFormat="1" applyFont="1" applyBorder="1" applyAlignment="1" applyProtection="1">
      <alignment horizontal="right" vertical="center" wrapText="1"/>
      <protection locked="0"/>
    </xf>
    <xf fontId="6" fillId="0" borderId="9" numFmtId="0" xfId="4" applyFont="1" applyBorder="1" applyAlignment="1" applyProtection="1">
      <alignment horizontal="right" vertical="center" wrapText="1"/>
      <protection locked="0"/>
    </xf>
    <xf fontId="6" fillId="0" borderId="10" numFmtId="0" xfId="4" applyFont="1" applyBorder="1" applyAlignment="1" applyProtection="1">
      <alignment horizontal="right" vertical="center" wrapText="1"/>
      <protection locked="0"/>
    </xf>
    <xf fontId="6" fillId="0" borderId="11" numFmtId="0" xfId="4" applyFont="1" applyBorder="1" applyAlignment="1" applyProtection="1">
      <alignment horizontal="right" vertical="center" wrapText="1"/>
      <protection locked="0"/>
    </xf>
    <xf fontId="7" fillId="0" borderId="12" numFmtId="162" xfId="4" applyNumberFormat="1" applyFont="1" applyBorder="1" applyAlignment="1" applyProtection="1">
      <alignment horizontal="right" vertical="center" wrapText="1"/>
      <protection locked="0"/>
    </xf>
    <xf fontId="7" fillId="0" borderId="9" numFmtId="0" xfId="4" applyFont="1" applyBorder="1" applyAlignment="1" applyProtection="1">
      <alignment horizontal="right" vertical="center" wrapText="1"/>
      <protection locked="0"/>
    </xf>
    <xf fontId="7" fillId="0" borderId="13" numFmtId="162" xfId="4" applyNumberFormat="1" applyFont="1" applyBorder="1" applyAlignment="1" applyProtection="1">
      <alignment horizontal="right" vertical="center" wrapText="1"/>
      <protection locked="0"/>
    </xf>
    <xf fontId="7" fillId="0" borderId="14" numFmtId="0" xfId="4" applyFont="1" applyBorder="1" applyAlignment="1" applyProtection="1">
      <alignment horizontal="right" vertical="center" wrapText="1"/>
      <protection locked="0"/>
    </xf>
    <xf fontId="6" fillId="0" borderId="15" numFmtId="0" xfId="4" applyFont="1" applyBorder="1" applyAlignment="1" applyProtection="1">
      <alignment horizontal="right" vertical="center" wrapText="1"/>
      <protection locked="0"/>
    </xf>
    <xf fontId="6" fillId="0" borderId="16" numFmtId="0" xfId="4" applyFont="1" applyBorder="1" applyAlignment="1" applyProtection="1">
      <alignment horizontal="right" vertical="center" wrapText="1"/>
      <protection locked="0"/>
    </xf>
    <xf fontId="7" fillId="0" borderId="17" numFmtId="162" xfId="4" applyNumberFormat="1" applyFont="1" applyBorder="1" applyAlignment="1" applyProtection="1">
      <alignment horizontal="right" vertical="center" wrapText="1"/>
      <protection locked="0"/>
    </xf>
    <xf fontId="7" fillId="0" borderId="0" numFmtId="0" xfId="4" applyFont="1" applyAlignment="1">
      <alignment horizontal="center" vertical="center" wrapText="1"/>
    </xf>
    <xf fontId="8" fillId="0" borderId="18" numFmtId="0" xfId="4" applyFont="1" applyBorder="1" applyAlignment="1">
      <alignment horizontal="center" vertical="center" wrapText="1"/>
    </xf>
    <xf fontId="8" fillId="0" borderId="18" numFmtId="161" xfId="4" applyNumberFormat="1" applyFont="1" applyBorder="1" applyAlignment="1">
      <alignment horizontal="center" vertical="center" wrapText="1"/>
    </xf>
    <xf fontId="9" fillId="0" borderId="1" numFmtId="0" xfId="0" applyFont="1" applyBorder="1" applyAlignment="1">
      <alignment horizontal="center" vertical="center" wrapText="1"/>
    </xf>
    <xf fontId="8" fillId="4" borderId="18" numFmtId="0" xfId="4" applyFont="1" applyFill="1" applyBorder="1" applyAlignment="1">
      <alignment horizontal="center" vertical="center" wrapText="1"/>
    </xf>
    <xf fontId="0" fillId="0" borderId="0" numFmtId="0" xfId="4" applyAlignment="1">
      <alignment vertical="center"/>
    </xf>
    <xf fontId="3" fillId="5" borderId="2" numFmtId="0" xfId="4" applyFont="1" applyFill="1" applyBorder="1" applyAlignment="1">
      <alignment vertical="center"/>
    </xf>
    <xf fontId="3" fillId="5" borderId="3" numFmtId="0" xfId="4" applyFont="1" applyFill="1" applyBorder="1" applyAlignment="1">
      <alignment vertical="center"/>
    </xf>
    <xf fontId="3" fillId="5" borderId="3" numFmtId="0" xfId="4" applyFont="1" applyFill="1" applyBorder="1" applyAlignment="1">
      <alignment horizontal="center" vertical="center"/>
    </xf>
    <xf fontId="3" fillId="5" borderId="3" numFmtId="0" xfId="4" applyFont="1" applyFill="1" applyBorder="1" applyAlignment="1">
      <alignment horizontal="left" vertical="center"/>
    </xf>
    <xf fontId="3" fillId="5" borderId="3" numFmtId="162" xfId="4" applyNumberFormat="1" applyFont="1" applyFill="1" applyBorder="1" applyAlignment="1">
      <alignment vertical="center"/>
    </xf>
    <xf fontId="3" fillId="5" borderId="4" numFmtId="0" xfId="4" applyFont="1" applyFill="1" applyBorder="1" applyAlignment="1">
      <alignment vertical="center"/>
    </xf>
    <xf fontId="2" fillId="0" borderId="19" numFmtId="0" xfId="4" applyFont="1" applyBorder="1" applyProtection="1">
      <protection locked="0"/>
    </xf>
    <xf fontId="2" fillId="0" borderId="20" numFmtId="0" xfId="4" applyFont="1" applyBorder="1" applyProtection="1">
      <protection locked="0"/>
    </xf>
    <xf fontId="2" fillId="0" borderId="20" numFmtId="162" xfId="4" applyNumberFormat="1" applyFont="1" applyBorder="1" applyProtection="1">
      <protection locked="0"/>
    </xf>
    <xf fontId="2" fillId="0" borderId="20" numFmtId="0" xfId="4" applyFont="1" applyBorder="1" applyAlignment="1" applyProtection="1">
      <alignment wrapText="1"/>
      <protection locked="0"/>
    </xf>
    <xf fontId="0" fillId="0" borderId="20" numFmtId="0" xfId="4" applyBorder="1"/>
    <xf fontId="0" fillId="0" borderId="21" numFmtId="0" xfId="4" applyBorder="1"/>
    <xf fontId="2" fillId="0" borderId="22" numFmtId="0" xfId="4" applyFont="1" applyBorder="1" applyProtection="1">
      <protection locked="0"/>
    </xf>
    <xf fontId="2" fillId="0" borderId="23" numFmtId="0" xfId="4" applyFont="1" applyBorder="1" applyProtection="1">
      <protection locked="0"/>
    </xf>
    <xf fontId="2" fillId="0" borderId="23" numFmtId="162" xfId="4" applyNumberFormat="1" applyFont="1" applyBorder="1" applyProtection="1">
      <protection locked="0"/>
    </xf>
    <xf fontId="2" fillId="0" borderId="23" numFmtId="0" xfId="4" applyFont="1" applyBorder="1" applyAlignment="1" applyProtection="1">
      <alignment wrapText="1"/>
      <protection locked="0"/>
    </xf>
    <xf fontId="0" fillId="0" borderId="23" numFmtId="0" xfId="4" applyBorder="1"/>
    <xf fontId="0" fillId="0" borderId="24" numFmtId="0" xfId="4" applyBorder="1"/>
    <xf fontId="10" fillId="5" borderId="3" numFmtId="0" xfId="4" applyFont="1" applyFill="1" applyBorder="1" applyAlignment="1">
      <alignment vertical="center"/>
    </xf>
    <xf fontId="2" fillId="0" borderId="25" numFmtId="0" xfId="4" applyFont="1" applyBorder="1" applyProtection="1">
      <protection locked="0"/>
    </xf>
    <xf fontId="2" fillId="0" borderId="25" numFmtId="162" xfId="4" applyNumberFormat="1" applyFont="1" applyBorder="1" applyProtection="1">
      <protection locked="0"/>
    </xf>
    <xf fontId="2" fillId="0" borderId="25" numFmtId="0" xfId="4" applyFont="1" applyBorder="1" applyAlignment="1" applyProtection="1">
      <alignment wrapText="1"/>
      <protection locked="0"/>
    </xf>
    <xf fontId="0" fillId="0" borderId="25" numFmtId="0" xfId="4" applyBorder="1"/>
    <xf fontId="0" fillId="0" borderId="26" numFmtId="0" xfId="4" applyBorder="1"/>
    <xf fontId="2" fillId="0" borderId="27" numFmtId="0" xfId="4" applyFont="1" applyBorder="1" applyProtection="1">
      <protection locked="0"/>
    </xf>
    <xf fontId="2" fillId="0" borderId="27" numFmtId="162" xfId="4" applyNumberFormat="1" applyFont="1" applyBorder="1" applyProtection="1">
      <protection locked="0"/>
    </xf>
    <xf fontId="2" fillId="0" borderId="27" numFmtId="0" xfId="4" applyFont="1" applyBorder="1" applyAlignment="1" applyProtection="1">
      <alignment wrapText="1"/>
      <protection locked="0"/>
    </xf>
    <xf fontId="0" fillId="0" borderId="27" numFmtId="0" xfId="4" applyBorder="1"/>
    <xf fontId="0" fillId="0" borderId="28" numFmtId="0" xfId="4" applyBorder="1"/>
    <xf fontId="2" fillId="0" borderId="29" numFmtId="0" xfId="4" applyFont="1" applyBorder="1" applyProtection="1">
      <protection locked="0"/>
    </xf>
    <xf fontId="2" fillId="0" borderId="30" numFmtId="0" xfId="4" applyFont="1" applyBorder="1" applyProtection="1">
      <protection locked="0"/>
    </xf>
    <xf fontId="3" fillId="3" borderId="2" numFmtId="0" xfId="4" applyFont="1" applyFill="1" applyBorder="1" applyAlignment="1">
      <alignment horizontal="left"/>
    </xf>
    <xf fontId="3" fillId="3" borderId="3" numFmtId="0" xfId="4" applyFont="1" applyFill="1" applyBorder="1" applyAlignment="1">
      <alignment horizontal="left"/>
    </xf>
    <xf fontId="3" fillId="3" borderId="1" numFmtId="162" xfId="4" applyNumberFormat="1" applyFont="1" applyFill="1" applyBorder="1"/>
    <xf fontId="11" fillId="0" borderId="0" numFmtId="0" xfId="4" applyFont="1"/>
    <xf fontId="5" fillId="6" borderId="2" numFmtId="0" xfId="4" applyFont="1" applyFill="1" applyBorder="1" applyAlignment="1" applyProtection="1">
      <alignment horizontal="center" vertical="center" wrapText="1"/>
      <protection locked="0"/>
    </xf>
    <xf fontId="5" fillId="6" borderId="3" numFmtId="0" xfId="4" applyFont="1" applyFill="1" applyBorder="1" applyAlignment="1" applyProtection="1">
      <alignment horizontal="center" vertical="center" wrapText="1"/>
      <protection locked="0"/>
    </xf>
    <xf fontId="5" fillId="6" borderId="4" numFmtId="0" xfId="4" applyFont="1" applyFill="1" applyBorder="1" applyAlignment="1" applyProtection="1">
      <alignment horizontal="center" vertical="center" wrapText="1"/>
      <protection locked="0"/>
    </xf>
    <xf fontId="5" fillId="6" borderId="1" numFmtId="162" xfId="4" applyNumberFormat="1" applyFont="1" applyFill="1" applyBorder="1" applyAlignment="1" applyProtection="1">
      <alignment horizontal="center" vertical="center"/>
      <protection locked="0"/>
    </xf>
    <xf fontId="6" fillId="0" borderId="31" numFmtId="0" xfId="4" applyFont="1" applyBorder="1" applyAlignment="1" applyProtection="1">
      <alignment horizontal="right" vertical="center" wrapText="1"/>
      <protection locked="0"/>
    </xf>
    <xf fontId="6" fillId="0" borderId="32" numFmtId="0" xfId="4" applyFont="1" applyBorder="1" applyAlignment="1" applyProtection="1">
      <alignment horizontal="right" vertical="center" wrapText="1"/>
      <protection locked="0"/>
    </xf>
    <xf fontId="6" fillId="0" borderId="33" numFmtId="0" xfId="4" applyFont="1" applyBorder="1" applyAlignment="1" applyProtection="1">
      <alignment horizontal="right" vertical="center" wrapText="1"/>
      <protection locked="0"/>
    </xf>
    <xf fontId="7" fillId="0" borderId="34" numFmtId="162" xfId="4" applyNumberFormat="1" applyFont="1" applyBorder="1" applyAlignment="1" applyProtection="1">
      <alignment horizontal="right" vertical="center" wrapText="1"/>
      <protection locked="0"/>
    </xf>
    <xf fontId="6" fillId="0" borderId="14" numFmtId="0" xfId="4" applyFont="1" applyBorder="1" applyAlignment="1" applyProtection="1">
      <alignment horizontal="right" vertical="center" wrapText="1"/>
      <protection locked="0"/>
    </xf>
    <xf fontId="3" fillId="2" borderId="2" numFmtId="0" xfId="4" applyFont="1" applyFill="1" applyBorder="1" applyAlignment="1">
      <alignment vertical="center"/>
    </xf>
    <xf fontId="3" fillId="2" borderId="3" numFmtId="0" xfId="4" applyFont="1" applyFill="1" applyBorder="1" applyAlignment="1">
      <alignment vertical="center"/>
    </xf>
    <xf fontId="3" fillId="2" borderId="3" numFmtId="0" xfId="4" applyFont="1" applyFill="1" applyBorder="1" applyAlignment="1">
      <alignment horizontal="center" vertical="center"/>
    </xf>
    <xf fontId="3" fillId="2" borderId="3" numFmtId="0" xfId="4" applyFont="1" applyFill="1" applyBorder="1" applyAlignment="1">
      <alignment horizontal="left" vertical="center"/>
    </xf>
    <xf fontId="3" fillId="2" borderId="3" numFmtId="162" xfId="4" applyNumberFormat="1" applyFont="1" applyFill="1" applyBorder="1" applyAlignment="1">
      <alignment vertical="center"/>
    </xf>
    <xf fontId="3" fillId="6" borderId="2" numFmtId="0" xfId="4" applyFont="1" applyFill="1" applyBorder="1" applyAlignment="1">
      <alignment horizontal="left"/>
    </xf>
    <xf fontId="3" fillId="6" borderId="3" numFmtId="0" xfId="4" applyFont="1" applyFill="1" applyBorder="1" applyAlignment="1">
      <alignment horizontal="left"/>
    </xf>
    <xf fontId="3" fillId="6" borderId="4" numFmtId="0" xfId="4" applyFont="1" applyFill="1" applyBorder="1" applyAlignment="1">
      <alignment horizontal="left"/>
    </xf>
    <xf fontId="3" fillId="6" borderId="1" numFmtId="162" xfId="4" applyNumberFormat="1" applyFont="1" applyFill="1" applyBorder="1"/>
    <xf fontId="3" fillId="7" borderId="0" numFmtId="0" xfId="4" applyFont="1" applyFill="1" applyAlignment="1">
      <alignment horizontal="center" vertical="center" wrapText="1"/>
    </xf>
    <xf fontId="2" fillId="8" borderId="23" numFmtId="162" xfId="4" applyNumberFormat="1" applyFont="1" applyFill="1" applyBorder="1" applyProtection="1">
      <protection locked="0"/>
    </xf>
    <xf fontId="2" fillId="0" borderId="35" numFmtId="0" xfId="4" applyFont="1" applyBorder="1" applyProtection="1">
      <protection locked="0"/>
    </xf>
    <xf fontId="2" fillId="0" borderId="9" numFmtId="0" xfId="4" applyFont="1" applyBorder="1" applyProtection="1">
      <protection locked="0"/>
    </xf>
    <xf fontId="12" fillId="0" borderId="36" numFmtId="0" xfId="4" applyFont="1" applyBorder="1" applyAlignment="1" applyProtection="1">
      <alignment horizontal="left"/>
      <protection locked="0"/>
    </xf>
    <xf fontId="2" fillId="7" borderId="23" numFmtId="4" xfId="4" applyNumberFormat="1" applyFont="1" applyFill="1" applyBorder="1" applyAlignment="1" applyProtection="1">
      <alignment horizontal="right" wrapText="1"/>
      <protection locked="0"/>
    </xf>
    <xf fontId="3" fillId="0" borderId="23" numFmtId="0" xfId="4" applyFont="1" applyBorder="1" applyAlignment="1" applyProtection="1">
      <alignment wrapText="1"/>
      <protection locked="0"/>
    </xf>
    <xf fontId="3" fillId="0" borderId="23" numFmtId="0" xfId="4" applyFont="1" applyBorder="1" applyProtection="1">
      <protection locked="0"/>
    </xf>
    <xf fontId="2" fillId="8" borderId="20" numFmtId="162" xfId="4" applyNumberFormat="1" applyFont="1" applyFill="1" applyBorder="1" applyProtection="1">
      <protection locked="0"/>
    </xf>
    <xf fontId="2" fillId="7" borderId="23" numFmtId="0" xfId="4" applyFont="1" applyFill="1" applyBorder="1" applyProtection="1">
      <protection locked="0"/>
    </xf>
    <xf fontId="2" fillId="7" borderId="23" numFmtId="162" xfId="4" applyNumberFormat="1" applyFont="1" applyFill="1" applyBorder="1" applyProtection="1">
      <protection locked="0"/>
    </xf>
    <xf fontId="2" fillId="7" borderId="23" numFmtId="0" xfId="4" applyFont="1" applyFill="1" applyBorder="1" applyAlignment="1" applyProtection="1">
      <alignment wrapText="1"/>
      <protection locked="0"/>
    </xf>
    <xf fontId="2" fillId="8" borderId="35" numFmtId="162" xfId="4" applyNumberFormat="1" applyFont="1" applyFill="1" applyBorder="1" applyProtection="1">
      <protection locked="0"/>
    </xf>
    <xf fontId="2" fillId="0" borderId="35" numFmtId="0" xfId="4" applyFont="1" applyBorder="1" applyAlignment="1" applyProtection="1">
      <alignment wrapText="1"/>
      <protection locked="0"/>
    </xf>
    <xf fontId="2" fillId="0" borderId="37" numFmtId="0" xfId="4" applyFont="1" applyBorder="1" applyProtection="1">
      <protection locked="0"/>
    </xf>
    <xf fontId="2" fillId="0" borderId="38" numFmtId="0" xfId="4" applyFont="1" applyBorder="1" applyProtection="1">
      <protection locked="0"/>
    </xf>
    <xf fontId="2" fillId="0" borderId="39" numFmtId="0" xfId="4" applyFont="1" applyBorder="1" applyAlignment="1" applyProtection="1">
      <alignment wrapText="1"/>
      <protection locked="0"/>
    </xf>
    <xf fontId="0" fillId="0" borderId="35" numFmtId="0" xfId="4" applyBorder="1"/>
    <xf fontId="0" fillId="0" borderId="40" numFmtId="0" xfId="4" applyBorder="1"/>
    <xf fontId="12" fillId="0" borderId="38" numFmtId="0" xfId="4" applyFont="1" applyBorder="1" applyAlignment="1" applyProtection="1">
      <alignment horizontal="left" vertical="center"/>
      <protection locked="0"/>
    </xf>
    <xf fontId="12" fillId="7" borderId="38" numFmtId="0" xfId="4" applyFont="1" applyFill="1" applyBorder="1" applyAlignment="1" applyProtection="1">
      <alignment horizontal="left" vertical="center"/>
      <protection locked="0"/>
    </xf>
    <xf fontId="12" fillId="7" borderId="38" numFmtId="162" xfId="4" applyNumberFormat="1" applyFont="1" applyFill="1" applyBorder="1" applyAlignment="1" applyProtection="1">
      <alignment horizontal="right" vertical="center"/>
      <protection locked="0"/>
    </xf>
    <xf fontId="12" fillId="7" borderId="41" numFmtId="0" xfId="4" applyFont="1" applyFill="1" applyBorder="1" applyAlignment="1" applyProtection="1">
      <alignment horizontal="left" vertical="center"/>
      <protection locked="0"/>
    </xf>
    <xf fontId="12" fillId="8" borderId="38" numFmtId="162" xfId="4" applyNumberFormat="1" applyFont="1" applyFill="1" applyBorder="1" applyAlignment="1" applyProtection="1">
      <alignment horizontal="right" vertical="center"/>
      <protection locked="0"/>
    </xf>
    <xf fontId="12" fillId="0" borderId="41" numFmtId="0" xfId="4" applyFont="1" applyBorder="1" applyAlignment="1" applyProtection="1">
      <alignment horizontal="left" vertical="center"/>
      <protection locked="0"/>
    </xf>
    <xf fontId="2" fillId="0" borderId="42" numFmtId="0" xfId="4" applyFont="1" applyBorder="1" applyProtection="1">
      <protection locked="0"/>
    </xf>
    <xf fontId="2" fillId="0" borderId="42" numFmtId="162" xfId="4" applyNumberFormat="1" applyFont="1" applyBorder="1" applyProtection="1">
      <protection locked="0"/>
    </xf>
    <xf fontId="2" fillId="0" borderId="42" numFmtId="0" xfId="4" applyFont="1" applyBorder="1" applyAlignment="1" applyProtection="1">
      <alignment wrapText="1"/>
      <protection locked="0"/>
    </xf>
    <xf fontId="2" fillId="8" borderId="25" numFmtId="3" xfId="4" applyNumberFormat="1" applyFont="1" applyFill="1" applyBorder="1" applyProtection="1">
      <protection locked="0"/>
    </xf>
    <xf fontId="2" fillId="0" borderId="23" numFmtId="0" xfId="4" applyFont="1" applyBorder="1" applyAlignment="1" applyProtection="1">
      <alignment horizontal="left" vertical="top" wrapText="1"/>
      <protection locked="0"/>
    </xf>
    <xf fontId="2" fillId="7" borderId="20" numFmtId="0" xfId="4" applyFont="1" applyFill="1" applyBorder="1" applyProtection="1">
      <protection locked="0"/>
    </xf>
    <xf fontId="13" fillId="0" borderId="43" numFmtId="0" xfId="4" applyFont="1" applyBorder="1" applyAlignment="1" applyProtection="1">
      <alignment horizontal="left" vertical="center" wrapText="1"/>
      <protection locked="0"/>
    </xf>
    <xf fontId="13" fillId="8" borderId="44" numFmtId="4" xfId="4" applyNumberFormat="1" applyFont="1" applyFill="1" applyBorder="1" applyAlignment="1" applyProtection="1">
      <alignment horizontal="right" vertical="center" wrapText="1"/>
      <protection locked="0"/>
    </xf>
    <xf fontId="13" fillId="0" borderId="44" numFmtId="0" xfId="4" applyFont="1" applyBorder="1" applyAlignment="1" applyProtection="1">
      <alignment horizontal="left" vertical="center" wrapText="1"/>
      <protection locked="0"/>
    </xf>
    <xf fontId="2" fillId="0" borderId="45" numFmtId="0" xfId="4" applyFont="1" applyBorder="1" applyAlignment="1" applyProtection="1">
      <alignment wrapText="1"/>
      <protection locked="0"/>
    </xf>
    <xf fontId="2" fillId="0" borderId="46" numFmtId="0" xfId="4" applyFont="1" applyBorder="1" applyProtection="1">
      <protection locked="0"/>
    </xf>
    <xf fontId="2" fillId="0" borderId="47" numFmtId="0" xfId="4" applyFont="1" applyBorder="1" applyProtection="1">
      <protection locked="0"/>
    </xf>
    <xf fontId="2" fillId="9" borderId="23" numFmtId="4" xfId="4" applyNumberFormat="1" applyFont="1" applyFill="1" applyBorder="1" applyAlignment="1" applyProtection="1">
      <alignment horizontal="right" wrapText="1"/>
      <protection locked="0"/>
    </xf>
    <xf fontId="12" fillId="0" borderId="23" numFmtId="0" xfId="4" applyFont="1" applyBorder="1" applyAlignment="1" applyProtection="1">
      <alignment horizontal="left"/>
      <protection locked="0"/>
    </xf>
    <xf fontId="12" fillId="0" borderId="46" numFmtId="0" xfId="4" applyFont="1" applyBorder="1" applyAlignment="1" applyProtection="1">
      <alignment horizontal="left"/>
      <protection locked="0"/>
    </xf>
    <xf fontId="12" fillId="7" borderId="46" numFmtId="3" xfId="4" applyNumberFormat="1" applyFont="1" applyFill="1" applyBorder="1" applyAlignment="1" applyProtection="1">
      <alignment horizontal="right"/>
      <protection locked="0"/>
    </xf>
    <xf fontId="12" fillId="0" borderId="46" numFmtId="0" xfId="4" applyFont="1" applyBorder="1" applyAlignment="1" applyProtection="1">
      <alignment horizontal="left" wrapText="1"/>
      <protection locked="0"/>
    </xf>
    <xf fontId="2" fillId="8" borderId="25" numFmtId="162" xfId="4" applyNumberFormat="1" applyFont="1" applyFill="1" applyBorder="1" applyProtection="1">
      <protection locked="0"/>
    </xf>
    <xf fontId="3" fillId="10" borderId="0" numFmtId="162" xfId="4" applyNumberFormat="1" applyFont="1" applyFill="1" applyAlignment="1">
      <alignment horizontal="center" vertical="center" wrapText="1"/>
    </xf>
    <xf fontId="12" fillId="0" borderId="48" numFmtId="0" xfId="4" applyFont="1" applyBorder="1" applyAlignment="1" applyProtection="1">
      <alignment horizontal="left"/>
      <protection locked="0"/>
    </xf>
    <xf fontId="12" fillId="7" borderId="23" numFmtId="3" xfId="4" applyNumberFormat="1" applyFont="1" applyFill="1" applyBorder="1" applyAlignment="1" applyProtection="1">
      <alignment horizontal="right"/>
      <protection locked="0"/>
    </xf>
    <xf fontId="12" fillId="0" borderId="23" numFmtId="0" xfId="4" applyFont="1" applyBorder="1" applyAlignment="1" applyProtection="1">
      <alignment horizontal="left" wrapText="1"/>
      <protection locked="0"/>
    </xf>
    <xf fontId="0" fillId="0" borderId="47" numFmtId="0" xfId="4" applyBorder="1"/>
    <xf fontId="0" fillId="0" borderId="49" numFmtId="0" xfId="4" applyBorder="1"/>
    <xf fontId="3" fillId="8" borderId="20" numFmtId="4" xfId="4" applyNumberFormat="1" applyFont="1" applyFill="1" applyBorder="1" applyProtection="1">
      <protection locked="0"/>
    </xf>
    <xf fontId="14" fillId="0" borderId="23" numFmtId="0" xfId="4" applyFont="1" applyBorder="1" applyProtection="1">
      <protection locked="0"/>
    </xf>
    <xf fontId="3" fillId="8" borderId="23" numFmtId="4" xfId="4" applyNumberFormat="1" applyFont="1" applyFill="1" applyBorder="1" applyProtection="1">
      <protection locked="0"/>
    </xf>
    <xf fontId="2" fillId="8" borderId="23" numFmtId="4" xfId="4" applyNumberFormat="1" applyFont="1" applyFill="1" applyBorder="1" applyProtection="1">
      <protection locked="0"/>
    </xf>
    <xf fontId="2" fillId="7" borderId="23" numFmtId="4" xfId="4" applyNumberFormat="1" applyFont="1" applyFill="1" applyBorder="1" applyProtection="1">
      <protection locked="0"/>
    </xf>
    <xf fontId="3" fillId="7" borderId="23" numFmtId="0" xfId="4" applyFont="1" applyFill="1" applyBorder="1" applyProtection="1">
      <protection locked="0"/>
    </xf>
    <xf fontId="2" fillId="8" borderId="35" numFmtId="4" xfId="4" applyNumberFormat="1" applyFont="1" applyFill="1" applyBorder="1" applyProtection="1">
      <protection locked="0"/>
    </xf>
    <xf fontId="12" fillId="8" borderId="38" numFmtId="4" xfId="4" applyNumberFormat="1" applyFont="1" applyFill="1" applyBorder="1" applyAlignment="1" applyProtection="1">
      <alignment horizontal="right" vertical="center"/>
      <protection locked="0"/>
    </xf>
    <xf fontId="12" fillId="7" borderId="38" numFmtId="4" xfId="4" applyNumberFormat="1" applyFont="1" applyFill="1" applyBorder="1" applyAlignment="1" applyProtection="1">
      <alignment horizontal="right" vertical="center"/>
      <protection locked="0"/>
    </xf>
    <xf fontId="3" fillId="7" borderId="46" numFmtId="0" xfId="4" applyFont="1" applyFill="1" applyBorder="1" applyProtection="1">
      <protection locked="0"/>
    </xf>
    <xf fontId="12" fillId="7" borderId="43" numFmtId="0" xfId="4" applyFont="1" applyFill="1" applyBorder="1" applyAlignment="1" applyProtection="1">
      <alignment horizontal="left" vertical="center"/>
      <protection locked="0"/>
    </xf>
    <xf fontId="2" fillId="8" borderId="20" numFmtId="4" xfId="4" applyNumberFormat="1" applyFont="1" applyFill="1" applyBorder="1" applyProtection="1">
      <protection locked="0"/>
    </xf>
    <xf fontId="12" fillId="0" borderId="41" numFmtId="0" xfId="4" applyFont="1" applyBorder="1" applyAlignment="1" applyProtection="1">
      <alignment horizontal="left" vertical="center" wrapText="1"/>
      <protection locked="0"/>
    </xf>
    <xf fontId="2" fillId="0" borderId="20" numFmtId="4" xfId="4" applyNumberFormat="1" applyFont="1" applyBorder="1" applyProtection="1">
      <protection locked="0"/>
    </xf>
    <xf fontId="3" fillId="8" borderId="23" numFmtId="162" xfId="4" applyNumberFormat="1" applyFont="1" applyFill="1" applyBorder="1" applyProtection="1">
      <protection locked="0"/>
    </xf>
    <xf fontId="2" fillId="0" borderId="22" numFmtId="1" xfId="4" applyNumberFormat="1" applyFont="1" applyBorder="1" applyProtection="1">
      <protection locked="0"/>
    </xf>
    <xf fontId="13" fillId="9" borderId="38" numFmtId="0" xfId="4" applyFont="1" applyFill="1" applyBorder="1" applyAlignment="1" applyProtection="1">
      <alignment horizontal="left" vertical="center" wrapText="1"/>
      <protection locked="0"/>
    </xf>
    <xf fontId="15" fillId="9" borderId="38" numFmtId="0" xfId="4" applyFont="1" applyFill="1" applyBorder="1" applyAlignment="1" applyProtection="1">
      <alignment horizontal="left" vertical="center" wrapText="1"/>
      <protection locked="0"/>
    </xf>
    <xf fontId="2" fillId="8" borderId="50" numFmtId="162" xfId="4" applyNumberFormat="1" applyFont="1" applyFill="1" applyBorder="1" applyProtection="1">
      <protection locked="0"/>
    </xf>
    <xf fontId="14" fillId="4" borderId="23" numFmtId="0" xfId="4" applyFont="1" applyFill="1" applyBorder="1" applyProtection="1">
      <protection locked="0"/>
    </xf>
    <xf fontId="12" fillId="0" borderId="51" numFmtId="0" xfId="4" applyFont="1" applyBorder="1" applyAlignment="1" applyProtection="1">
      <alignment horizontal="left"/>
      <protection locked="0"/>
    </xf>
    <xf fontId="12" fillId="8" borderId="23" numFmtId="3" xfId="4" applyNumberFormat="1" applyFont="1" applyFill="1" applyBorder="1" applyAlignment="1" applyProtection="1">
      <alignment horizontal="right"/>
      <protection locked="0"/>
    </xf>
    <xf fontId="2" fillId="0" borderId="36" numFmtId="0" xfId="4" applyFont="1" applyBorder="1" applyProtection="1">
      <protection locked="0"/>
    </xf>
    <xf fontId="2" fillId="0" borderId="52" numFmtId="0" xfId="4" applyFont="1" applyBorder="1" applyProtection="1">
      <protection locked="0"/>
    </xf>
    <xf fontId="2" fillId="8" borderId="52" numFmtId="162" xfId="4" applyNumberFormat="1" applyFont="1" applyFill="1" applyBorder="1" applyProtection="1">
      <protection locked="0"/>
    </xf>
    <xf fontId="2" fillId="0" borderId="52" numFmtId="0" xfId="4" applyFont="1" applyBorder="1" applyAlignment="1" applyProtection="1">
      <alignment wrapText="1"/>
      <protection locked="0"/>
    </xf>
    <xf fontId="2" fillId="0" borderId="53" numFmtId="0" xfId="4" applyFont="1" applyBorder="1" applyAlignment="1" applyProtection="1">
      <alignment wrapText="1"/>
      <protection locked="0"/>
    </xf>
    <xf fontId="2" fillId="0" borderId="45" numFmtId="0" xfId="4" applyFont="1" applyBorder="1" applyProtection="1">
      <protection locked="0"/>
    </xf>
    <xf fontId="2" fillId="0" borderId="54" numFmtId="0" xfId="4" applyFont="1" applyBorder="1" applyProtection="1">
      <protection locked="0"/>
    </xf>
    <xf fontId="2" fillId="0" borderId="55" numFmtId="0" xfId="4" applyFont="1" applyBorder="1" applyProtection="1">
      <protection locked="0"/>
    </xf>
    <xf fontId="2" fillId="8" borderId="55" numFmtId="162" xfId="4" applyNumberFormat="1" applyFont="1" applyFill="1" applyBorder="1" applyProtection="1">
      <protection locked="0"/>
    </xf>
    <xf fontId="2" fillId="0" borderId="55" numFmtId="0" xfId="4" applyFont="1" applyBorder="1" applyAlignment="1" applyProtection="1">
      <alignment wrapText="1"/>
      <protection locked="0"/>
    </xf>
    <xf fontId="2" fillId="0" borderId="56" numFmtId="0" xfId="4" applyFont="1" applyBorder="1" applyAlignment="1" applyProtection="1">
      <alignment wrapText="1"/>
      <protection locked="0"/>
    </xf>
    <xf fontId="2" fillId="8" borderId="47" numFmtId="162" xfId="4" applyNumberFormat="1" applyFont="1" applyFill="1" applyBorder="1" applyProtection="1">
      <protection locked="0"/>
    </xf>
    <xf fontId="2" fillId="0" borderId="47" numFmtId="0" xfId="4" applyFont="1" applyBorder="1" applyAlignment="1" applyProtection="1">
      <alignment wrapText="1"/>
      <protection locked="0"/>
    </xf>
    <xf fontId="3" fillId="0" borderId="25" numFmtId="0" xfId="4" applyFont="1" applyBorder="1" applyProtection="1">
      <protection locked="0"/>
    </xf>
    <xf fontId="3" fillId="5" borderId="57" numFmtId="0" xfId="4" applyFont="1" applyFill="1" applyBorder="1" applyAlignment="1">
      <alignment vertical="center"/>
    </xf>
    <xf fontId="13" fillId="0" borderId="38" numFmtId="0" xfId="4" applyFont="1" applyBorder="1" applyAlignment="1" applyProtection="1">
      <alignment horizontal="left" vertical="center" wrapText="1"/>
      <protection locked="0"/>
    </xf>
    <xf fontId="13" fillId="8" borderId="38" numFmtId="4" xfId="4" applyNumberFormat="1" applyFont="1" applyFill="1" applyBorder="1" applyAlignment="1" applyProtection="1">
      <alignment horizontal="right" vertical="center" wrapText="1"/>
      <protection locked="0"/>
    </xf>
    <xf fontId="16" fillId="7" borderId="23" numFmtId="4" xfId="4" applyNumberFormat="1" applyFont="1" applyFill="1" applyBorder="1" applyAlignment="1" applyProtection="1">
      <alignment horizontal="right" wrapText="1"/>
      <protection locked="0"/>
    </xf>
    <xf fontId="12" fillId="9" borderId="23" numFmtId="3" xfId="4" applyNumberFormat="1" applyFont="1" applyFill="1" applyBorder="1" applyAlignment="1" applyProtection="1">
      <alignment horizontal="right"/>
      <protection locked="0"/>
    </xf>
    <xf fontId="2" fillId="0" borderId="29" numFmtId="0" xfId="4" applyFont="1" applyBorder="1">
      <protection locked="0"/>
    </xf>
    <xf fontId="2" fillId="0" borderId="22" numFmtId="0" xfId="4" applyFont="1" applyBorder="1">
      <protection locked="0"/>
    </xf>
    <xf fontId="3" fillId="5" borderId="58" numFmtId="0" xfId="4" applyFont="1" applyFill="1" applyBorder="1" applyAlignment="1">
      <alignment vertical="center"/>
    </xf>
    <xf fontId="3" fillId="5" borderId="57" numFmtId="0" xfId="4" applyFont="1" applyFill="1" applyBorder="1" applyAlignment="1">
      <alignment horizontal="center" vertical="center"/>
    </xf>
    <xf fontId="3" fillId="5" borderId="57" numFmtId="0" xfId="4" applyFont="1" applyFill="1" applyBorder="1" applyAlignment="1">
      <alignment horizontal="left" vertical="center"/>
    </xf>
    <xf fontId="3" fillId="5" borderId="57" numFmtId="162" xfId="4" applyNumberFormat="1" applyFont="1" applyFill="1" applyBorder="1" applyAlignment="1">
      <alignment vertical="center"/>
    </xf>
    <xf fontId="2" fillId="0" borderId="5" numFmtId="0" xfId="4" applyFont="1" applyBorder="1" applyProtection="1">
      <protection locked="0"/>
    </xf>
    <xf fontId="0" fillId="0" borderId="59" numFmtId="0" xfId="4" applyBorder="1"/>
    <xf fontId="2" fillId="0" borderId="60" numFmtId="0" xfId="4" applyFont="1" applyBorder="1" applyProtection="1">
      <protection locked="0"/>
    </xf>
    <xf fontId="13" fillId="8" borderId="38" numFmtId="162" xfId="4" applyNumberFormat="1" applyFont="1" applyFill="1" applyBorder="1" applyAlignment="1" applyProtection="1">
      <alignment horizontal="right" vertical="center" wrapText="1"/>
      <protection locked="0"/>
    </xf>
    <xf fontId="13" fillId="0" borderId="0" numFmtId="0" xfId="4" applyFont="1" applyAlignment="1">
      <alignment horizontal="left" vertical="center" wrapText="1"/>
      <protection locked="0"/>
    </xf>
    <xf fontId="2" fillId="0" borderId="41" numFmtId="0" xfId="4" applyFont="1" applyBorder="1" applyProtection="1">
      <protection locked="0"/>
    </xf>
    <xf fontId="2" fillId="8" borderId="61" numFmtId="162" xfId="4" applyNumberFormat="1" applyFont="1" applyFill="1" applyBorder="1" applyProtection="1">
      <protection locked="0"/>
    </xf>
    <xf fontId="2" fillId="0" borderId="32" numFmtId="0" xfId="4" applyFont="1" applyBorder="1" applyAlignment="1" applyProtection="1">
      <alignment wrapText="1"/>
      <protection locked="0"/>
    </xf>
    <xf fontId="2" fillId="0" borderId="62" numFmtId="0" xfId="4" applyFont="1" applyBorder="1" applyProtection="1">
      <protection locked="0"/>
    </xf>
    <xf fontId="2" fillId="0" borderId="39" numFmtId="0" xfId="4" applyFont="1" applyBorder="1" applyProtection="1">
      <protection locked="0"/>
    </xf>
    <xf fontId="2" fillId="0" borderId="35" numFmtId="162" xfId="4" applyNumberFormat="1" applyFont="1" applyBorder="1" applyProtection="1">
      <protection locked="0"/>
    </xf>
    <xf fontId="17" fillId="8" borderId="38" numFmtId="4" xfId="4" applyNumberFormat="1" applyFont="1" applyFill="1" applyBorder="1" applyAlignment="1" applyProtection="1">
      <alignment horizontal="right" vertical="center" wrapText="1"/>
      <protection locked="0"/>
    </xf>
    <xf fontId="17" fillId="4" borderId="0" numFmtId="0" xfId="4" applyFont="1" applyFill="1" applyAlignment="1" applyProtection="1">
      <alignment horizontal="left" vertical="center" wrapText="1"/>
      <protection locked="0"/>
    </xf>
    <xf fontId="3" fillId="5" borderId="38" numFmtId="0" xfId="4" applyFont="1" applyFill="1" applyBorder="1" applyProtection="1">
      <protection locked="0"/>
    </xf>
    <xf fontId="7" fillId="0" borderId="10" numFmtId="0" xfId="4" applyFont="1" applyBorder="1" applyAlignment="1" applyProtection="1">
      <alignment horizontal="right" vertical="center" wrapText="1"/>
      <protection locked="0"/>
    </xf>
    <xf fontId="7" fillId="0" borderId="11" numFmtId="0" xfId="4" applyFont="1" applyBorder="1" applyAlignment="1" applyProtection="1">
      <alignment horizontal="right" vertical="center" wrapText="1"/>
      <protection locked="0"/>
    </xf>
    <xf fontId="7" fillId="0" borderId="3" numFmtId="0" xfId="4" applyFont="1" applyBorder="1" applyAlignment="1">
      <alignment horizontal="center" vertical="center" wrapText="1"/>
    </xf>
    <xf fontId="7" fillId="0" borderId="1" numFmtId="0" xfId="4" applyFont="1" applyBorder="1" applyAlignment="1">
      <alignment horizontal="center" vertical="center" wrapText="1"/>
    </xf>
    <xf fontId="8" fillId="0" borderId="1" numFmtId="0" xfId="4" applyFont="1" applyBorder="1" applyAlignment="1">
      <alignment horizontal="center" vertical="center" wrapText="1"/>
    </xf>
    <xf fontId="3" fillId="2" borderId="63" numFmtId="0" xfId="4" applyFont="1" applyFill="1" applyBorder="1" applyAlignment="1" applyProtection="1">
      <alignment vertical="center"/>
    </xf>
    <xf fontId="2" fillId="0" borderId="23" numFmtId="0" xfId="4" applyFont="1" applyBorder="1">
      <protection locked="0"/>
    </xf>
    <xf fontId="2" fillId="0" borderId="0" numFmtId="0" xfId="4" applyFont="1">
      <protection locked="0"/>
    </xf>
    <xf fontId="2" fillId="0" borderId="64" numFmtId="0" xfId="4" applyFont="1" applyBorder="1" applyProtection="1">
      <protection locked="0"/>
    </xf>
    <xf fontId="2" fillId="2" borderId="65" numFmtId="0" xfId="4" applyFont="1" applyFill="1" applyBorder="1" applyAlignment="1">
      <alignment vertical="center"/>
    </xf>
    <xf fontId="3" fillId="2" borderId="23" numFmtId="0" xfId="4" applyFont="1" applyFill="1" applyBorder="1" applyAlignment="1" applyProtection="1">
      <alignment vertical="center"/>
    </xf>
    <xf fontId="2" fillId="2" borderId="10" numFmtId="0" xfId="4" applyFont="1" applyFill="1" applyBorder="1" applyAlignment="1">
      <alignment horizontal="center" vertical="center"/>
    </xf>
    <xf fontId="2" fillId="2" borderId="46" numFmtId="0" xfId="4" applyFont="1" applyFill="1" applyBorder="1" applyAlignment="1">
      <alignment horizontal="left" vertical="center"/>
    </xf>
    <xf fontId="2" fillId="0" borderId="20" numFmtId="0" xfId="4" applyFont="1" applyBorder="1">
      <protection locked="0"/>
    </xf>
    <xf fontId="2" fillId="0" borderId="23" numFmtId="162" xfId="4" applyNumberFormat="1" applyFont="1" applyBorder="1">
      <protection locked="0"/>
    </xf>
    <xf fontId="2" fillId="0" borderId="23" numFmtId="0" xfId="4" applyFont="1" applyBorder="1" applyAlignment="1">
      <alignment wrapText="1"/>
      <protection locked="0"/>
    </xf>
    <xf fontId="2" fillId="0" borderId="23" numFmtId="162" xfId="4" applyNumberFormat="1" applyFont="1" applyBorder="1" applyAlignment="1" applyProtection="1">
      <alignment wrapText="1"/>
      <protection locked="0"/>
    </xf>
    <xf fontId="2" fillId="0" borderId="62" numFmtId="0" xfId="4" applyFont="1" applyBorder="1" applyAlignment="1" applyProtection="1">
      <alignment wrapText="1"/>
      <protection locked="0"/>
    </xf>
    <xf fontId="2" fillId="0" borderId="46" numFmtId="0" xfId="4" applyFont="1" applyBorder="1" applyAlignment="1" applyProtection="1">
      <alignment wrapText="1"/>
      <protection locked="0"/>
    </xf>
    <xf fontId="3" fillId="2" borderId="66" numFmtId="0" xfId="4" applyFont="1" applyFill="1" applyBorder="1" applyAlignment="1" applyProtection="1">
      <alignment vertical="center"/>
    </xf>
    <xf fontId="3" fillId="2" borderId="67" numFmtId="0" xfId="4" applyFont="1" applyFill="1" applyBorder="1" applyAlignment="1" applyProtection="1">
      <alignment vertical="center"/>
    </xf>
    <xf fontId="3" fillId="2" borderId="67" numFmtId="0" xfId="4" applyFont="1" applyFill="1" applyBorder="1" applyAlignment="1" applyProtection="1">
      <alignment horizontal="center" vertical="center"/>
    </xf>
    <xf fontId="3" fillId="2" borderId="67" numFmtId="0" xfId="4" applyFont="1" applyFill="1" applyBorder="1" applyAlignment="1" applyProtection="1">
      <alignment horizontal="left" vertical="center"/>
    </xf>
    <xf fontId="3" fillId="2" borderId="67" numFmtId="162" xfId="4" applyNumberFormat="1" applyFont="1" applyFill="1" applyBorder="1" applyAlignment="1" applyProtection="1">
      <alignment vertical="center"/>
    </xf>
    <xf fontId="3" fillId="2" borderId="67" numFmtId="0" xfId="4" applyFont="1" applyFill="1" applyBorder="1" applyAlignment="1" applyProtection="1">
      <alignment vertical="center" wrapText="1"/>
    </xf>
    <xf fontId="3" fillId="2" borderId="63" numFmtId="0" xfId="4" applyFont="1" applyFill="1" applyBorder="1" applyAlignment="1" applyProtection="1">
      <alignment vertical="center" wrapText="1"/>
    </xf>
    <xf fontId="3" fillId="2" borderId="63" numFmtId="0" xfId="4" applyFont="1" applyFill="1" applyBorder="1" applyAlignment="1">
      <alignment vertical="center"/>
    </xf>
    <xf fontId="3" fillId="2" borderId="68" numFmtId="0" xfId="4" applyFont="1" applyFill="1" applyBorder="1" applyAlignment="1">
      <alignment vertical="center"/>
    </xf>
    <xf fontId="2" fillId="0" borderId="31" numFmtId="0" xfId="4" applyFont="1" applyBorder="1" applyProtection="1">
      <protection locked="0"/>
    </xf>
    <xf fontId="3" fillId="2" borderId="4" numFmtId="0" xfId="4" applyFont="1" applyFill="1" applyBorder="1" applyAlignment="1">
      <alignment horizontal="left" vertical="center"/>
    </xf>
    <xf fontId="3" fillId="2" borderId="1" numFmtId="162" xfId="4" applyNumberFormat="1" applyFont="1" applyFill="1" applyBorder="1" applyAlignment="1">
      <alignment vertical="center"/>
    </xf>
    <xf fontId="2" fillId="0" borderId="25" numFmtId="0" xfId="4" applyFont="1" applyBorder="1">
      <protection locked="0"/>
    </xf>
    <xf fontId="2" fillId="0" borderId="25" numFmtId="162" xfId="4" applyNumberFormat="1" applyFont="1" applyBorder="1">
      <protection locked="0"/>
    </xf>
    <xf fontId="2" fillId="0" borderId="25" numFmtId="0" xfId="4" applyFont="1" applyBorder="1" applyAlignment="1">
      <alignment wrapText="1"/>
      <protection locked="0"/>
    </xf>
    <xf fontId="2" fillId="0" borderId="30" numFmtId="0" xfId="4" applyFont="1" applyBorder="1">
      <protection locked="0"/>
    </xf>
    <xf fontId="2" fillId="0" borderId="27" numFmtId="0" xfId="4" applyFont="1" applyBorder="1">
      <protection locked="0"/>
    </xf>
    <xf fontId="2" fillId="0" borderId="27" numFmtId="162" xfId="4" applyNumberFormat="1" applyFont="1" applyBorder="1">
      <protection locked="0"/>
    </xf>
    <xf fontId="2" fillId="0" borderId="27" numFmtId="0" xfId="4" applyFont="1" applyBorder="1" applyAlignment="1">
      <alignment wrapText="1"/>
      <protection locked="0"/>
    </xf>
    <xf fontId="7" fillId="0" borderId="15" numFmtId="0" xfId="4" applyFont="1" applyBorder="1" applyAlignment="1" applyProtection="1">
      <alignment horizontal="right" vertical="center" wrapText="1"/>
      <protection locked="0"/>
    </xf>
    <xf fontId="7" fillId="0" borderId="16" numFmtId="0" xfId="4" applyFont="1" applyBorder="1" applyAlignment="1" applyProtection="1">
      <alignment horizontal="right" vertical="center" wrapText="1"/>
      <protection locked="0"/>
    </xf>
    <xf fontId="2" fillId="0" borderId="61" numFmtId="0" xfId="4" applyFont="1" applyBorder="1" applyAlignment="1" applyProtection="1">
      <alignment wrapText="1"/>
      <protection locked="0"/>
    </xf>
    <xf fontId="12" fillId="0" borderId="36" numFmtId="0" xfId="4" applyFont="1" applyBorder="1" applyAlignment="1" applyProtection="1">
      <alignment horizontal="left" vertical="center" wrapText="1"/>
      <protection locked="0"/>
    </xf>
    <xf fontId="12" fillId="8" borderId="46" numFmtId="162" xfId="4" applyNumberFormat="1" applyFont="1" applyFill="1" applyBorder="1" applyAlignment="1" applyProtection="1">
      <alignment horizontal="right"/>
      <protection locked="0"/>
    </xf>
    <xf fontId="10" fillId="5" borderId="57" numFmtId="0" xfId="4" applyFont="1" applyFill="1" applyBorder="1" applyAlignment="1">
      <alignment vertical="center"/>
    </xf>
    <xf fontId="2" fillId="8" borderId="25" numFmtId="4" xfId="4" applyNumberFormat="1" applyFont="1" applyFill="1" applyBorder="1" applyProtection="1">
      <protection locked="0"/>
    </xf>
    <xf fontId="2" fillId="0" borderId="65" numFmtId="0" xfId="4" applyFont="1" applyBorder="1" applyAlignment="1" applyProtection="1">
      <alignment wrapText="1"/>
      <protection locked="0"/>
    </xf>
    <xf fontId="2" fillId="9" borderId="23" numFmtId="0" xfId="4" applyFont="1" applyFill="1" applyBorder="1" applyProtection="1">
      <protection locked="0"/>
    </xf>
    <xf fontId="2" fillId="9" borderId="23" numFmtId="0" xfId="4" applyFont="1" applyFill="1" applyBorder="1" applyAlignment="1" applyProtection="1">
      <alignment wrapText="1"/>
      <protection locked="0"/>
    </xf>
    <xf fontId="2" fillId="9" borderId="20" numFmtId="0" xfId="4" applyFont="1" applyFill="1" applyBorder="1" applyProtection="1">
      <protection locked="0"/>
    </xf>
    <xf fontId="0" fillId="9" borderId="24" numFmtId="0" xfId="4" applyFill="1" applyBorder="1"/>
    <xf fontId="3" fillId="9" borderId="23" numFmtId="0" xfId="4" applyFont="1" applyFill="1" applyBorder="1" applyAlignment="1" applyProtection="1">
      <alignment wrapText="1"/>
      <protection locked="0"/>
    </xf>
    <xf fontId="3" fillId="9" borderId="23" numFmtId="0" xfId="4" applyFont="1" applyFill="1" applyBorder="1" applyProtection="1">
      <protection locked="0"/>
    </xf>
    <xf fontId="3" fillId="8" borderId="35" numFmtId="4" xfId="4" applyNumberFormat="1" applyFont="1" applyFill="1" applyBorder="1" applyProtection="1">
      <protection locked="0"/>
    </xf>
    <xf fontId="2" fillId="9" borderId="35" numFmtId="0" xfId="4" applyFont="1" applyFill="1" applyBorder="1" applyAlignment="1" applyProtection="1">
      <alignment wrapText="1"/>
      <protection locked="0"/>
    </xf>
    <xf fontId="3" fillId="8" borderId="38" numFmtId="4" xfId="4" applyNumberFormat="1" applyFont="1" applyFill="1" applyBorder="1" applyProtection="1">
      <protection locked="0"/>
    </xf>
    <xf fontId="2" fillId="0" borderId="38" numFmtId="0" xfId="4" applyFont="1" applyBorder="1" applyAlignment="1" applyProtection="1">
      <alignment wrapText="1"/>
      <protection locked="0"/>
    </xf>
    <xf fontId="2" fillId="9" borderId="41" numFmtId="0" xfId="4" applyFont="1" applyFill="1" applyBorder="1" applyAlignment="1" applyProtection="1">
      <alignment wrapText="1"/>
      <protection locked="0"/>
    </xf>
    <xf fontId="12" fillId="0" borderId="38" numFmtId="162" xfId="4" applyNumberFormat="1" applyFont="1" applyBorder="1" applyAlignment="1" applyProtection="1">
      <alignment horizontal="right" vertical="center"/>
      <protection locked="0"/>
    </xf>
    <xf fontId="12" fillId="0" borderId="47" numFmtId="0" xfId="4" applyFont="1" applyBorder="1" applyAlignment="1" applyProtection="1">
      <alignment horizontal="left"/>
      <protection locked="0"/>
    </xf>
    <xf fontId="12" fillId="0" borderId="69" numFmtId="0" xfId="4" applyFont="1" applyBorder="1" applyAlignment="1" applyProtection="1">
      <alignment horizontal="left"/>
      <protection locked="0"/>
    </xf>
    <xf fontId="2" fillId="8" borderId="49" numFmtId="162" xfId="4" applyNumberFormat="1" applyFont="1" applyFill="1" applyBorder="1" applyAlignment="1" applyProtection="1">
      <alignment horizontal="right"/>
      <protection locked="0"/>
    </xf>
    <xf fontId="2" fillId="0" borderId="49" numFmtId="0" xfId="4" applyFont="1" applyBorder="1" applyAlignment="1" applyProtection="1">
      <alignment wrapText="1"/>
      <protection locked="0"/>
    </xf>
    <xf fontId="13" fillId="0" borderId="41" numFmtId="0" xfId="4" applyFont="1" applyBorder="1" applyAlignment="1" applyProtection="1">
      <alignment horizontal="left" vertical="center" wrapText="1"/>
      <protection locked="0"/>
    </xf>
    <xf fontId="2" fillId="0" borderId="67" numFmtId="0" xfId="4" applyFont="1" applyBorder="1" applyProtection="1">
      <protection locked="0"/>
    </xf>
    <xf fontId="2" fillId="8" borderId="67" numFmtId="162" xfId="4" applyNumberFormat="1" applyFont="1" applyFill="1" applyBorder="1" applyProtection="1">
      <protection locked="0"/>
    </xf>
    <xf fontId="2" fillId="0" borderId="67" numFmtId="0" xfId="4" applyFont="1" applyBorder="1" applyAlignment="1" applyProtection="1">
      <alignment wrapText="1"/>
      <protection locked="0"/>
    </xf>
    <xf fontId="2" fillId="9" borderId="47" numFmtId="0" xfId="4" applyFont="1" applyFill="1" applyBorder="1" applyProtection="1">
      <protection locked="0"/>
    </xf>
    <xf fontId="2" fillId="9" borderId="20" numFmtId="0" xfId="4" applyFont="1" applyFill="1" applyBorder="1" applyAlignment="1" applyProtection="1">
      <alignment wrapText="1"/>
      <protection locked="0"/>
    </xf>
    <xf fontId="3" fillId="9" borderId="20" numFmtId="0" xfId="4" applyFont="1" applyFill="1" applyBorder="1" applyAlignment="1" applyProtection="1">
      <alignment wrapText="1"/>
      <protection locked="0"/>
    </xf>
    <xf fontId="2" fillId="0" borderId="70" numFmtId="0" xfId="4" applyFont="1" applyBorder="1" applyProtection="1">
      <protection locked="0"/>
    </xf>
    <xf fontId="2" fillId="8" borderId="70" numFmtId="162" xfId="4" applyNumberFormat="1" applyFont="1" applyFill="1" applyBorder="1" applyProtection="1">
      <protection locked="0"/>
    </xf>
    <xf fontId="2" fillId="0" borderId="70" numFmtId="0" xfId="4" applyFont="1" applyBorder="1" applyAlignment="1" applyProtection="1">
      <alignment wrapText="1"/>
      <protection locked="0"/>
    </xf>
    <xf fontId="2" fillId="10" borderId="20" numFmtId="162" xfId="4" applyNumberFormat="1" applyFont="1" applyFill="1" applyBorder="1" applyProtection="1">
      <protection locked="0"/>
    </xf>
    <xf fontId="2" fillId="11" borderId="23" numFmtId="0" xfId="4" applyFont="1" applyFill="1" applyBorder="1" applyProtection="1">
      <protection locked="0"/>
    </xf>
    <xf fontId="2" fillId="11" borderId="23" numFmtId="0" xfId="4" applyFont="1" applyFill="1" applyBorder="1" applyAlignment="1" applyProtection="1">
      <alignment wrapText="1"/>
      <protection locked="0"/>
    </xf>
    <xf fontId="12" fillId="0" borderId="20" numFmtId="0" xfId="4" applyFont="1" applyBorder="1" applyAlignment="1" applyProtection="1">
      <alignment horizontal="left"/>
      <protection locked="0"/>
    </xf>
    <xf fontId="12" fillId="0" borderId="62" numFmtId="0" xfId="4" applyFont="1" applyBorder="1" applyAlignment="1" applyProtection="1">
      <alignment horizontal="left"/>
      <protection locked="0"/>
    </xf>
    <xf fontId="12" fillId="8" borderId="62" numFmtId="162" xfId="4" applyNumberFormat="1" applyFont="1" applyFill="1" applyBorder="1" applyAlignment="1" applyProtection="1">
      <alignment horizontal="right"/>
      <protection locked="0"/>
    </xf>
    <xf fontId="12" fillId="0" borderId="62" numFmtId="0" xfId="4" applyFont="1" applyBorder="1" applyAlignment="1" applyProtection="1">
      <alignment horizontal="left" wrapText="1"/>
      <protection locked="0"/>
    </xf>
    <xf fontId="12" fillId="0" borderId="43" numFmtId="0" xfId="4" applyFont="1" applyBorder="1" applyAlignment="1" applyProtection="1">
      <alignment horizontal="left" vertical="center"/>
      <protection locked="0"/>
    </xf>
    <xf fontId="12" fillId="8" borderId="48" numFmtId="162" xfId="4" applyNumberFormat="1" applyFont="1" applyFill="1" applyBorder="1" applyAlignment="1" applyProtection="1">
      <alignment horizontal="right" vertical="center"/>
      <protection locked="0"/>
    </xf>
    <xf fontId="0" fillId="9" borderId="0" numFmtId="0" xfId="4" applyFill="1"/>
    <xf fontId="2" fillId="8" borderId="23" numFmtId="3" xfId="4" applyNumberFormat="1" applyFont="1" applyFill="1" applyBorder="1" applyProtection="1">
      <protection locked="0"/>
    </xf>
    <xf fontId="16" fillId="0" borderId="23" numFmtId="0" xfId="4" applyFont="1" applyBorder="1" applyProtection="1">
      <protection locked="0"/>
    </xf>
    <xf fontId="2" fillId="9" borderId="35" numFmtId="0" xfId="4" applyFont="1" applyFill="1" applyBorder="1" applyProtection="1">
      <protection locked="0"/>
    </xf>
    <xf fontId="0" fillId="9" borderId="40" numFmtId="0" xfId="4" applyFill="1" applyBorder="1"/>
    <xf fontId="2" fillId="9" borderId="65" numFmtId="0" xfId="4" applyFont="1" applyFill="1" applyBorder="1" applyProtection="1">
      <protection locked="0"/>
    </xf>
    <xf fontId="2" fillId="9" borderId="38" numFmtId="0" xfId="4" applyFont="1" applyFill="1" applyBorder="1" applyProtection="1">
      <protection locked="0"/>
    </xf>
    <xf fontId="2" fillId="8" borderId="38" numFmtId="4" xfId="4" applyNumberFormat="1" applyFont="1" applyFill="1" applyBorder="1" applyProtection="1">
      <protection locked="0"/>
    </xf>
    <xf fontId="12" fillId="9" borderId="38" numFmtId="0" xfId="4" applyFont="1" applyFill="1" applyBorder="1" applyAlignment="1" applyProtection="1">
      <alignment horizontal="left" vertical="center" wrapText="1"/>
      <protection locked="0"/>
    </xf>
    <xf fontId="2" fillId="9" borderId="37" numFmtId="0" xfId="4" applyFont="1" applyFill="1" applyBorder="1" applyProtection="1">
      <protection locked="0"/>
    </xf>
    <xf fontId="14" fillId="9" borderId="35" numFmtId="0" xfId="4" applyFont="1" applyFill="1" applyBorder="1" applyProtection="1">
      <protection locked="0"/>
    </xf>
    <xf fontId="0" fillId="0" borderId="38" numFmtId="0" xfId="4" applyBorder="1"/>
    <xf fontId="0" fillId="9" borderId="46" numFmtId="0" xfId="4" applyFill="1" applyBorder="1"/>
    <xf fontId="2" fillId="9" borderId="38" numFmtId="4" xfId="4" applyNumberFormat="1" applyFont="1" applyFill="1" applyBorder="1" applyProtection="1">
      <protection locked="0"/>
    </xf>
    <xf fontId="2" fillId="9" borderId="38" numFmtId="0" xfId="4" applyFont="1" applyFill="1" applyBorder="1" applyAlignment="1" applyProtection="1">
      <alignment wrapText="1"/>
      <protection locked="0"/>
    </xf>
    <xf fontId="2" fillId="9" borderId="20" numFmtId="4" xfId="4" applyNumberFormat="1" applyFont="1" applyFill="1" applyBorder="1" applyProtection="1">
      <protection locked="0"/>
    </xf>
    <xf fontId="0" fillId="9" borderId="23" numFmtId="0" xfId="4" applyFill="1" applyBorder="1"/>
    <xf fontId="2" fillId="9" borderId="23" numFmtId="4" xfId="4" applyNumberFormat="1" applyFont="1" applyFill="1" applyBorder="1" applyProtection="1">
      <protection locked="0"/>
    </xf>
    <xf fontId="2" fillId="10" borderId="23" numFmtId="162" xfId="4" applyNumberFormat="1" applyFont="1" applyFill="1" applyBorder="1" applyProtection="1">
      <protection locked="0"/>
    </xf>
    <xf fontId="2" fillId="10" borderId="25" numFmtId="162" xfId="4" applyNumberFormat="1" applyFont="1" applyFill="1" applyBorder="1" applyProtection="1">
      <protection locked="0"/>
    </xf>
    <xf fontId="2" fillId="0" borderId="25" numFmtId="0" xfId="4" applyFont="1" applyBorder="1" applyAlignment="1" applyProtection="1">
      <alignment horizontal="left" wrapText="1"/>
      <protection locked="0"/>
    </xf>
    <xf fontId="2" fillId="9" borderId="23" numFmtId="162" xfId="4" applyNumberFormat="1" applyFont="1" applyFill="1" applyBorder="1" applyProtection="1">
      <protection locked="0"/>
    </xf>
    <xf fontId="12" fillId="9" borderId="38" numFmtId="0" xfId="4" applyFont="1" applyFill="1" applyBorder="1" applyAlignment="1" applyProtection="1">
      <alignment horizontal="left" vertical="center"/>
      <protection locked="0"/>
    </xf>
    <xf fontId="12" fillId="9" borderId="41" numFmtId="0" xfId="4" applyFont="1" applyFill="1" applyBorder="1" applyAlignment="1" applyProtection="1">
      <alignment horizontal="left" vertical="center"/>
      <protection locked="0"/>
    </xf>
    <xf fontId="12" fillId="9" borderId="44" numFmtId="0" xfId="4" applyFont="1" applyFill="1" applyBorder="1" applyAlignment="1" applyProtection="1">
      <alignment horizontal="left" vertical="center"/>
      <protection locked="0"/>
    </xf>
    <xf fontId="3" fillId="9" borderId="46" numFmtId="0" xfId="4" applyFont="1" applyFill="1" applyBorder="1" applyProtection="1">
      <protection locked="0"/>
    </xf>
    <xf fontId="14" fillId="9" borderId="23" numFmtId="0" xfId="4" applyFont="1" applyFill="1" applyBorder="1" applyProtection="1">
      <protection locked="0"/>
    </xf>
    <xf fontId="3" fillId="8" borderId="20" numFmtId="162" xfId="4" applyNumberFormat="1" applyFont="1" applyFill="1" applyBorder="1" applyAlignment="1" applyProtection="1">
      <alignment horizontal="right"/>
      <protection locked="0"/>
    </xf>
    <xf fontId="2" fillId="8" borderId="62" numFmtId="162" xfId="4" applyNumberFormat="1" applyFont="1" applyFill="1" applyBorder="1" applyProtection="1">
      <protection locked="0"/>
    </xf>
    <xf fontId="3" fillId="8" borderId="20" numFmtId="162" xfId="4" applyNumberFormat="1" applyFont="1" applyFill="1" applyBorder="1" applyProtection="1">
      <protection locked="0"/>
    </xf>
    <xf fontId="2" fillId="8" borderId="70" numFmtId="162" xfId="4" applyNumberFormat="1" applyFont="1" applyFill="1" applyBorder="1" applyAlignment="1" applyProtection="1">
      <alignment wrapText="1"/>
      <protection locked="0"/>
    </xf>
    <xf fontId="13" fillId="0" borderId="71" numFmtId="0" xfId="4" applyFont="1" applyBorder="1" applyAlignment="1" applyProtection="1">
      <alignment horizontal="left" vertical="center" wrapText="1"/>
      <protection locked="0"/>
    </xf>
    <xf fontId="15" fillId="0" borderId="38" numFmtId="0" xfId="4" applyFont="1" applyBorder="1" applyAlignment="1" applyProtection="1">
      <alignment horizontal="left" vertical="center" wrapText="1"/>
      <protection locked="0"/>
    </xf>
    <xf fontId="17" fillId="9" borderId="38" numFmtId="0" xfId="4" applyFont="1" applyFill="1" applyBorder="1" applyAlignment="1" applyProtection="1">
      <alignment horizontal="left" vertical="center" wrapText="1"/>
      <protection locked="0"/>
    </xf>
    <xf fontId="0" fillId="0" borderId="45" numFmtId="0" xfId="4" applyBorder="1"/>
    <xf fontId="16" fillId="8" borderId="23" numFmtId="162" xfId="4" applyNumberFormat="1" applyFont="1" applyFill="1" applyBorder="1" applyProtection="1">
      <protection locked="0"/>
    </xf>
    <xf fontId="2" fillId="0" borderId="49" numFmtId="0" xfId="4" applyFont="1" applyBorder="1" applyProtection="1">
      <protection locked="0"/>
    </xf>
    <xf fontId="2" fillId="8" borderId="49" numFmtId="162" xfId="4" applyNumberFormat="1" applyFont="1" applyFill="1" applyBorder="1" applyProtection="1">
      <protection locked="0"/>
    </xf>
    <xf fontId="2" fillId="12" borderId="23" numFmtId="162" xfId="4" applyNumberFormat="1" applyFont="1" applyFill="1" applyBorder="1" applyProtection="1">
      <protection locked="0"/>
    </xf>
    <xf fontId="16" fillId="9" borderId="23" numFmtId="162" xfId="4" applyNumberFormat="1" applyFont="1" applyFill="1" applyBorder="1" applyProtection="1">
      <protection locked="0"/>
    </xf>
    <xf fontId="2" fillId="0" borderId="65" numFmtId="0" xfId="4" applyFont="1" applyBorder="1" applyProtection="1">
      <protection locked="0"/>
    </xf>
    <xf fontId="3" fillId="2" borderId="57" numFmtId="0" xfId="4" applyFont="1" applyFill="1" applyBorder="1" applyAlignment="1">
      <alignment vertical="center"/>
    </xf>
    <xf fontId="3" fillId="2" borderId="57" numFmtId="0" xfId="4" applyFont="1" applyFill="1" applyBorder="1" applyAlignment="1">
      <alignment horizontal="center" vertical="center"/>
    </xf>
    <xf fontId="3" fillId="2" borderId="57" numFmtId="0" xfId="4" applyFont="1" applyFill="1" applyBorder="1" applyAlignment="1">
      <alignment horizontal="left" vertical="center"/>
    </xf>
    <xf fontId="3" fillId="2" borderId="57" numFmtId="162" xfId="4" applyNumberFormat="1" applyFont="1" applyFill="1" applyBorder="1" applyAlignment="1">
      <alignment vertical="center"/>
    </xf>
    <xf fontId="13" fillId="9" borderId="38" numFmtId="4" xfId="4" applyNumberFormat="1" applyFont="1" applyFill="1" applyBorder="1" applyAlignment="1" applyProtection="1">
      <alignment horizontal="right" vertical="center" wrapText="1"/>
      <protection locked="0"/>
    </xf>
    <xf fontId="3" fillId="9" borderId="23" numFmtId="162" xfId="4" applyNumberFormat="1" applyFont="1" applyFill="1" applyBorder="1" applyProtection="1">
      <protection locked="0"/>
    </xf>
    <xf fontId="12" fillId="8" borderId="41" numFmtId="162" xfId="4" applyNumberFormat="1" applyFont="1" applyFill="1" applyBorder="1" applyAlignment="1" applyProtection="1">
      <alignment horizontal="right" vertical="center"/>
      <protection locked="0"/>
    </xf>
    <xf fontId="0" fillId="0" borderId="70" numFmtId="0" xfId="4" applyBorder="1" applyProtection="1"/>
    <xf fontId="0" fillId="0" borderId="23" numFmtId="0" xfId="4" applyBorder="1" applyAlignment="1" applyProtection="1">
      <alignment wrapText="1"/>
    </xf>
    <xf fontId="0" fillId="0" borderId="70" numFmtId="0" xfId="4" applyBorder="1" applyAlignment="1" applyProtection="1">
      <alignment wrapText="1"/>
    </xf>
    <xf fontId="0" fillId="0" borderId="23" numFmtId="0" xfId="4" applyBorder="1" applyProtection="1"/>
    <xf fontId="16" fillId="9" borderId="23" numFmtId="0" xfId="4" applyFont="1" applyFill="1" applyBorder="1" applyProtection="1">
      <protection locked="0"/>
    </xf>
    <xf fontId="18" fillId="8" borderId="72" numFmtId="162" xfId="4" applyNumberFormat="1" applyFont="1" applyFill="1" applyBorder="1" applyProtection="1">
      <protection locked="0"/>
    </xf>
    <xf fontId="2" fillId="0" borderId="73" numFmtId="0" xfId="4" applyFont="1" applyBorder="1" applyAlignment="1" applyProtection="1">
      <alignment wrapText="1"/>
      <protection locked="0"/>
    </xf>
    <xf fontId="18" fillId="8" borderId="46" numFmtId="162" xfId="4" applyNumberFormat="1" applyFont="1" applyFill="1" applyBorder="1" applyProtection="1">
      <protection locked="0"/>
    </xf>
    <xf fontId="2" fillId="0" borderId="74" numFmtId="0" xfId="4" applyFont="1" applyBorder="1" applyAlignment="1" applyProtection="1">
      <alignment wrapText="1"/>
      <protection locked="0"/>
    </xf>
    <xf fontId="18" fillId="8" borderId="62" numFmtId="162" xfId="4" applyNumberFormat="1" applyFont="1" applyFill="1" applyBorder="1" applyProtection="1">
      <protection locked="0"/>
    </xf>
    <xf fontId="18" fillId="8" borderId="35" numFmtId="162" xfId="4" applyNumberFormat="1" applyFont="1" applyFill="1" applyBorder="1" applyProtection="1">
      <protection locked="0"/>
    </xf>
    <xf fontId="12" fillId="0" borderId="38" numFmtId="0" xfId="4" applyFont="1" applyBorder="1" applyAlignment="1" applyProtection="1">
      <alignment horizontal="left" vertical="center" wrapText="1"/>
      <protection locked="0"/>
    </xf>
    <xf fontId="12" fillId="8" borderId="38" numFmtId="3" xfId="4" applyNumberFormat="1" applyFont="1" applyFill="1" applyBorder="1" applyAlignment="1" applyProtection="1">
      <alignment horizontal="right" vertical="center" wrapText="1"/>
      <protection locked="0"/>
    </xf>
    <xf fontId="2" fillId="0" borderId="41" numFmtId="0" xfId="4" applyFont="1" applyBorder="1" applyAlignment="1" applyProtection="1">
      <alignment wrapText="1"/>
      <protection locked="0"/>
    </xf>
    <xf fontId="13" fillId="10" borderId="38" numFmtId="4" xfId="4" applyNumberFormat="1" applyFont="1" applyFill="1" applyBorder="1" applyAlignment="1" applyProtection="1">
      <alignment horizontal="right" vertical="center" wrapText="1"/>
      <protection locked="0"/>
    </xf>
    <xf fontId="17" fillId="4" borderId="38" numFmtId="0" xfId="4" applyFont="1" applyFill="1" applyBorder="1" applyAlignment="1" applyProtection="1">
      <alignment horizontal="left" vertical="center" wrapText="1"/>
      <protection locked="0"/>
    </xf>
    <xf fontId="13" fillId="0" borderId="38" numFmtId="4" xfId="4" applyNumberFormat="1" applyFont="1" applyBorder="1" applyAlignment="1" applyProtection="1">
      <alignment horizontal="right" vertical="center" wrapText="1"/>
      <protection locked="0"/>
    </xf>
    <xf fontId="0" fillId="0" borderId="46" numFmtId="0" xfId="4" applyBorder="1"/>
    <xf fontId="16" fillId="4" borderId="23" numFmtId="162" xfId="4" applyNumberFormat="1" applyFont="1" applyFill="1" applyBorder="1" applyProtection="1">
      <protection locked="0"/>
    </xf>
    <xf fontId="2" fillId="10" borderId="23" numFmtId="3" xfId="4" applyNumberFormat="1" applyFont="1" applyFill="1" applyBorder="1" applyProtection="1">
      <protection locked="0"/>
    </xf>
    <xf fontId="2" fillId="9" borderId="70" numFmtId="0" xfId="4" applyFont="1" applyFill="1" applyBorder="1" applyAlignment="1" applyProtection="1">
      <alignment wrapText="1"/>
      <protection locked="0"/>
    </xf>
    <xf fontId="12" fillId="10" borderId="38" numFmtId="162" xfId="4" applyNumberFormat="1" applyFont="1" applyFill="1" applyBorder="1" applyAlignment="1" applyProtection="1">
      <alignment horizontal="right" vertical="center"/>
      <protection locked="0"/>
    </xf>
    <xf fontId="16" fillId="9" borderId="46" numFmtId="0" xfId="4" applyFont="1" applyFill="1" applyBorder="1" applyProtection="1">
      <protection locked="0"/>
    </xf>
    <xf fontId="2" fillId="9" borderId="70" numFmtId="0" xfId="4" applyFont="1" applyFill="1" applyBorder="1" applyProtection="1">
      <protection locked="0"/>
    </xf>
    <xf fontId="2" fillId="9" borderId="70" numFmtId="3" xfId="4" applyNumberFormat="1" applyFont="1" applyFill="1" applyBorder="1" applyProtection="1">
      <protection locked="0"/>
    </xf>
    <xf fontId="2" fillId="9" borderId="23" numFmtId="3" xfId="4" applyNumberFormat="1" applyFont="1" applyFill="1" applyBorder="1" applyProtection="1">
      <protection locked="0"/>
    </xf>
    <xf fontId="0" fillId="0" borderId="0" numFmtId="0" xfId="4" applyAlignment="1">
      <alignment vertical="center" wrapText="1"/>
    </xf>
    <xf fontId="2" fillId="0" borderId="29" numFmtId="0" xfId="4" applyFont="1" applyBorder="1" applyAlignment="1" applyProtection="1">
      <alignment vertical="center" wrapText="1"/>
      <protection locked="0"/>
    </xf>
    <xf fontId="2" fillId="7" borderId="25" numFmtId="0" xfId="4" applyFont="1" applyFill="1" applyBorder="1" applyAlignment="1" applyProtection="1">
      <alignment vertical="center" wrapText="1"/>
      <protection locked="0"/>
    </xf>
    <xf fontId="2" fillId="7" borderId="25" numFmtId="162" xfId="4" applyNumberFormat="1" applyFont="1" applyFill="1" applyBorder="1" applyAlignment="1" applyProtection="1">
      <alignment vertical="center" wrapText="1"/>
      <protection locked="0"/>
    </xf>
    <xf fontId="2" fillId="0" borderId="25" numFmtId="0" xfId="4" applyFont="1" applyBorder="1" applyAlignment="1" applyProtection="1">
      <alignment vertical="center" wrapText="1"/>
      <protection locked="0"/>
    </xf>
    <xf fontId="19" fillId="0" borderId="25" numFmtId="0" xfId="4" applyFont="1" applyBorder="1" applyAlignment="1" applyProtection="1">
      <alignment vertical="center" wrapText="1"/>
      <protection locked="0"/>
    </xf>
    <xf fontId="2" fillId="0" borderId="20" numFmtId="0" xfId="4" applyFont="1" applyBorder="1" applyAlignment="1" applyProtection="1">
      <alignment vertical="center" wrapText="1"/>
      <protection locked="0"/>
    </xf>
    <xf fontId="0" fillId="0" borderId="25" numFmtId="0" xfId="4" applyBorder="1" applyAlignment="1">
      <alignment vertical="center" wrapText="1"/>
    </xf>
    <xf fontId="0" fillId="0" borderId="26" numFmtId="0" xfId="4" applyBorder="1" applyAlignment="1">
      <alignment vertical="center" wrapText="1"/>
    </xf>
    <xf fontId="2" fillId="7" borderId="25" numFmtId="0" xfId="4" applyFont="1" applyFill="1" applyBorder="1" applyProtection="1">
      <protection locked="0"/>
    </xf>
    <xf fontId="2" fillId="7" borderId="25" numFmtId="162" xfId="4" applyNumberFormat="1" applyFont="1" applyFill="1" applyBorder="1" applyProtection="1">
      <protection locked="0"/>
    </xf>
    <xf fontId="2" fillId="7" borderId="25" numFmtId="0" xfId="4" applyFont="1" applyFill="1" applyBorder="1" applyAlignment="1" applyProtection="1">
      <alignment wrapText="1"/>
      <protection locked="0"/>
    </xf>
    <xf fontId="2" fillId="13" borderId="23" numFmtId="0" xfId="4" applyFont="1" applyFill="1" applyBorder="1" applyProtection="1">
      <protection locked="0"/>
    </xf>
    <xf fontId="2" fillId="13" borderId="49" numFmtId="0" xfId="4" applyFont="1" applyFill="1" applyBorder="1" applyProtection="1">
      <protection locked="0"/>
    </xf>
    <xf fontId="2" fillId="13" borderId="49" numFmtId="162" xfId="4" applyNumberFormat="1" applyFont="1" applyFill="1" applyBorder="1" applyProtection="1">
      <protection locked="0"/>
    </xf>
    <xf fontId="2" fillId="13" borderId="49" numFmtId="0" xfId="4" applyFont="1" applyFill="1" applyBorder="1" applyAlignment="1" applyProtection="1">
      <alignment wrapText="1"/>
      <protection locked="0"/>
    </xf>
  </cellXfs>
  <cellStyles count="5">
    <cellStyle name="Excel Built-in Normal" xfId="1"/>
    <cellStyle name="Excel Built-in Normal 1" xfId="2"/>
    <cellStyle name="Excel Built-in Normal 2" xfId="3"/>
    <cellStyle name="Обычный" xfId="0" builtinId="0"/>
    <cellStyle name="Обычный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5" Type="http://schemas.openxmlformats.org/officeDocument/2006/relationships/styles" Target="styles.xml"/><Relationship  Id="rId34" Type="http://schemas.openxmlformats.org/officeDocument/2006/relationships/sharedStrings" Target="sharedStrings.xml"/><Relationship  Id="rId33" Type="http://schemas.openxmlformats.org/officeDocument/2006/relationships/theme" Target="theme/theme1.xml"/><Relationship  Id="rId29" Type="http://schemas.openxmlformats.org/officeDocument/2006/relationships/worksheet" Target="worksheets/sheet29.xml"/><Relationship  Id="rId28" Type="http://schemas.openxmlformats.org/officeDocument/2006/relationships/worksheet" Target="worksheets/sheet28.xml"/><Relationship  Id="rId27" Type="http://schemas.openxmlformats.org/officeDocument/2006/relationships/worksheet" Target="worksheets/sheet27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1" Type="http://schemas.openxmlformats.org/officeDocument/2006/relationships/worksheet" Target="worksheets/sheet21.xml"/><Relationship  Id="rId25" Type="http://schemas.openxmlformats.org/officeDocument/2006/relationships/worksheet" Target="worksheets/sheet25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24" Type="http://schemas.openxmlformats.org/officeDocument/2006/relationships/worksheet" Target="worksheets/sheet24.xml"/><Relationship  Id="rId10" Type="http://schemas.openxmlformats.org/officeDocument/2006/relationships/worksheet" Target="worksheets/sheet10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26" Type="http://schemas.openxmlformats.org/officeDocument/2006/relationships/worksheet" Target="worksheets/sheet26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20" Type="http://schemas.openxmlformats.org/officeDocument/2006/relationships/worksheet" Target="worksheets/sheet20.xml"/><Relationship  Id="rId31" Type="http://schemas.openxmlformats.org/officeDocument/2006/relationships/worksheet" Target="worksheets/sheet31.xml"/><Relationship  Id="rId19" Type="http://schemas.openxmlformats.org/officeDocument/2006/relationships/worksheet" Target="worksheets/sheet19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worksheet" Target="worksheets/sheet16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2" Type="http://schemas.openxmlformats.org/officeDocument/2006/relationships/worksheet" Target="worksheets/sheet32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B19" activeCellId="0" sqref="B19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v>46082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0</v>
      </c>
      <c r="F4" s="12"/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/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/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/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/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/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/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/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45">
        <v>2</v>
      </c>
      <c r="B17" s="46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/>
      <c r="C90" s="52"/>
      <c r="D90" s="52"/>
      <c r="E90" s="53"/>
      <c r="F90" s="54"/>
      <c r="G90" s="54"/>
      <c r="H90" s="52"/>
      <c r="I90" s="40"/>
      <c r="J90" s="52"/>
      <c r="K90" s="55"/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0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0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/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199999999999999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0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D00C7-0048-44F5-B52E-001B00740020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A25" zoomScale="100" workbookViewId="0">
      <selection activeCell="G59" activeCellId="0" sqref="G59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6.1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С2+1</f>
        <v>46083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11618485.66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3979050.5699999998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2919755.6600000001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5166.8400000000001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32595.970000000001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2961193.5899999999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1704901.4299999999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28.5" outlineLevel="1">
      <c r="A16" s="45">
        <v>1</v>
      </c>
      <c r="B16" s="46" t="s">
        <v>35</v>
      </c>
      <c r="C16" s="46" t="s">
        <v>36</v>
      </c>
      <c r="D16" s="46" t="s">
        <v>37</v>
      </c>
      <c r="E16" s="87">
        <v>35258</v>
      </c>
      <c r="F16" s="48" t="s">
        <v>38</v>
      </c>
      <c r="G16" s="48" t="s">
        <v>39</v>
      </c>
      <c r="H16" s="46" t="s">
        <v>40</v>
      </c>
      <c r="I16" s="40" t="s">
        <v>41</v>
      </c>
      <c r="J16" s="46"/>
      <c r="K16" s="49" t="s">
        <v>42</v>
      </c>
      <c r="L16" s="50"/>
    </row>
    <row r="17" ht="28.5" outlineLevel="1">
      <c r="A17" s="45">
        <v>2</v>
      </c>
      <c r="B17" s="46" t="s">
        <v>35</v>
      </c>
      <c r="C17" s="46" t="s">
        <v>36</v>
      </c>
      <c r="D17" s="46" t="s">
        <v>43</v>
      </c>
      <c r="E17" s="87">
        <v>155154</v>
      </c>
      <c r="F17" s="48" t="s">
        <v>38</v>
      </c>
      <c r="G17" s="48" t="s">
        <v>39</v>
      </c>
      <c r="H17" s="46" t="s">
        <v>40</v>
      </c>
      <c r="I17" s="40" t="s">
        <v>41</v>
      </c>
      <c r="J17" s="46"/>
      <c r="K17" s="49" t="s">
        <v>42</v>
      </c>
      <c r="L17" s="50"/>
    </row>
    <row r="18" ht="14.25" customHeight="1" outlineLevel="1">
      <c r="A18" s="45">
        <v>3</v>
      </c>
      <c r="B18" s="88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89">
        <v>4</v>
      </c>
      <c r="B19" s="90" t="s">
        <v>44</v>
      </c>
      <c r="C19" s="46" t="s">
        <v>45</v>
      </c>
      <c r="D19" s="46" t="s">
        <v>46</v>
      </c>
      <c r="E19" s="91" t="s">
        <v>47</v>
      </c>
      <c r="F19" s="48" t="s">
        <v>48</v>
      </c>
      <c r="G19" s="48"/>
      <c r="H19" s="46"/>
      <c r="I19" s="40" t="s">
        <v>41</v>
      </c>
      <c r="J19" s="46"/>
      <c r="K19" s="49"/>
      <c r="L19" s="50"/>
    </row>
    <row r="20" ht="14.4" outlineLevel="1">
      <c r="A20" s="45">
        <v>5</v>
      </c>
      <c r="B20" s="40" t="s">
        <v>49</v>
      </c>
      <c r="C20" s="46" t="s">
        <v>50</v>
      </c>
      <c r="D20" s="46" t="s">
        <v>51</v>
      </c>
      <c r="E20" s="87">
        <v>3404096</v>
      </c>
      <c r="F20" s="92" t="s">
        <v>52</v>
      </c>
      <c r="G20" s="48" t="s">
        <v>39</v>
      </c>
      <c r="H20" s="46"/>
      <c r="I20" s="40" t="s">
        <v>41</v>
      </c>
      <c r="J20" s="93" t="s">
        <v>53</v>
      </c>
      <c r="K20" s="49" t="s">
        <v>42</v>
      </c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 t="s">
        <v>54</v>
      </c>
      <c r="C37" s="40" t="s">
        <v>55</v>
      </c>
      <c r="D37" s="40" t="s">
        <v>56</v>
      </c>
      <c r="E37" s="94">
        <v>115000</v>
      </c>
      <c r="F37" s="42" t="s">
        <v>57</v>
      </c>
      <c r="G37" s="42" t="s">
        <v>39</v>
      </c>
      <c r="H37" s="46" t="s">
        <v>40</v>
      </c>
      <c r="I37" s="40" t="s">
        <v>41</v>
      </c>
      <c r="J37" s="40"/>
      <c r="K37" s="43" t="s">
        <v>42</v>
      </c>
      <c r="L37" s="44"/>
    </row>
    <row r="38" ht="14.25" customHeight="1" outlineLevel="1">
      <c r="A38" s="45">
        <v>2</v>
      </c>
      <c r="B38" s="46" t="s">
        <v>54</v>
      </c>
      <c r="C38" s="46" t="s">
        <v>58</v>
      </c>
      <c r="D38" s="46" t="s">
        <v>59</v>
      </c>
      <c r="E38" s="87">
        <v>58000</v>
      </c>
      <c r="F38" s="48" t="s">
        <v>57</v>
      </c>
      <c r="G38" s="48" t="s">
        <v>39</v>
      </c>
      <c r="H38" s="46" t="s">
        <v>40</v>
      </c>
      <c r="I38" s="40" t="s">
        <v>60</v>
      </c>
      <c r="J38" s="46" t="s">
        <v>61</v>
      </c>
      <c r="K38" s="49" t="s">
        <v>42</v>
      </c>
      <c r="L38" s="50"/>
    </row>
    <row r="39" ht="14.25" customHeight="1" outlineLevel="1">
      <c r="A39" s="45">
        <v>3</v>
      </c>
      <c r="B39" s="46" t="s">
        <v>54</v>
      </c>
      <c r="C39" s="46" t="s">
        <v>62</v>
      </c>
      <c r="D39" s="46" t="s">
        <v>63</v>
      </c>
      <c r="E39" s="87">
        <f>55000+80000+70000+47000</f>
        <v>252000</v>
      </c>
      <c r="F39" s="48" t="s">
        <v>57</v>
      </c>
      <c r="G39" s="48" t="s">
        <v>39</v>
      </c>
      <c r="H39" s="46" t="s">
        <v>40</v>
      </c>
      <c r="I39" s="40" t="s">
        <v>41</v>
      </c>
      <c r="J39" s="46"/>
      <c r="K39" s="49" t="s">
        <v>42</v>
      </c>
      <c r="L39" s="50"/>
    </row>
    <row r="40" ht="14.25" customHeight="1" outlineLevel="1">
      <c r="A40" s="45">
        <v>4</v>
      </c>
      <c r="B40" s="46" t="s">
        <v>54</v>
      </c>
      <c r="C40" s="46" t="s">
        <v>64</v>
      </c>
      <c r="D40" s="46" t="s">
        <v>63</v>
      </c>
      <c r="E40" s="87">
        <f>96000+75000</f>
        <v>171000</v>
      </c>
      <c r="F40" s="48" t="s">
        <v>57</v>
      </c>
      <c r="G40" s="48" t="s">
        <v>39</v>
      </c>
      <c r="H40" s="46" t="s">
        <v>40</v>
      </c>
      <c r="I40" s="40" t="s">
        <v>60</v>
      </c>
      <c r="J40" s="46" t="s">
        <v>65</v>
      </c>
      <c r="K40" s="49" t="s">
        <v>42</v>
      </c>
      <c r="L40" s="50"/>
    </row>
    <row r="41" ht="14.25" customHeight="1" outlineLevel="1">
      <c r="A41" s="45">
        <v>5</v>
      </c>
      <c r="B41" s="46" t="s">
        <v>54</v>
      </c>
      <c r="C41" s="46" t="s">
        <v>66</v>
      </c>
      <c r="D41" s="46" t="s">
        <v>67</v>
      </c>
      <c r="E41" s="87">
        <v>20000</v>
      </c>
      <c r="F41" s="48" t="s">
        <v>57</v>
      </c>
      <c r="G41" s="48" t="s">
        <v>39</v>
      </c>
      <c r="H41" s="46" t="s">
        <v>40</v>
      </c>
      <c r="I41" s="40" t="s">
        <v>60</v>
      </c>
      <c r="J41" s="46"/>
      <c r="K41" s="49" t="s">
        <v>42</v>
      </c>
      <c r="L41" s="50"/>
    </row>
    <row r="42" ht="14.25" customHeight="1" outlineLevel="1">
      <c r="A42" s="45">
        <v>6</v>
      </c>
      <c r="B42" s="46" t="s">
        <v>54</v>
      </c>
      <c r="C42" s="46" t="s">
        <v>68</v>
      </c>
      <c r="D42" s="46" t="s">
        <v>69</v>
      </c>
      <c r="E42" s="87">
        <v>85000</v>
      </c>
      <c r="F42" s="48" t="s">
        <v>57</v>
      </c>
      <c r="G42" s="48" t="s">
        <v>39</v>
      </c>
      <c r="H42" s="46" t="s">
        <v>40</v>
      </c>
      <c r="I42" s="40" t="s">
        <v>41</v>
      </c>
      <c r="J42" s="46"/>
      <c r="K42" s="49" t="s">
        <v>42</v>
      </c>
      <c r="L42" s="50"/>
    </row>
    <row r="43" ht="14.25" customHeight="1" outlineLevel="1">
      <c r="A43" s="45">
        <v>7</v>
      </c>
      <c r="B43" s="46" t="s">
        <v>54</v>
      </c>
      <c r="C43" s="46" t="s">
        <v>70</v>
      </c>
      <c r="D43" s="46" t="s">
        <v>71</v>
      </c>
      <c r="E43" s="87">
        <v>95000</v>
      </c>
      <c r="F43" s="48" t="s">
        <v>57</v>
      </c>
      <c r="G43" s="48" t="s">
        <v>39</v>
      </c>
      <c r="H43" s="46" t="s">
        <v>40</v>
      </c>
      <c r="I43" s="40" t="s">
        <v>41</v>
      </c>
      <c r="J43" s="46"/>
      <c r="K43" s="49" t="s">
        <v>42</v>
      </c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28.5" outlineLevel="1">
      <c r="A58" s="45">
        <v>1</v>
      </c>
      <c r="B58" s="46" t="s">
        <v>72</v>
      </c>
      <c r="C58" s="46" t="s">
        <v>73</v>
      </c>
      <c r="D58" s="46" t="s">
        <v>74</v>
      </c>
      <c r="E58" s="87">
        <v>32800</v>
      </c>
      <c r="F58" s="48" t="s">
        <v>75</v>
      </c>
      <c r="G58" s="48" t="s">
        <v>39</v>
      </c>
      <c r="H58" s="46" t="s">
        <v>40</v>
      </c>
      <c r="I58" s="40" t="s">
        <v>60</v>
      </c>
      <c r="J58" s="46" t="s">
        <v>76</v>
      </c>
      <c r="K58" s="49" t="s">
        <v>42</v>
      </c>
      <c r="L58" s="50"/>
    </row>
    <row r="59" ht="14.4" outlineLevel="1">
      <c r="A59" s="45">
        <v>2</v>
      </c>
      <c r="B59" s="46" t="s">
        <v>35</v>
      </c>
      <c r="C59" s="46" t="s">
        <v>77</v>
      </c>
      <c r="D59" s="46" t="s">
        <v>78</v>
      </c>
      <c r="E59" s="87">
        <v>443173.90000000002</v>
      </c>
      <c r="F59" s="48" t="s">
        <v>79</v>
      </c>
      <c r="G59" s="48" t="s">
        <v>39</v>
      </c>
      <c r="H59" s="46" t="s">
        <v>40</v>
      </c>
      <c r="I59" s="40" t="s">
        <v>60</v>
      </c>
      <c r="J59" s="46" t="s">
        <v>65</v>
      </c>
      <c r="K59" s="49" t="s">
        <v>42</v>
      </c>
      <c r="L59" s="50"/>
    </row>
    <row r="60" ht="14.4" outlineLevel="1">
      <c r="A60" s="45">
        <v>3</v>
      </c>
      <c r="B60" s="46" t="s">
        <v>35</v>
      </c>
      <c r="C60" s="46" t="s">
        <v>80</v>
      </c>
      <c r="D60" s="46" t="s">
        <v>81</v>
      </c>
      <c r="E60" s="87">
        <v>34100</v>
      </c>
      <c r="F60" s="48" t="s">
        <v>82</v>
      </c>
      <c r="G60" s="48" t="s">
        <v>39</v>
      </c>
      <c r="H60" s="46" t="s">
        <v>40</v>
      </c>
      <c r="I60" s="40" t="s">
        <v>60</v>
      </c>
      <c r="J60" s="46" t="s">
        <v>65</v>
      </c>
      <c r="K60" s="49" t="s">
        <v>42</v>
      </c>
      <c r="L60" s="50"/>
    </row>
    <row r="61" ht="14.4" outlineLevel="1">
      <c r="A61" s="45">
        <v>4</v>
      </c>
      <c r="B61" s="46" t="s">
        <v>35</v>
      </c>
      <c r="C61" s="46" t="s">
        <v>83</v>
      </c>
      <c r="D61" s="46" t="s">
        <v>84</v>
      </c>
      <c r="E61" s="87">
        <v>2300</v>
      </c>
      <c r="F61" s="48" t="s">
        <v>85</v>
      </c>
      <c r="G61" s="48" t="s">
        <v>39</v>
      </c>
      <c r="H61" s="46" t="s">
        <v>40</v>
      </c>
      <c r="I61" s="40" t="s">
        <v>60</v>
      </c>
      <c r="J61" s="46" t="s">
        <v>61</v>
      </c>
      <c r="K61" s="49" t="s">
        <v>42</v>
      </c>
      <c r="L61" s="50"/>
    </row>
    <row r="62" ht="28.5" outlineLevel="1">
      <c r="A62" s="45">
        <v>5</v>
      </c>
      <c r="B62" s="46" t="s">
        <v>35</v>
      </c>
      <c r="C62" s="95" t="s">
        <v>86</v>
      </c>
      <c r="D62" s="95" t="s">
        <v>87</v>
      </c>
      <c r="E62" s="96">
        <v>67570.919999999998</v>
      </c>
      <c r="F62" s="97" t="s">
        <v>88</v>
      </c>
      <c r="G62" s="97" t="s">
        <v>39</v>
      </c>
      <c r="H62" s="95" t="s">
        <v>40</v>
      </c>
      <c r="I62" s="40" t="s">
        <v>41</v>
      </c>
      <c r="J62" s="46"/>
      <c r="K62" s="49"/>
      <c r="L62" s="50"/>
    </row>
    <row r="63" ht="28.5" outlineLevel="1">
      <c r="A63" s="45">
        <v>6</v>
      </c>
      <c r="B63" s="46" t="s">
        <v>35</v>
      </c>
      <c r="C63" s="46" t="s">
        <v>89</v>
      </c>
      <c r="D63" s="46" t="s">
        <v>90</v>
      </c>
      <c r="E63" s="87">
        <v>12700</v>
      </c>
      <c r="F63" s="48" t="s">
        <v>91</v>
      </c>
      <c r="G63" s="48" t="s">
        <v>39</v>
      </c>
      <c r="H63" s="46" t="s">
        <v>40</v>
      </c>
      <c r="I63" s="40" t="s">
        <v>60</v>
      </c>
      <c r="J63" s="46" t="s">
        <v>61</v>
      </c>
      <c r="K63" s="49" t="s">
        <v>42</v>
      </c>
      <c r="L63" s="50"/>
    </row>
    <row r="64" ht="14.4" outlineLevel="1">
      <c r="A64" s="45">
        <v>7</v>
      </c>
      <c r="B64" s="46" t="s">
        <v>35</v>
      </c>
      <c r="C64" s="46" t="s">
        <v>92</v>
      </c>
      <c r="D64" s="46" t="s">
        <v>93</v>
      </c>
      <c r="E64" s="87">
        <v>1000</v>
      </c>
      <c r="F64" s="48" t="s">
        <v>94</v>
      </c>
      <c r="G64" s="48" t="s">
        <v>39</v>
      </c>
      <c r="H64" s="46" t="s">
        <v>40</v>
      </c>
      <c r="I64" s="40" t="s">
        <v>41</v>
      </c>
      <c r="J64" s="46"/>
      <c r="K64" s="49" t="s">
        <v>42</v>
      </c>
      <c r="L64" s="50"/>
    </row>
    <row r="65" ht="14.4" outlineLevel="1">
      <c r="A65" s="45">
        <v>8</v>
      </c>
      <c r="B65" s="46" t="s">
        <v>35</v>
      </c>
      <c r="C65" s="46" t="s">
        <v>95</v>
      </c>
      <c r="D65" s="46" t="s">
        <v>96</v>
      </c>
      <c r="E65" s="87">
        <v>6061</v>
      </c>
      <c r="F65" s="48" t="s">
        <v>97</v>
      </c>
      <c r="G65" s="48" t="s">
        <v>39</v>
      </c>
      <c r="H65" s="46" t="s">
        <v>40</v>
      </c>
      <c r="I65" s="40" t="s">
        <v>41</v>
      </c>
      <c r="J65" s="46"/>
      <c r="K65" s="49" t="s">
        <v>42</v>
      </c>
      <c r="L65" s="50"/>
    </row>
    <row r="66" ht="14.4" outlineLevel="1">
      <c r="A66" s="45">
        <v>9</v>
      </c>
      <c r="B66" s="46" t="s">
        <v>35</v>
      </c>
      <c r="C66" s="46" t="s">
        <v>98</v>
      </c>
      <c r="D66" s="46" t="s">
        <v>99</v>
      </c>
      <c r="E66" s="87">
        <v>9173.9099999999999</v>
      </c>
      <c r="F66" s="48" t="s">
        <v>100</v>
      </c>
      <c r="G66" s="48" t="s">
        <v>39</v>
      </c>
      <c r="H66" s="46" t="s">
        <v>40</v>
      </c>
      <c r="I66" s="40" t="s">
        <v>41</v>
      </c>
      <c r="J66" s="46"/>
      <c r="K66" s="49" t="s">
        <v>42</v>
      </c>
      <c r="L66" s="50"/>
    </row>
    <row r="67" ht="14.4" outlineLevel="1">
      <c r="A67" s="45">
        <v>10</v>
      </c>
      <c r="B67" s="46" t="s">
        <v>35</v>
      </c>
      <c r="C67" s="95" t="s">
        <v>101</v>
      </c>
      <c r="D67" s="95" t="s">
        <v>102</v>
      </c>
      <c r="E67" s="96">
        <v>23315.459999999999</v>
      </c>
      <c r="F67" s="97" t="s">
        <v>103</v>
      </c>
      <c r="G67" s="97" t="s">
        <v>39</v>
      </c>
      <c r="H67" s="95" t="s">
        <v>40</v>
      </c>
      <c r="I67" s="40" t="s">
        <v>41</v>
      </c>
      <c r="J67" s="46"/>
      <c r="K67" s="49"/>
      <c r="L67" s="50"/>
    </row>
    <row r="68" ht="14.4" outlineLevel="1">
      <c r="A68" s="45">
        <v>11</v>
      </c>
      <c r="B68" s="46" t="s">
        <v>35</v>
      </c>
      <c r="C68" s="46" t="s">
        <v>104</v>
      </c>
      <c r="D68" s="46" t="s">
        <v>105</v>
      </c>
      <c r="E68" s="87">
        <v>4251</v>
      </c>
      <c r="F68" s="48" t="s">
        <v>106</v>
      </c>
      <c r="G68" s="48" t="s">
        <v>39</v>
      </c>
      <c r="H68" s="46" t="s">
        <v>40</v>
      </c>
      <c r="I68" s="40"/>
      <c r="J68" s="46" t="s">
        <v>107</v>
      </c>
      <c r="K68" s="49" t="s">
        <v>42</v>
      </c>
      <c r="L68" s="50"/>
    </row>
    <row r="69" ht="14.4" outlineLevel="1">
      <c r="A69" s="45">
        <v>12</v>
      </c>
      <c r="B69" s="88" t="s">
        <v>35</v>
      </c>
      <c r="C69" s="88" t="s">
        <v>108</v>
      </c>
      <c r="D69" s="88" t="s">
        <v>109</v>
      </c>
      <c r="E69" s="98">
        <v>91887</v>
      </c>
      <c r="F69" s="99" t="s">
        <v>110</v>
      </c>
      <c r="G69" s="99" t="s">
        <v>39</v>
      </c>
      <c r="H69" s="46" t="s">
        <v>40</v>
      </c>
      <c r="I69" s="40" t="s">
        <v>60</v>
      </c>
      <c r="J69" s="46" t="s">
        <v>111</v>
      </c>
      <c r="K69" s="49" t="s">
        <v>42</v>
      </c>
      <c r="L69" s="50"/>
    </row>
    <row r="70" ht="14.4" outlineLevel="1">
      <c r="A70" s="45">
        <v>13</v>
      </c>
      <c r="B70" s="100" t="s">
        <v>35</v>
      </c>
      <c r="C70" s="101" t="s">
        <v>112</v>
      </c>
      <c r="D70" s="101" t="s">
        <v>113</v>
      </c>
      <c r="E70" s="98">
        <v>37000</v>
      </c>
      <c r="F70" s="48" t="s">
        <v>114</v>
      </c>
      <c r="G70" s="102" t="s">
        <v>39</v>
      </c>
      <c r="H70" s="46" t="s">
        <v>40</v>
      </c>
      <c r="I70" s="40" t="s">
        <v>41</v>
      </c>
      <c r="J70" s="88"/>
      <c r="K70" s="103" t="s">
        <v>42</v>
      </c>
      <c r="L70" s="104"/>
    </row>
    <row r="71" ht="42.75" outlineLevel="1">
      <c r="A71" s="45">
        <v>13</v>
      </c>
      <c r="B71" s="105" t="s">
        <v>115</v>
      </c>
      <c r="C71" s="106" t="s">
        <v>116</v>
      </c>
      <c r="D71" s="106" t="s">
        <v>117</v>
      </c>
      <c r="E71" s="107">
        <v>320000</v>
      </c>
      <c r="F71" s="97" t="s">
        <v>118</v>
      </c>
      <c r="G71" s="108" t="s">
        <v>39</v>
      </c>
      <c r="H71" s="95" t="s">
        <v>40</v>
      </c>
      <c r="I71" s="40" t="s">
        <v>41</v>
      </c>
      <c r="J71" s="88"/>
      <c r="K71" s="103"/>
      <c r="L71" s="104"/>
    </row>
    <row r="72" ht="57" outlineLevel="1">
      <c r="A72" s="45">
        <v>14</v>
      </c>
      <c r="B72" s="105" t="s">
        <v>119</v>
      </c>
      <c r="C72" s="105" t="s">
        <v>120</v>
      </c>
      <c r="D72" s="105" t="s">
        <v>121</v>
      </c>
      <c r="E72" s="109">
        <v>32722.060000000001</v>
      </c>
      <c r="F72" s="48" t="s">
        <v>122</v>
      </c>
      <c r="G72" s="110" t="s">
        <v>39</v>
      </c>
      <c r="H72" s="46" t="s">
        <v>40</v>
      </c>
      <c r="I72" s="40" t="s">
        <v>41</v>
      </c>
      <c r="J72" s="88"/>
      <c r="K72" s="103" t="s">
        <v>42</v>
      </c>
      <c r="L72" s="104"/>
    </row>
    <row r="73" ht="28.5" outlineLevel="1">
      <c r="A73" s="45">
        <v>15</v>
      </c>
      <c r="B73" s="105" t="s">
        <v>115</v>
      </c>
      <c r="C73" s="105" t="s">
        <v>123</v>
      </c>
      <c r="D73" s="105" t="s">
        <v>124</v>
      </c>
      <c r="E73" s="109">
        <v>12514.620000000001</v>
      </c>
      <c r="F73" s="48" t="s">
        <v>125</v>
      </c>
      <c r="G73" s="110" t="s">
        <v>39</v>
      </c>
      <c r="H73" s="46" t="s">
        <v>40</v>
      </c>
      <c r="I73" s="40" t="s">
        <v>41</v>
      </c>
      <c r="J73" s="88"/>
      <c r="K73" s="103" t="s">
        <v>42</v>
      </c>
      <c r="L73" s="104"/>
    </row>
    <row r="74" ht="14.4" outlineLevel="1">
      <c r="A74" s="45">
        <v>16</v>
      </c>
      <c r="B74" s="111"/>
      <c r="C74" s="111"/>
      <c r="D74" s="111"/>
      <c r="E74" s="112"/>
      <c r="F74" s="113"/>
      <c r="G74" s="113"/>
      <c r="H74" s="57"/>
      <c r="I74" s="40"/>
      <c r="J74" s="57"/>
      <c r="K74" s="60"/>
      <c r="L74" s="61"/>
    </row>
    <row r="75" s="32" customFormat="1" ht="19.5" customHeight="1" outlineLevel="1">
      <c r="A75" s="33"/>
      <c r="B75" s="34" t="s">
        <v>24</v>
      </c>
      <c r="C75" s="35"/>
      <c r="D75" s="36"/>
      <c r="E75" s="37"/>
      <c r="F75" s="34"/>
      <c r="G75" s="34"/>
      <c r="H75" s="34"/>
      <c r="I75" s="34"/>
      <c r="J75" s="34"/>
      <c r="K75" s="34"/>
      <c r="L75" s="38"/>
    </row>
    <row r="76" ht="14.25" customHeight="1" outlineLevel="1">
      <c r="A76" s="62">
        <v>1</v>
      </c>
      <c r="B76" s="52" t="s">
        <v>126</v>
      </c>
      <c r="C76" s="52" t="s">
        <v>127</v>
      </c>
      <c r="D76" s="52" t="s">
        <v>128</v>
      </c>
      <c r="E76" s="114">
        <v>1380</v>
      </c>
      <c r="F76" s="54" t="s">
        <v>129</v>
      </c>
      <c r="G76" s="54"/>
      <c r="H76" s="46" t="s">
        <v>40</v>
      </c>
      <c r="I76" s="40" t="s">
        <v>41</v>
      </c>
      <c r="J76" s="52"/>
      <c r="K76" s="55" t="s">
        <v>42</v>
      </c>
      <c r="L76" s="56"/>
    </row>
    <row r="77" ht="42.75" outlineLevel="1">
      <c r="A77" s="45">
        <v>2</v>
      </c>
      <c r="B77" s="46" t="s">
        <v>130</v>
      </c>
      <c r="C77" s="46" t="s">
        <v>131</v>
      </c>
      <c r="D77" s="46" t="s">
        <v>132</v>
      </c>
      <c r="E77" s="87">
        <v>6000</v>
      </c>
      <c r="F77" s="115" t="s">
        <v>133</v>
      </c>
      <c r="G77" s="48"/>
      <c r="H77" s="46" t="s">
        <v>40</v>
      </c>
      <c r="I77" s="40" t="s">
        <v>41</v>
      </c>
      <c r="J77" s="46"/>
      <c r="K77" s="49" t="s">
        <v>42</v>
      </c>
      <c r="L77" s="50"/>
    </row>
    <row r="78" ht="14.25" customHeight="1" outlineLevel="1">
      <c r="A78" s="45">
        <v>3</v>
      </c>
      <c r="B78" s="95"/>
      <c r="C78" s="95"/>
      <c r="D78" s="95"/>
      <c r="E78" s="96"/>
      <c r="F78" s="97"/>
      <c r="G78" s="97"/>
      <c r="H78" s="95"/>
      <c r="I78" s="116"/>
      <c r="J78" s="95" t="s">
        <v>134</v>
      </c>
      <c r="K78" s="49"/>
      <c r="L78" s="50"/>
    </row>
    <row r="79" ht="14.25" customHeight="1" outlineLevel="1">
      <c r="A79" s="45">
        <v>4</v>
      </c>
      <c r="B79" s="46" t="s">
        <v>135</v>
      </c>
      <c r="C79" s="46" t="s">
        <v>136</v>
      </c>
      <c r="D79" s="46" t="s">
        <v>137</v>
      </c>
      <c r="E79" s="87">
        <v>12818</v>
      </c>
      <c r="F79" s="48" t="s">
        <v>138</v>
      </c>
      <c r="G79" s="48" t="s">
        <v>39</v>
      </c>
      <c r="H79" s="46" t="s">
        <v>40</v>
      </c>
      <c r="I79" s="40" t="s">
        <v>41</v>
      </c>
      <c r="J79" s="46" t="s">
        <v>134</v>
      </c>
      <c r="K79" s="49" t="s">
        <v>42</v>
      </c>
      <c r="L79" s="50"/>
    </row>
    <row r="80" ht="14.25" customHeight="1" outlineLevel="1">
      <c r="A80" s="45">
        <v>5</v>
      </c>
      <c r="B80" s="46" t="s">
        <v>135</v>
      </c>
      <c r="C80" s="46" t="s">
        <v>136</v>
      </c>
      <c r="D80" s="46" t="s">
        <v>139</v>
      </c>
      <c r="E80" s="87">
        <v>5710</v>
      </c>
      <c r="F80" s="48" t="s">
        <v>140</v>
      </c>
      <c r="G80" s="48" t="s">
        <v>39</v>
      </c>
      <c r="H80" s="46" t="s">
        <v>40</v>
      </c>
      <c r="I80" s="40" t="s">
        <v>41</v>
      </c>
      <c r="J80" s="46" t="s">
        <v>141</v>
      </c>
      <c r="K80" s="49" t="s">
        <v>42</v>
      </c>
      <c r="L80" s="50"/>
    </row>
    <row r="81" ht="14.25" customHeight="1" outlineLevel="1">
      <c r="A81" s="45">
        <v>6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7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8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9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10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11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12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13</v>
      </c>
      <c r="B88" s="46"/>
      <c r="C88" s="46"/>
      <c r="D88" s="46"/>
      <c r="E88" s="47"/>
      <c r="F88" s="48"/>
      <c r="G88" s="48"/>
      <c r="H88" s="46"/>
      <c r="I88" s="40"/>
      <c r="J88" s="46"/>
      <c r="K88" s="49"/>
      <c r="L88" s="50"/>
    </row>
    <row r="89" ht="14.25" customHeight="1" outlineLevel="1">
      <c r="A89" s="45">
        <v>14</v>
      </c>
      <c r="B89" s="46"/>
      <c r="C89" s="46"/>
      <c r="D89" s="46"/>
      <c r="E89" s="47"/>
      <c r="F89" s="48"/>
      <c r="G89" s="48"/>
      <c r="H89" s="46"/>
      <c r="I89" s="40"/>
      <c r="J89" s="46"/>
      <c r="K89" s="49"/>
      <c r="L89" s="50"/>
    </row>
    <row r="90" ht="14.25" customHeight="1" outlineLevel="1">
      <c r="A90" s="45">
        <v>15</v>
      </c>
      <c r="B90" s="57"/>
      <c r="C90" s="57"/>
      <c r="D90" s="57"/>
      <c r="E90" s="58"/>
      <c r="F90" s="59"/>
      <c r="G90" s="59"/>
      <c r="H90" s="57"/>
      <c r="I90" s="40"/>
      <c r="J90" s="57"/>
      <c r="K90" s="60"/>
      <c r="L90" s="61"/>
    </row>
    <row r="91" s="32" customFormat="1" ht="19.5" customHeight="1" outlineLevel="1">
      <c r="A91" s="33"/>
      <c r="B91" s="34" t="s">
        <v>25</v>
      </c>
      <c r="C91" s="35"/>
      <c r="D91" s="36"/>
      <c r="E91" s="37"/>
      <c r="F91" s="34"/>
      <c r="G91" s="34"/>
      <c r="H91" s="34"/>
      <c r="I91" s="34"/>
      <c r="J91" s="34"/>
      <c r="K91" s="34"/>
      <c r="L91" s="38"/>
    </row>
    <row r="92" ht="14.25" customHeight="1" outlineLevel="1">
      <c r="A92" s="89">
        <v>1</v>
      </c>
      <c r="B92" s="117" t="s">
        <v>142</v>
      </c>
      <c r="C92" s="117" t="s">
        <v>143</v>
      </c>
      <c r="D92" s="117" t="s">
        <v>144</v>
      </c>
      <c r="E92" s="118">
        <f>28703+2685+174930/3</f>
        <v>89698</v>
      </c>
      <c r="F92" s="119" t="s">
        <v>145</v>
      </c>
      <c r="G92" s="120"/>
      <c r="H92" s="46" t="s">
        <v>40</v>
      </c>
      <c r="I92" s="40"/>
      <c r="J92" s="52" t="s">
        <v>146</v>
      </c>
      <c r="K92" s="55" t="s">
        <v>42</v>
      </c>
      <c r="L92" s="56"/>
    </row>
    <row r="93" ht="28.5" outlineLevel="1">
      <c r="A93" s="89">
        <v>2</v>
      </c>
      <c r="B93" s="119" t="s">
        <v>142</v>
      </c>
      <c r="C93" s="121" t="s">
        <v>147</v>
      </c>
      <c r="D93" s="46" t="s">
        <v>148</v>
      </c>
      <c r="E93" s="87">
        <v>55000</v>
      </c>
      <c r="F93" s="48" t="s">
        <v>149</v>
      </c>
      <c r="G93" s="48"/>
      <c r="H93" s="46" t="s">
        <v>40</v>
      </c>
      <c r="I93" s="40" t="s">
        <v>41</v>
      </c>
      <c r="J93" s="46"/>
      <c r="K93" s="49" t="s">
        <v>42</v>
      </c>
      <c r="L93" s="50"/>
    </row>
    <row r="94" ht="14.25" customHeight="1" outlineLevel="1">
      <c r="A94" s="45">
        <v>3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4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5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6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7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8</v>
      </c>
      <c r="B99" s="46"/>
      <c r="C99" s="46"/>
      <c r="D99" s="46"/>
      <c r="E99" s="47"/>
      <c r="F99" s="48"/>
      <c r="G99" s="48"/>
      <c r="H99" s="46"/>
      <c r="I99" s="40"/>
      <c r="J99" s="46"/>
      <c r="K99" s="49"/>
      <c r="L99" s="50"/>
    </row>
    <row r="100" ht="14.25" customHeight="1" outlineLevel="1">
      <c r="A100" s="45">
        <v>9</v>
      </c>
      <c r="B100" s="46"/>
      <c r="C100" s="46"/>
      <c r="D100" s="46"/>
      <c r="E100" s="47"/>
      <c r="F100" s="48"/>
      <c r="G100" s="48"/>
      <c r="H100" s="46"/>
      <c r="I100" s="40"/>
      <c r="J100" s="46"/>
      <c r="K100" s="49"/>
      <c r="L100" s="50"/>
    </row>
    <row r="101" ht="14.25" customHeight="1" outlineLevel="1">
      <c r="A101" s="45">
        <v>10</v>
      </c>
      <c r="B101" s="57"/>
      <c r="C101" s="57"/>
      <c r="D101" s="57"/>
      <c r="E101" s="58"/>
      <c r="F101" s="59"/>
      <c r="G101" s="59"/>
      <c r="H101" s="57"/>
      <c r="I101" s="40"/>
      <c r="J101" s="57"/>
      <c r="K101" s="60"/>
      <c r="L101" s="61"/>
    </row>
    <row r="102" s="32" customFormat="1" ht="19.5" customHeight="1" outlineLevel="1">
      <c r="A102" s="33"/>
      <c r="B102" s="34" t="s">
        <v>26</v>
      </c>
      <c r="C102" s="35"/>
      <c r="D102" s="36"/>
      <c r="E102" s="37"/>
      <c r="F102" s="34"/>
      <c r="G102" s="34"/>
      <c r="H102" s="34"/>
      <c r="I102" s="34"/>
      <c r="J102" s="34"/>
      <c r="K102" s="34"/>
      <c r="L102" s="38"/>
    </row>
    <row r="103" ht="14.25" customHeight="1" outlineLevel="1">
      <c r="A103" s="62">
        <v>1</v>
      </c>
      <c r="B103" s="52"/>
      <c r="C103" s="52"/>
      <c r="D103" s="52"/>
      <c r="E103" s="53"/>
      <c r="F103" s="54"/>
      <c r="G103" s="54"/>
      <c r="H103" s="52"/>
      <c r="I103" s="40"/>
      <c r="J103" s="52"/>
      <c r="K103" s="55"/>
      <c r="L103" s="56"/>
    </row>
    <row r="104" ht="14.25" customHeight="1" outlineLevel="1">
      <c r="A104" s="39">
        <v>2</v>
      </c>
      <c r="B104" s="40"/>
      <c r="C104" s="40"/>
      <c r="D104" s="40"/>
      <c r="E104" s="41"/>
      <c r="F104" s="42"/>
      <c r="G104" s="42"/>
      <c r="H104" s="40"/>
      <c r="I104" s="40"/>
      <c r="J104" s="40"/>
      <c r="K104" s="43"/>
      <c r="L104" s="44"/>
    </row>
    <row r="105" ht="14.25" customHeight="1" outlineLevel="1">
      <c r="A105" s="39">
        <v>3</v>
      </c>
      <c r="B105" s="40"/>
      <c r="C105" s="40"/>
      <c r="D105" s="40"/>
      <c r="E105" s="41"/>
      <c r="F105" s="42"/>
      <c r="G105" s="42"/>
      <c r="H105" s="40"/>
      <c r="I105" s="40"/>
      <c r="J105" s="40"/>
      <c r="K105" s="43"/>
      <c r="L105" s="44"/>
    </row>
    <row r="106" ht="14.25" customHeight="1" outlineLevel="1">
      <c r="A106" s="45">
        <v>4</v>
      </c>
      <c r="B106" s="46"/>
      <c r="C106" s="46"/>
      <c r="D106" s="46"/>
      <c r="E106" s="47"/>
      <c r="F106" s="48"/>
      <c r="G106" s="48"/>
      <c r="H106" s="46"/>
      <c r="I106" s="40"/>
      <c r="J106" s="46"/>
      <c r="K106" s="49"/>
      <c r="L106" s="50"/>
    </row>
    <row r="107" ht="14.25" customHeight="1" outlineLevel="1">
      <c r="A107" s="63">
        <v>5</v>
      </c>
      <c r="B107" s="57"/>
      <c r="C107" s="57"/>
      <c r="D107" s="57"/>
      <c r="E107" s="58"/>
      <c r="F107" s="59"/>
      <c r="G107" s="59"/>
      <c r="H107" s="57"/>
      <c r="I107" s="57"/>
      <c r="J107" s="57"/>
      <c r="K107" s="60"/>
      <c r="L107" s="61"/>
    </row>
    <row r="108" ht="23.100000000000001" customHeight="1">
      <c r="A108" s="64" t="s">
        <v>27</v>
      </c>
      <c r="B108" s="65"/>
      <c r="C108" s="65"/>
      <c r="D108" s="65"/>
      <c r="E108" s="66">
        <f>SUM(E15:E107)</f>
        <v>5691683.8700000001</v>
      </c>
    </row>
    <row r="109" ht="23.100000000000001" customHeight="1">
      <c r="A109" s="64" t="s">
        <v>28</v>
      </c>
      <c r="B109" s="65"/>
      <c r="C109" s="65"/>
      <c r="D109" s="65"/>
      <c r="E109" s="66">
        <f>E4-E108</f>
        <v>5926801.79</v>
      </c>
      <c r="F109" s="67"/>
      <c r="G109" s="67"/>
    </row>
    <row r="110" ht="24.75" customHeight="1">
      <c r="E110" s="1"/>
    </row>
    <row r="111" ht="30" customHeight="1">
      <c r="A111" s="68" t="s">
        <v>29</v>
      </c>
      <c r="B111" s="69"/>
      <c r="C111" s="69"/>
      <c r="D111" s="70"/>
      <c r="E111" s="71">
        <f>SUM(E112:E115)</f>
        <v>3654.8000000000002</v>
      </c>
      <c r="F111" s="12"/>
      <c r="G111" s="12"/>
      <c r="H111" s="12"/>
      <c r="I111" s="12"/>
      <c r="J111" s="12"/>
    </row>
    <row r="112" ht="15" customHeight="1">
      <c r="A112" s="13" t="s">
        <v>30</v>
      </c>
      <c r="B112" s="14"/>
      <c r="C112" s="14"/>
      <c r="D112" s="15"/>
      <c r="E112" s="16">
        <v>3654.8000000000002</v>
      </c>
      <c r="F112" s="12"/>
      <c r="G112" s="12"/>
      <c r="H112" s="12"/>
      <c r="I112" s="12"/>
      <c r="J112" s="12"/>
    </row>
    <row r="113">
      <c r="A113" s="72"/>
      <c r="B113" s="73"/>
      <c r="C113" s="73"/>
      <c r="D113" s="74"/>
      <c r="E113" s="75"/>
      <c r="F113" s="12"/>
      <c r="G113" s="12"/>
      <c r="H113" s="12"/>
      <c r="I113" s="12"/>
      <c r="J113" s="12"/>
    </row>
    <row r="114">
      <c r="A114" s="21"/>
      <c r="B114" s="18"/>
      <c r="C114" s="18"/>
      <c r="D114" s="19"/>
      <c r="E114" s="20"/>
      <c r="F114" s="12"/>
      <c r="G114" s="12"/>
      <c r="H114" s="12"/>
      <c r="I114" s="12"/>
      <c r="J114" s="12"/>
    </row>
    <row r="115" ht="15">
      <c r="A115" s="76"/>
      <c r="B115" s="24"/>
      <c r="C115" s="24"/>
      <c r="D115" s="25"/>
      <c r="E115" s="26"/>
      <c r="F115" s="27"/>
      <c r="G115" s="27"/>
      <c r="H115" s="27"/>
      <c r="I115" s="27"/>
      <c r="J115" s="27"/>
    </row>
    <row r="116" ht="6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</row>
    <row r="117" ht="28.5" outlineLevel="1">
      <c r="A117" s="28" t="s">
        <v>9</v>
      </c>
      <c r="B117" s="28" t="s">
        <v>10</v>
      </c>
      <c r="C117" s="28" t="s">
        <v>11</v>
      </c>
      <c r="D117" s="28" t="s">
        <v>12</v>
      </c>
      <c r="E117" s="29" t="s">
        <v>13</v>
      </c>
      <c r="F117" s="28" t="s">
        <v>14</v>
      </c>
      <c r="G117" s="30" t="s">
        <v>15</v>
      </c>
      <c r="H117" s="28" t="s">
        <v>16</v>
      </c>
      <c r="I117" s="31" t="s">
        <v>17</v>
      </c>
      <c r="J117" s="28" t="s">
        <v>18</v>
      </c>
      <c r="K117" s="28" t="s">
        <v>19</v>
      </c>
      <c r="L117" s="28" t="s">
        <v>20</v>
      </c>
    </row>
    <row r="118" ht="15" outlineLevel="1">
      <c r="A118" s="77"/>
      <c r="B118" s="78" t="s">
        <v>31</v>
      </c>
      <c r="C118" s="79"/>
      <c r="D118" s="80"/>
      <c r="E118" s="81"/>
      <c r="F118" s="78"/>
      <c r="G118" s="78"/>
      <c r="H118" s="78"/>
      <c r="I118" s="78"/>
      <c r="J118" s="78"/>
      <c r="K118" s="78"/>
      <c r="L118" s="78"/>
    </row>
    <row r="119" outlineLevel="1">
      <c r="A119" s="39">
        <v>1</v>
      </c>
      <c r="B119" s="40"/>
      <c r="C119" s="40"/>
      <c r="D119" s="40"/>
      <c r="E119" s="41"/>
      <c r="F119" s="42"/>
      <c r="G119" s="42"/>
      <c r="H119" s="40"/>
      <c r="I119" s="40"/>
      <c r="J119" s="40"/>
      <c r="K119" s="43"/>
      <c r="L119" s="44"/>
    </row>
    <row r="120" outlineLevel="1">
      <c r="A120" s="45">
        <v>2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outlineLevel="1">
      <c r="A121" s="45">
        <v>3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4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ht="15.75" customHeight="1" outlineLevel="1">
      <c r="A123" s="45">
        <v>5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6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45">
        <v>7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8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39">
        <v>9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10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11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12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outlineLevel="1">
      <c r="A131" s="45">
        <v>13</v>
      </c>
      <c r="B131" s="46"/>
      <c r="C131" s="46"/>
      <c r="D131" s="46"/>
      <c r="E131" s="47"/>
      <c r="F131" s="48"/>
      <c r="G131" s="48"/>
      <c r="H131" s="46"/>
      <c r="I131" s="40"/>
      <c r="J131" s="46"/>
      <c r="K131" s="49"/>
      <c r="L131" s="50"/>
    </row>
    <row r="132" outlineLevel="1">
      <c r="A132" s="45">
        <v>14</v>
      </c>
      <c r="B132" s="46"/>
      <c r="C132" s="46"/>
      <c r="D132" s="46"/>
      <c r="E132" s="47"/>
      <c r="F132" s="48"/>
      <c r="G132" s="48"/>
      <c r="H132" s="46"/>
      <c r="I132" s="40"/>
      <c r="J132" s="46"/>
      <c r="K132" s="49"/>
      <c r="L132" s="50"/>
    </row>
    <row r="133" ht="15" outlineLevel="1">
      <c r="A133" s="45">
        <v>15</v>
      </c>
      <c r="B133" s="57"/>
      <c r="C133" s="57"/>
      <c r="D133" s="57"/>
      <c r="E133" s="58"/>
      <c r="F133" s="59"/>
      <c r="G133" s="59"/>
      <c r="H133" s="57"/>
      <c r="I133" s="40"/>
      <c r="J133" s="57"/>
      <c r="K133" s="60"/>
      <c r="L133" s="61"/>
    </row>
    <row r="134" ht="15" outlineLevel="1">
      <c r="A134" s="77"/>
      <c r="B134" s="78" t="s">
        <v>32</v>
      </c>
      <c r="C134" s="79"/>
      <c r="D134" s="80"/>
      <c r="E134" s="81"/>
      <c r="F134" s="78"/>
      <c r="G134" s="78"/>
      <c r="H134" s="78"/>
      <c r="I134" s="78"/>
      <c r="J134" s="78"/>
      <c r="K134" s="78"/>
      <c r="L134" s="78"/>
    </row>
    <row r="135" outlineLevel="1">
      <c r="A135" s="62">
        <v>1</v>
      </c>
      <c r="B135" s="52"/>
      <c r="C135" s="52"/>
      <c r="D135" s="52"/>
      <c r="E135" s="53"/>
      <c r="F135" s="54"/>
      <c r="G135" s="54"/>
      <c r="H135" s="52"/>
      <c r="I135" s="40"/>
      <c r="J135" s="52"/>
      <c r="K135" s="55"/>
      <c r="L135" s="56"/>
    </row>
    <row r="136" outlineLevel="1">
      <c r="A136" s="45">
        <v>2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3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4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5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6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7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8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9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10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11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12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outlineLevel="1">
      <c r="A147" s="45">
        <v>13</v>
      </c>
      <c r="B147" s="46"/>
      <c r="C147" s="46"/>
      <c r="D147" s="46"/>
      <c r="E147" s="47"/>
      <c r="F147" s="48"/>
      <c r="G147" s="48"/>
      <c r="H147" s="46"/>
      <c r="I147" s="40"/>
      <c r="J147" s="46"/>
      <c r="K147" s="49"/>
      <c r="L147" s="50"/>
    </row>
    <row r="148" outlineLevel="1">
      <c r="A148" s="45">
        <v>14</v>
      </c>
      <c r="B148" s="46"/>
      <c r="C148" s="46"/>
      <c r="D148" s="46"/>
      <c r="E148" s="47"/>
      <c r="F148" s="48"/>
      <c r="G148" s="48"/>
      <c r="H148" s="46"/>
      <c r="I148" s="40"/>
      <c r="J148" s="46"/>
      <c r="K148" s="49"/>
      <c r="L148" s="50"/>
    </row>
    <row r="149" ht="15" outlineLevel="1">
      <c r="A149" s="45">
        <v>15</v>
      </c>
      <c r="B149" s="57"/>
      <c r="C149" s="57"/>
      <c r="D149" s="57"/>
      <c r="E149" s="58"/>
      <c r="F149" s="59"/>
      <c r="G149" s="59"/>
      <c r="H149" s="57"/>
      <c r="I149" s="40"/>
      <c r="J149" s="57"/>
      <c r="K149" s="60"/>
      <c r="L149" s="61"/>
    </row>
    <row r="150" ht="15" outlineLevel="1">
      <c r="A150" s="77"/>
      <c r="B150" s="78" t="s">
        <v>25</v>
      </c>
      <c r="C150" s="79"/>
      <c r="D150" s="80"/>
      <c r="E150" s="81"/>
      <c r="F150" s="78"/>
      <c r="G150" s="78"/>
      <c r="H150" s="78"/>
      <c r="I150" s="78"/>
      <c r="J150" s="78"/>
      <c r="K150" s="78"/>
      <c r="L150" s="78"/>
    </row>
    <row r="151" outlineLevel="1">
      <c r="A151" s="45">
        <v>1</v>
      </c>
      <c r="B151" s="52"/>
      <c r="C151" s="52"/>
      <c r="D151" s="52"/>
      <c r="E151" s="53"/>
      <c r="F151" s="54"/>
      <c r="G151" s="54"/>
      <c r="H151" s="52"/>
      <c r="I151" s="40"/>
      <c r="J151" s="52"/>
      <c r="K151" s="55"/>
      <c r="L151" s="56"/>
    </row>
    <row r="152" outlineLevel="1">
      <c r="A152" s="45">
        <v>2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3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4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5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6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7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outlineLevel="1">
      <c r="A158" s="45">
        <v>8</v>
      </c>
      <c r="B158" s="46"/>
      <c r="C158" s="46"/>
      <c r="D158" s="46"/>
      <c r="E158" s="47"/>
      <c r="F158" s="48"/>
      <c r="G158" s="48"/>
      <c r="H158" s="46"/>
      <c r="I158" s="40"/>
      <c r="J158" s="46"/>
      <c r="K158" s="49"/>
      <c r="L158" s="50"/>
    </row>
    <row r="159" outlineLevel="1">
      <c r="A159" s="45">
        <v>9</v>
      </c>
      <c r="B159" s="46"/>
      <c r="C159" s="46"/>
      <c r="D159" s="46"/>
      <c r="E159" s="47"/>
      <c r="F159" s="48"/>
      <c r="G159" s="48"/>
      <c r="H159" s="46"/>
      <c r="I159" s="40"/>
      <c r="J159" s="46"/>
      <c r="K159" s="49"/>
      <c r="L159" s="50"/>
    </row>
    <row r="160" ht="15" outlineLevel="1">
      <c r="A160" s="45">
        <v>10</v>
      </c>
      <c r="B160" s="57"/>
      <c r="C160" s="57"/>
      <c r="D160" s="57"/>
      <c r="E160" s="58"/>
      <c r="F160" s="59"/>
      <c r="G160" s="59"/>
      <c r="H160" s="57"/>
      <c r="I160" s="40"/>
      <c r="J160" s="57"/>
      <c r="K160" s="60"/>
      <c r="L160" s="61"/>
    </row>
    <row r="161" ht="15" outlineLevel="1">
      <c r="A161" s="77"/>
      <c r="B161" s="78" t="s">
        <v>26</v>
      </c>
      <c r="C161" s="79"/>
      <c r="D161" s="80"/>
      <c r="E161" s="81"/>
      <c r="F161" s="78"/>
      <c r="G161" s="78"/>
      <c r="H161" s="78"/>
      <c r="I161" s="78"/>
      <c r="J161" s="78"/>
      <c r="K161" s="78"/>
      <c r="L161" s="78"/>
    </row>
    <row r="162" outlineLevel="1">
      <c r="A162" s="62">
        <v>1</v>
      </c>
      <c r="B162" s="52"/>
      <c r="C162" s="52"/>
      <c r="D162" s="52"/>
      <c r="E162" s="53"/>
      <c r="F162" s="54"/>
      <c r="G162" s="54"/>
      <c r="H162" s="52"/>
      <c r="I162" s="40"/>
      <c r="J162" s="52"/>
      <c r="K162" s="55"/>
      <c r="L162" s="56"/>
    </row>
    <row r="163" outlineLevel="1">
      <c r="A163" s="39">
        <v>2</v>
      </c>
      <c r="B163" s="40"/>
      <c r="C163" s="40"/>
      <c r="D163" s="40"/>
      <c r="E163" s="41"/>
      <c r="F163" s="42"/>
      <c r="G163" s="42"/>
      <c r="H163" s="40"/>
      <c r="I163" s="40"/>
      <c r="J163" s="40"/>
      <c r="K163" s="43"/>
      <c r="L163" s="44"/>
    </row>
    <row r="164" outlineLevel="1">
      <c r="A164" s="39">
        <v>3</v>
      </c>
      <c r="B164" s="40"/>
      <c r="C164" s="40"/>
      <c r="D164" s="40"/>
      <c r="E164" s="41"/>
      <c r="F164" s="42"/>
      <c r="G164" s="42"/>
      <c r="H164" s="40"/>
      <c r="I164" s="40"/>
      <c r="J164" s="40"/>
      <c r="K164" s="43"/>
      <c r="L164" s="44"/>
    </row>
    <row r="165" outlineLevel="1">
      <c r="A165" s="45">
        <v>4</v>
      </c>
      <c r="B165" s="46"/>
      <c r="C165" s="46"/>
      <c r="D165" s="46"/>
      <c r="E165" s="47"/>
      <c r="F165" s="48"/>
      <c r="G165" s="48"/>
      <c r="H165" s="46"/>
      <c r="I165" s="40"/>
      <c r="J165" s="46"/>
      <c r="K165" s="49"/>
      <c r="L165" s="50"/>
    </row>
    <row r="166" ht="15" outlineLevel="1">
      <c r="A166" s="63">
        <v>5</v>
      </c>
      <c r="B166" s="57"/>
      <c r="C166" s="57"/>
      <c r="D166" s="57"/>
      <c r="E166" s="58"/>
      <c r="F166" s="59"/>
      <c r="G166" s="59"/>
      <c r="H166" s="57"/>
      <c r="I166" s="57"/>
      <c r="J166" s="57"/>
      <c r="K166" s="60"/>
      <c r="L166" s="61"/>
    </row>
    <row r="167" ht="23.100000000000001" customHeight="1">
      <c r="A167" s="82" t="s">
        <v>33</v>
      </c>
      <c r="B167" s="83"/>
      <c r="C167" s="83"/>
      <c r="D167" s="84"/>
      <c r="E167" s="85">
        <f>SUM(E119:E166)</f>
        <v>0</v>
      </c>
    </row>
    <row r="168" ht="23.100000000000001" customHeight="1">
      <c r="A168" s="82" t="s">
        <v>28</v>
      </c>
      <c r="B168" s="83"/>
      <c r="C168" s="83"/>
      <c r="D168" s="84"/>
      <c r="E168" s="85">
        <f>E111-E167</f>
        <v>3654.8000000000002</v>
      </c>
      <c r="F168" s="67"/>
      <c r="G168" s="67"/>
    </row>
    <row r="169" ht="14.25">
      <c r="E169" s="1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8:D108"/>
    <mergeCell ref="A109:D109"/>
    <mergeCell ref="A111:D111"/>
    <mergeCell ref="A112:D112"/>
    <mergeCell ref="A113:D113"/>
    <mergeCell ref="A114:D114"/>
    <mergeCell ref="A115:D115"/>
    <mergeCell ref="A167:D167"/>
    <mergeCell ref="A168:D168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4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F004D-00CE-41CF-92DF-00ED003F00C0}" type="list" allowBlank="1" errorStyle="stop" imeMode="noControl" operator="between" showDropDown="0" showErrorMessage="1" showInputMessage="1">
          <x14:formula1>
            <xm:f>ДаНет</xm:f>
          </x14:formula1>
          <xm:sqref>I37:I56 I58:I59 I70:I74 I76:I77 I81:I90 I92:I101 I103:I107 I119:I133 I135:I149 I151:I160 I162:I166 I16:I35 I78 I79 I80</xm:sqref>
        </x14:dataValidation>
        <x14:dataValidation xr:uid="{00F600A5-00FE-462B-A3DC-002A00F20065}" type="list" allowBlank="1" errorStyle="stop" imeMode="noControl" operator="between" showDropDown="0" showErrorMessage="1" showInputMessage="1">
          <x14:formula1>
            <xm:f>ДаНет</xm:f>
          </x14:formula1>
          <xm:sqref>I60:I68 I69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topLeftCell="A45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33.4218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'02'!C2+1</f>
        <v>46084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9256753.5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9081635.9100000001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19755.66</v>
      </c>
      <c r="F6" s="12"/>
      <c r="G6" s="12"/>
      <c r="H6" s="12"/>
      <c r="I6" s="12"/>
      <c r="J6" s="12"/>
    </row>
    <row r="7">
      <c r="A7" s="21"/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3366.8400000000001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120078.47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11193.59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4901.4300000000003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122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89">
        <v>2</v>
      </c>
      <c r="B17" s="90" t="s">
        <v>44</v>
      </c>
      <c r="C17" s="46" t="s">
        <v>45</v>
      </c>
      <c r="D17" s="46" t="s">
        <v>46</v>
      </c>
      <c r="E17" s="123">
        <v>26000000</v>
      </c>
      <c r="F17" s="48" t="s">
        <v>48</v>
      </c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124" t="s">
        <v>44</v>
      </c>
      <c r="C18" s="125" t="s">
        <v>150</v>
      </c>
      <c r="D18" s="125" t="s">
        <v>151</v>
      </c>
      <c r="E18" s="126">
        <v>4652500.6399999997</v>
      </c>
      <c r="F18" s="127" t="s">
        <v>48</v>
      </c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 t="s">
        <v>126</v>
      </c>
      <c r="C74" s="52" t="s">
        <v>152</v>
      </c>
      <c r="D74" s="52"/>
      <c r="E74" s="128">
        <v>28000</v>
      </c>
      <c r="F74" s="54" t="s">
        <v>153</v>
      </c>
      <c r="G74" s="54" t="s">
        <v>154</v>
      </c>
      <c r="H74" s="52" t="s">
        <v>40</v>
      </c>
      <c r="I74" s="40"/>
      <c r="J74" s="52"/>
      <c r="K74" s="55" t="s">
        <v>42</v>
      </c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 t="s">
        <v>155</v>
      </c>
      <c r="C90" s="52" t="s">
        <v>156</v>
      </c>
      <c r="D90" s="52" t="s">
        <v>157</v>
      </c>
      <c r="E90" s="128">
        <v>11779.32</v>
      </c>
      <c r="F90" s="54" t="s">
        <v>158</v>
      </c>
      <c r="G90" s="54" t="s">
        <v>39</v>
      </c>
      <c r="H90" s="52" t="s">
        <v>40</v>
      </c>
      <c r="I90" s="40"/>
      <c r="J90" s="52"/>
      <c r="K90" s="55" t="s">
        <v>42</v>
      </c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30692279.960000001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-21435526.460000001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3654.8000000000002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>
        <v>3654.8000000000002</v>
      </c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5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3654.8000000000002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1">
        <x14:dataValidation xr:uid="{001A0074-001C-46FA-94BD-00F4004A00C5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A27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36.7109375"/>
    <col customWidth="1" min="5" max="5" style="1" width="25.8515625"/>
    <col customWidth="1" min="6" max="6" style="1" width="38.42187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9.2812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'03'!C2+1</f>
        <v>46085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5862223.4099999992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5656225.8200000003</v>
      </c>
      <c r="F5" s="129">
        <f>E37+E38+E39+E40+E41+E42+E43+E44+E45++E46+E47+E48+E58+E59+E61+E62+E63+E67+E69+E70+E74+E76+E77+E78+E79+E80+E81+E82+E83+E89+E90+E91+E92+E93+E94+E95+E105</f>
        <v>3121479.8500000001</v>
      </c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19755.66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3366.8400000000001</v>
      </c>
      <c r="F9" s="12"/>
      <c r="G9" s="12"/>
      <c r="H9" s="12"/>
      <c r="I9" s="12"/>
      <c r="J9" s="12"/>
    </row>
    <row r="10" ht="15" customHeight="1">
      <c r="A10" s="21" t="s">
        <v>6</v>
      </c>
      <c r="B10" s="18"/>
      <c r="C10" s="18"/>
      <c r="D10" s="19"/>
      <c r="E10" s="22">
        <v>120078.47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42073.589999999997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4901.4300000000003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122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89">
        <v>2</v>
      </c>
      <c r="B17" s="130" t="s">
        <v>44</v>
      </c>
      <c r="C17" s="46" t="s">
        <v>45</v>
      </c>
      <c r="D17" s="46" t="s">
        <v>46</v>
      </c>
      <c r="E17" s="123">
        <v>26000000</v>
      </c>
      <c r="F17" s="48" t="s">
        <v>48</v>
      </c>
      <c r="G17" s="48"/>
      <c r="H17" s="46"/>
      <c r="I17" s="40" t="s">
        <v>41</v>
      </c>
      <c r="J17" s="46"/>
      <c r="K17" s="49"/>
      <c r="L17" s="50"/>
    </row>
    <row r="18" ht="14.25" customHeight="1" outlineLevel="1">
      <c r="A18" s="45">
        <v>3</v>
      </c>
      <c r="B18" s="124" t="s">
        <v>44</v>
      </c>
      <c r="C18" s="124" t="s">
        <v>150</v>
      </c>
      <c r="D18" s="124" t="s">
        <v>151</v>
      </c>
      <c r="E18" s="131">
        <v>4652500.6399999997</v>
      </c>
      <c r="F18" s="132" t="s">
        <v>48</v>
      </c>
      <c r="G18" s="48"/>
      <c r="H18" s="46"/>
      <c r="I18" s="40" t="s">
        <v>41</v>
      </c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 t="s">
        <v>54</v>
      </c>
      <c r="C37" s="40" t="s">
        <v>159</v>
      </c>
      <c r="D37" s="40" t="s">
        <v>160</v>
      </c>
      <c r="E37" s="94">
        <f>80000+80000</f>
        <v>160000</v>
      </c>
      <c r="F37" s="42" t="s">
        <v>57</v>
      </c>
      <c r="G37" s="42" t="s">
        <v>39</v>
      </c>
      <c r="H37" s="46" t="s">
        <v>40</v>
      </c>
      <c r="I37" s="40" t="s">
        <v>60</v>
      </c>
      <c r="J37" s="40" t="s">
        <v>61</v>
      </c>
      <c r="K37" s="133" t="s">
        <v>42</v>
      </c>
      <c r="L37" s="44"/>
    </row>
    <row r="38" ht="14.25" customHeight="1" outlineLevel="1">
      <c r="A38" s="45">
        <v>2</v>
      </c>
      <c r="B38" s="46" t="s">
        <v>54</v>
      </c>
      <c r="C38" s="46" t="s">
        <v>161</v>
      </c>
      <c r="D38" s="46" t="s">
        <v>162</v>
      </c>
      <c r="E38" s="87">
        <v>58500</v>
      </c>
      <c r="F38" s="48" t="s">
        <v>57</v>
      </c>
      <c r="G38" s="48" t="s">
        <v>39</v>
      </c>
      <c r="H38" s="46" t="s">
        <v>40</v>
      </c>
      <c r="I38" s="40" t="s">
        <v>60</v>
      </c>
      <c r="J38" s="46" t="s">
        <v>65</v>
      </c>
      <c r="K38" s="134" t="s">
        <v>42</v>
      </c>
      <c r="L38" s="50"/>
    </row>
    <row r="39" ht="14.25" customHeight="1" outlineLevel="1">
      <c r="A39" s="45">
        <v>3</v>
      </c>
      <c r="B39" s="46" t="s">
        <v>54</v>
      </c>
      <c r="C39" s="46" t="s">
        <v>163</v>
      </c>
      <c r="D39" s="46" t="s">
        <v>164</v>
      </c>
      <c r="E39" s="87">
        <v>105000</v>
      </c>
      <c r="F39" s="48" t="s">
        <v>57</v>
      </c>
      <c r="G39" s="48" t="s">
        <v>39</v>
      </c>
      <c r="H39" s="46" t="s">
        <v>40</v>
      </c>
      <c r="I39" s="40" t="s">
        <v>41</v>
      </c>
      <c r="J39" s="46"/>
      <c r="K39" s="134" t="s">
        <v>42</v>
      </c>
      <c r="L39" s="50"/>
    </row>
    <row r="40" ht="14.25" customHeight="1" outlineLevel="1">
      <c r="A40" s="45">
        <v>4</v>
      </c>
      <c r="B40" s="46" t="s">
        <v>54</v>
      </c>
      <c r="C40" s="46" t="s">
        <v>165</v>
      </c>
      <c r="D40" s="46" t="s">
        <v>166</v>
      </c>
      <c r="E40" s="87">
        <v>58000</v>
      </c>
      <c r="F40" s="48" t="s">
        <v>57</v>
      </c>
      <c r="G40" s="48" t="s">
        <v>39</v>
      </c>
      <c r="H40" s="46" t="s">
        <v>40</v>
      </c>
      <c r="I40" s="40" t="s">
        <v>60</v>
      </c>
      <c r="J40" s="46" t="s">
        <v>61</v>
      </c>
      <c r="K40" s="134" t="s">
        <v>42</v>
      </c>
      <c r="L40" s="50"/>
    </row>
    <row r="41" ht="14.25" customHeight="1" outlineLevel="1">
      <c r="A41" s="45">
        <v>5</v>
      </c>
      <c r="B41" s="46" t="s">
        <v>54</v>
      </c>
      <c r="C41" s="46" t="s">
        <v>167</v>
      </c>
      <c r="D41" s="46" t="s">
        <v>168</v>
      </c>
      <c r="E41" s="87">
        <f>42000+36000+36000</f>
        <v>114000</v>
      </c>
      <c r="F41" s="48" t="s">
        <v>57</v>
      </c>
      <c r="G41" s="48" t="s">
        <v>39</v>
      </c>
      <c r="H41" s="46" t="s">
        <v>40</v>
      </c>
      <c r="I41" s="40" t="s">
        <v>41</v>
      </c>
      <c r="J41" s="46"/>
      <c r="K41" s="134" t="s">
        <v>42</v>
      </c>
      <c r="L41" s="50"/>
    </row>
    <row r="42" ht="14.25" customHeight="1" outlineLevel="1">
      <c r="A42" s="45">
        <v>6</v>
      </c>
      <c r="B42" s="46" t="s">
        <v>54</v>
      </c>
      <c r="C42" s="46" t="s">
        <v>70</v>
      </c>
      <c r="D42" s="46" t="s">
        <v>169</v>
      </c>
      <c r="E42" s="87">
        <v>90000</v>
      </c>
      <c r="F42" s="48" t="s">
        <v>57</v>
      </c>
      <c r="G42" s="48" t="s">
        <v>39</v>
      </c>
      <c r="H42" s="46" t="s">
        <v>40</v>
      </c>
      <c r="I42" s="40" t="s">
        <v>41</v>
      </c>
      <c r="J42" s="46"/>
      <c r="K42" s="134" t="s">
        <v>42</v>
      </c>
      <c r="L42" s="50"/>
    </row>
    <row r="43" ht="14.25" customHeight="1" outlineLevel="1">
      <c r="A43" s="45">
        <v>7</v>
      </c>
      <c r="B43" s="46" t="s">
        <v>54</v>
      </c>
      <c r="C43" s="46" t="s">
        <v>170</v>
      </c>
      <c r="D43" s="46" t="s">
        <v>171</v>
      </c>
      <c r="E43" s="87">
        <v>55000</v>
      </c>
      <c r="F43" s="48" t="s">
        <v>57</v>
      </c>
      <c r="G43" s="48" t="s">
        <v>39</v>
      </c>
      <c r="H43" s="46" t="s">
        <v>40</v>
      </c>
      <c r="I43" s="40" t="s">
        <v>41</v>
      </c>
      <c r="J43" s="46"/>
      <c r="K43" s="134" t="s">
        <v>42</v>
      </c>
      <c r="L43" s="50"/>
    </row>
    <row r="44" ht="14.25" customHeight="1" outlineLevel="1">
      <c r="A44" s="45">
        <v>8</v>
      </c>
      <c r="B44" s="46" t="s">
        <v>54</v>
      </c>
      <c r="C44" s="46" t="s">
        <v>172</v>
      </c>
      <c r="D44" s="46" t="s">
        <v>173</v>
      </c>
      <c r="E44" s="87">
        <v>95000</v>
      </c>
      <c r="F44" s="48" t="s">
        <v>57</v>
      </c>
      <c r="G44" s="48" t="s">
        <v>39</v>
      </c>
      <c r="H44" s="46" t="s">
        <v>40</v>
      </c>
      <c r="I44" s="40" t="s">
        <v>41</v>
      </c>
      <c r="J44" s="46"/>
      <c r="K44" s="134" t="s">
        <v>42</v>
      </c>
      <c r="L44" s="50"/>
    </row>
    <row r="45" ht="14.25" customHeight="1" outlineLevel="1">
      <c r="A45" s="39">
        <v>9</v>
      </c>
      <c r="B45" s="46" t="s">
        <v>54</v>
      </c>
      <c r="C45" s="46" t="s">
        <v>58</v>
      </c>
      <c r="D45" s="46" t="s">
        <v>174</v>
      </c>
      <c r="E45" s="87">
        <f>95000+90000</f>
        <v>185000</v>
      </c>
      <c r="F45" s="48" t="s">
        <v>57</v>
      </c>
      <c r="G45" s="48" t="s">
        <v>39</v>
      </c>
      <c r="H45" s="46" t="s">
        <v>40</v>
      </c>
      <c r="I45" s="40" t="s">
        <v>60</v>
      </c>
      <c r="J45" s="46" t="s">
        <v>61</v>
      </c>
      <c r="K45" s="134" t="s">
        <v>42</v>
      </c>
      <c r="L45" s="50"/>
    </row>
    <row r="46" ht="14.25" customHeight="1" outlineLevel="1">
      <c r="A46" s="45">
        <v>10</v>
      </c>
      <c r="B46" s="46" t="s">
        <v>54</v>
      </c>
      <c r="C46" s="46" t="s">
        <v>62</v>
      </c>
      <c r="D46" s="46" t="s">
        <v>175</v>
      </c>
      <c r="E46" s="87">
        <f>70000+58000</f>
        <v>128000</v>
      </c>
      <c r="F46" s="48" t="s">
        <v>57</v>
      </c>
      <c r="G46" s="48" t="s">
        <v>39</v>
      </c>
      <c r="H46" s="46" t="s">
        <v>40</v>
      </c>
      <c r="I46" s="40" t="s">
        <v>41</v>
      </c>
      <c r="J46" s="46"/>
      <c r="K46" s="134" t="s">
        <v>42</v>
      </c>
      <c r="L46" s="50"/>
    </row>
    <row r="47" ht="14.25" customHeight="1" outlineLevel="1">
      <c r="A47" s="45">
        <v>11</v>
      </c>
      <c r="B47" s="46" t="s">
        <v>54</v>
      </c>
      <c r="C47" s="46" t="s">
        <v>176</v>
      </c>
      <c r="D47" s="46" t="s">
        <v>177</v>
      </c>
      <c r="E47" s="87">
        <v>54999.900000000001</v>
      </c>
      <c r="F47" s="48" t="s">
        <v>57</v>
      </c>
      <c r="G47" s="48" t="s">
        <v>39</v>
      </c>
      <c r="H47" s="46" t="s">
        <v>40</v>
      </c>
      <c r="I47" s="40" t="s">
        <v>41</v>
      </c>
      <c r="J47" s="46"/>
      <c r="K47" s="134" t="s">
        <v>42</v>
      </c>
      <c r="L47" s="50"/>
    </row>
    <row r="48" ht="14.25" customHeight="1" outlineLevel="1">
      <c r="A48" s="39">
        <v>12</v>
      </c>
      <c r="B48" s="46" t="s">
        <v>54</v>
      </c>
      <c r="C48" s="46" t="s">
        <v>178</v>
      </c>
      <c r="D48" s="46" t="s">
        <v>179</v>
      </c>
      <c r="E48" s="87">
        <v>47000</v>
      </c>
      <c r="F48" s="48" t="s">
        <v>57</v>
      </c>
      <c r="G48" s="48" t="s">
        <v>39</v>
      </c>
      <c r="H48" s="46" t="s">
        <v>40</v>
      </c>
      <c r="I48" s="40" t="s">
        <v>60</v>
      </c>
      <c r="J48" s="46" t="s">
        <v>61</v>
      </c>
      <c r="K48" s="55" t="s">
        <v>42</v>
      </c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 t="s">
        <v>35</v>
      </c>
      <c r="C58" s="52" t="s">
        <v>180</v>
      </c>
      <c r="D58" s="52" t="s">
        <v>181</v>
      </c>
      <c r="E58" s="128">
        <v>14036.1</v>
      </c>
      <c r="F58" s="48" t="s">
        <v>182</v>
      </c>
      <c r="G58" s="54" t="s">
        <v>39</v>
      </c>
      <c r="H58" s="52" t="s">
        <v>40</v>
      </c>
      <c r="I58" s="40" t="s">
        <v>41</v>
      </c>
      <c r="J58" s="52"/>
      <c r="K58" s="55" t="s">
        <v>42</v>
      </c>
      <c r="L58" s="56"/>
    </row>
    <row r="59" ht="14.25" customHeight="1" outlineLevel="1">
      <c r="A59" s="45">
        <v>2</v>
      </c>
      <c r="B59" s="88" t="s">
        <v>35</v>
      </c>
      <c r="C59" s="88" t="s">
        <v>183</v>
      </c>
      <c r="D59" s="88" t="s">
        <v>184</v>
      </c>
      <c r="E59" s="98">
        <v>318383.39000000001</v>
      </c>
      <c r="F59" s="48" t="s">
        <v>185</v>
      </c>
      <c r="G59" s="99" t="s">
        <v>39</v>
      </c>
      <c r="H59" s="46" t="s">
        <v>40</v>
      </c>
      <c r="I59" s="40" t="s">
        <v>41</v>
      </c>
      <c r="J59" s="46"/>
      <c r="K59" s="49" t="s">
        <v>42</v>
      </c>
      <c r="L59" s="50"/>
    </row>
    <row r="60" ht="28.5" outlineLevel="1">
      <c r="A60" s="89">
        <v>3</v>
      </c>
      <c r="B60" s="106" t="s">
        <v>115</v>
      </c>
      <c r="C60" s="106" t="s">
        <v>116</v>
      </c>
      <c r="D60" s="106" t="s">
        <v>186</v>
      </c>
      <c r="E60" s="107">
        <v>320000</v>
      </c>
      <c r="F60" s="97" t="s">
        <v>187</v>
      </c>
      <c r="G60" s="106" t="s">
        <v>39</v>
      </c>
      <c r="H60" s="95" t="s">
        <v>40</v>
      </c>
      <c r="I60" s="40" t="s">
        <v>41</v>
      </c>
      <c r="J60" s="46"/>
      <c r="K60" s="49"/>
      <c r="L60" s="50"/>
    </row>
    <row r="61" ht="14.4" outlineLevel="1">
      <c r="A61" s="45">
        <v>4</v>
      </c>
      <c r="B61" s="40" t="s">
        <v>72</v>
      </c>
      <c r="C61" s="40" t="s">
        <v>188</v>
      </c>
      <c r="D61" s="40" t="s">
        <v>186</v>
      </c>
      <c r="E61" s="135">
        <v>38800</v>
      </c>
      <c r="F61" s="48" t="s">
        <v>189</v>
      </c>
      <c r="G61" s="42" t="s">
        <v>39</v>
      </c>
      <c r="H61" s="46" t="s">
        <v>40</v>
      </c>
      <c r="I61" s="40" t="s">
        <v>41</v>
      </c>
      <c r="J61" s="136" t="s">
        <v>190</v>
      </c>
      <c r="K61" s="49" t="s">
        <v>42</v>
      </c>
      <c r="L61" s="50"/>
    </row>
    <row r="62" ht="14.25" customHeight="1" outlineLevel="1">
      <c r="A62" s="45">
        <v>5</v>
      </c>
      <c r="B62" s="40" t="s">
        <v>72</v>
      </c>
      <c r="C62" s="40" t="s">
        <v>188</v>
      </c>
      <c r="D62" s="46" t="s">
        <v>191</v>
      </c>
      <c r="E62" s="137">
        <v>126392</v>
      </c>
      <c r="F62" s="48" t="s">
        <v>192</v>
      </c>
      <c r="G62" s="48" t="s">
        <v>39</v>
      </c>
      <c r="H62" s="46" t="s">
        <v>40</v>
      </c>
      <c r="I62" s="40" t="s">
        <v>41</v>
      </c>
      <c r="J62" s="136" t="s">
        <v>190</v>
      </c>
      <c r="K62" s="49" t="s">
        <v>42</v>
      </c>
      <c r="L62" s="50"/>
    </row>
    <row r="63" ht="14.4" outlineLevel="1">
      <c r="A63" s="45">
        <v>6</v>
      </c>
      <c r="B63" s="46" t="s">
        <v>72</v>
      </c>
      <c r="C63" s="46" t="s">
        <v>193</v>
      </c>
      <c r="D63" s="46" t="s">
        <v>194</v>
      </c>
      <c r="E63" s="138">
        <v>25200</v>
      </c>
      <c r="F63" s="48" t="s">
        <v>195</v>
      </c>
      <c r="G63" s="48" t="s">
        <v>39</v>
      </c>
      <c r="H63" s="46" t="s">
        <v>40</v>
      </c>
      <c r="I63" s="40" t="s">
        <v>41</v>
      </c>
      <c r="J63" s="46"/>
      <c r="K63" s="49" t="s">
        <v>42</v>
      </c>
      <c r="L63" s="50"/>
    </row>
    <row r="64" ht="14.25" customHeight="1" outlineLevel="1">
      <c r="A64" s="45">
        <v>7</v>
      </c>
      <c r="B64" s="95" t="s">
        <v>72</v>
      </c>
      <c r="C64" s="95" t="s">
        <v>196</v>
      </c>
      <c r="D64" s="95" t="s">
        <v>197</v>
      </c>
      <c r="E64" s="139">
        <v>4200</v>
      </c>
      <c r="F64" s="97" t="s">
        <v>198</v>
      </c>
      <c r="G64" s="97" t="s">
        <v>39</v>
      </c>
      <c r="H64" s="95" t="s">
        <v>40</v>
      </c>
      <c r="I64" s="40" t="s">
        <v>60</v>
      </c>
      <c r="J64" s="46"/>
      <c r="K64" s="49"/>
      <c r="L64" s="50"/>
    </row>
    <row r="65" ht="14.4" outlineLevel="1">
      <c r="A65" s="45">
        <v>8</v>
      </c>
      <c r="B65" s="95" t="s">
        <v>72</v>
      </c>
      <c r="C65" s="95" t="s">
        <v>199</v>
      </c>
      <c r="D65" s="95" t="s">
        <v>200</v>
      </c>
      <c r="E65" s="139">
        <v>8653.8400000000001</v>
      </c>
      <c r="F65" s="97" t="s">
        <v>201</v>
      </c>
      <c r="G65" s="97" t="s">
        <v>39</v>
      </c>
      <c r="H65" s="95" t="s">
        <v>40</v>
      </c>
      <c r="I65" s="40" t="s">
        <v>41</v>
      </c>
      <c r="J65" s="46"/>
      <c r="K65" s="49"/>
      <c r="L65" s="50"/>
    </row>
    <row r="66" ht="14.25" customHeight="1" outlineLevel="1">
      <c r="A66" s="45">
        <v>9</v>
      </c>
      <c r="B66" s="95" t="s">
        <v>72</v>
      </c>
      <c r="C66" s="95" t="s">
        <v>202</v>
      </c>
      <c r="D66" s="95" t="s">
        <v>203</v>
      </c>
      <c r="E66" s="139">
        <v>7000</v>
      </c>
      <c r="F66" s="97" t="s">
        <v>204</v>
      </c>
      <c r="G66" s="97" t="s">
        <v>39</v>
      </c>
      <c r="H66" s="95" t="s">
        <v>40</v>
      </c>
      <c r="I66" s="40" t="s">
        <v>41</v>
      </c>
      <c r="J66" s="46"/>
      <c r="K66" s="49"/>
      <c r="L66" s="50"/>
    </row>
    <row r="67" ht="14.4" outlineLevel="1">
      <c r="A67" s="45">
        <v>10</v>
      </c>
      <c r="B67" s="46" t="s">
        <v>72</v>
      </c>
      <c r="C67" s="46" t="s">
        <v>205</v>
      </c>
      <c r="D67" s="46" t="s">
        <v>206</v>
      </c>
      <c r="E67" s="138">
        <v>70550</v>
      </c>
      <c r="F67" s="48" t="s">
        <v>207</v>
      </c>
      <c r="G67" s="48" t="s">
        <v>154</v>
      </c>
      <c r="H67" s="93" t="s">
        <v>208</v>
      </c>
      <c r="I67" s="40" t="s">
        <v>41</v>
      </c>
      <c r="J67" s="46"/>
      <c r="K67" s="49" t="s">
        <v>42</v>
      </c>
      <c r="L67" s="50"/>
    </row>
    <row r="68" ht="14.4" outlineLevel="1">
      <c r="A68" s="45">
        <v>11</v>
      </c>
      <c r="B68" s="95" t="s">
        <v>72</v>
      </c>
      <c r="C68" s="95" t="s">
        <v>209</v>
      </c>
      <c r="D68" s="95" t="s">
        <v>210</v>
      </c>
      <c r="E68" s="139">
        <v>28690</v>
      </c>
      <c r="F68" s="97" t="s">
        <v>211</v>
      </c>
      <c r="G68" s="97" t="s">
        <v>154</v>
      </c>
      <c r="H68" s="140" t="s">
        <v>208</v>
      </c>
      <c r="I68" s="40" t="s">
        <v>41</v>
      </c>
      <c r="J68" s="46"/>
      <c r="K68" s="49"/>
      <c r="L68" s="50"/>
    </row>
    <row r="69" ht="14.4" outlineLevel="1">
      <c r="A69" s="45">
        <v>12</v>
      </c>
      <c r="B69" s="88" t="s">
        <v>35</v>
      </c>
      <c r="C69" s="88" t="s">
        <v>212</v>
      </c>
      <c r="D69" s="88" t="s">
        <v>213</v>
      </c>
      <c r="E69" s="141">
        <v>2735</v>
      </c>
      <c r="F69" s="48" t="s">
        <v>214</v>
      </c>
      <c r="G69" s="99" t="s">
        <v>39</v>
      </c>
      <c r="H69" s="46" t="s">
        <v>40</v>
      </c>
      <c r="I69" s="40" t="s">
        <v>60</v>
      </c>
      <c r="J69" s="46"/>
      <c r="K69" s="49" t="s">
        <v>42</v>
      </c>
      <c r="L69" s="50"/>
    </row>
    <row r="70" ht="28.5" outlineLevel="1">
      <c r="A70" s="45">
        <v>13</v>
      </c>
      <c r="B70" s="105" t="s">
        <v>115</v>
      </c>
      <c r="C70" s="105" t="s">
        <v>215</v>
      </c>
      <c r="D70" s="105" t="s">
        <v>216</v>
      </c>
      <c r="E70" s="142">
        <v>330000</v>
      </c>
      <c r="F70" s="48" t="s">
        <v>217</v>
      </c>
      <c r="G70" s="110" t="s">
        <v>39</v>
      </c>
      <c r="H70" s="46" t="s">
        <v>40</v>
      </c>
      <c r="I70" s="40" t="s">
        <v>41</v>
      </c>
      <c r="J70" s="46"/>
      <c r="K70" s="49" t="s">
        <v>42</v>
      </c>
      <c r="L70" s="50"/>
    </row>
    <row r="71" ht="28.5" outlineLevel="1">
      <c r="A71" s="45">
        <v>14</v>
      </c>
      <c r="B71" s="106" t="s">
        <v>115</v>
      </c>
      <c r="C71" s="106" t="s">
        <v>215</v>
      </c>
      <c r="D71" s="106" t="s">
        <v>216</v>
      </c>
      <c r="E71" s="143">
        <v>12000</v>
      </c>
      <c r="F71" s="97" t="s">
        <v>217</v>
      </c>
      <c r="G71" s="106" t="s">
        <v>39</v>
      </c>
      <c r="H71" s="144" t="s">
        <v>218</v>
      </c>
      <c r="I71" s="40" t="s">
        <v>41</v>
      </c>
      <c r="J71" s="136" t="s">
        <v>219</v>
      </c>
      <c r="K71" s="49"/>
      <c r="L71" s="50"/>
    </row>
    <row r="72" ht="28.5" outlineLevel="1">
      <c r="A72" s="45">
        <v>15</v>
      </c>
      <c r="B72" s="106" t="s">
        <v>115</v>
      </c>
      <c r="C72" s="106" t="s">
        <v>123</v>
      </c>
      <c r="D72" s="106" t="s">
        <v>220</v>
      </c>
      <c r="E72" s="143">
        <v>37543.910000000003</v>
      </c>
      <c r="F72" s="97" t="s">
        <v>221</v>
      </c>
      <c r="G72" s="108" t="s">
        <v>39</v>
      </c>
      <c r="H72" s="95" t="s">
        <v>40</v>
      </c>
      <c r="I72" s="40" t="s">
        <v>41</v>
      </c>
      <c r="J72" s="46"/>
      <c r="K72" s="49"/>
      <c r="L72" s="50"/>
    </row>
    <row r="73" ht="42.75" outlineLevel="1">
      <c r="A73" s="45">
        <v>16</v>
      </c>
      <c r="B73" s="145" t="s">
        <v>115</v>
      </c>
      <c r="C73" s="106" t="s">
        <v>222</v>
      </c>
      <c r="D73" s="106" t="s">
        <v>223</v>
      </c>
      <c r="E73" s="143">
        <v>288164</v>
      </c>
      <c r="F73" s="97" t="s">
        <v>224</v>
      </c>
      <c r="G73" s="106" t="s">
        <v>39</v>
      </c>
      <c r="H73" s="95" t="s">
        <v>40</v>
      </c>
      <c r="I73" s="40" t="s">
        <v>41</v>
      </c>
      <c r="J73" s="46"/>
      <c r="K73" s="49"/>
      <c r="L73" s="50"/>
    </row>
    <row r="74" ht="28.5" outlineLevel="1">
      <c r="A74" s="45">
        <v>17</v>
      </c>
      <c r="B74" s="46" t="s">
        <v>35</v>
      </c>
      <c r="C74" s="40" t="s">
        <v>225</v>
      </c>
      <c r="D74" s="40" t="s">
        <v>226</v>
      </c>
      <c r="E74" s="146">
        <v>6255.3800000000001</v>
      </c>
      <c r="F74" s="48" t="s">
        <v>227</v>
      </c>
      <c r="G74" s="147" t="s">
        <v>39</v>
      </c>
      <c r="H74" s="46" t="s">
        <v>40</v>
      </c>
      <c r="I74" s="40" t="s">
        <v>41</v>
      </c>
      <c r="J74" s="46"/>
      <c r="K74" s="49" t="s">
        <v>42</v>
      </c>
      <c r="L74" s="50"/>
    </row>
    <row r="75" ht="14.4" outlineLevel="1">
      <c r="A75" s="45"/>
      <c r="B75" s="46"/>
      <c r="C75" s="40"/>
      <c r="D75" s="40"/>
      <c r="E75" s="148"/>
      <c r="F75" s="48"/>
      <c r="G75" s="147"/>
      <c r="H75" s="46"/>
      <c r="I75" s="40"/>
      <c r="J75" s="46"/>
      <c r="K75" s="103"/>
      <c r="L75" s="50"/>
    </row>
    <row r="76" ht="28.5" outlineLevel="1">
      <c r="A76" s="45">
        <v>19</v>
      </c>
      <c r="B76" s="46" t="s">
        <v>35</v>
      </c>
      <c r="C76" s="40" t="s">
        <v>228</v>
      </c>
      <c r="D76" s="40" t="s">
        <v>229</v>
      </c>
      <c r="E76" s="146">
        <v>960.08000000000004</v>
      </c>
      <c r="F76" s="48" t="s">
        <v>230</v>
      </c>
      <c r="G76" s="147" t="s">
        <v>39</v>
      </c>
      <c r="H76" s="46" t="s">
        <v>40</v>
      </c>
      <c r="I76" s="40" t="s">
        <v>41</v>
      </c>
      <c r="J76" s="46"/>
      <c r="K76" s="134" t="s">
        <v>42</v>
      </c>
      <c r="L76" s="50"/>
    </row>
    <row r="77" ht="28.5" outlineLevel="1">
      <c r="A77" s="45">
        <v>20</v>
      </c>
      <c r="B77" s="46" t="s">
        <v>35</v>
      </c>
      <c r="C77" s="40" t="s">
        <v>228</v>
      </c>
      <c r="D77" s="46" t="s">
        <v>231</v>
      </c>
      <c r="E77" s="146">
        <v>1307</v>
      </c>
      <c r="F77" s="48" t="s">
        <v>230</v>
      </c>
      <c r="G77" s="147" t="s">
        <v>39</v>
      </c>
      <c r="H77" s="46" t="s">
        <v>40</v>
      </c>
      <c r="I77" s="40" t="s">
        <v>41</v>
      </c>
      <c r="J77" s="46"/>
      <c r="K77" s="134" t="s">
        <v>42</v>
      </c>
      <c r="L77" s="50"/>
    </row>
    <row r="78" ht="28.5" outlineLevel="1">
      <c r="A78" s="45">
        <v>21</v>
      </c>
      <c r="B78" s="46" t="s">
        <v>35</v>
      </c>
      <c r="C78" s="40" t="s">
        <v>228</v>
      </c>
      <c r="D78" s="46" t="s">
        <v>232</v>
      </c>
      <c r="E78" s="146">
        <v>4197</v>
      </c>
      <c r="F78" s="48" t="s">
        <v>230</v>
      </c>
      <c r="G78" s="147" t="s">
        <v>39</v>
      </c>
      <c r="H78" s="46" t="s">
        <v>40</v>
      </c>
      <c r="I78" s="40" t="s">
        <v>41</v>
      </c>
      <c r="J78" s="46"/>
      <c r="K78" s="134" t="s">
        <v>42</v>
      </c>
      <c r="L78" s="50"/>
    </row>
    <row r="79" ht="28.5" outlineLevel="1">
      <c r="A79" s="45">
        <v>22</v>
      </c>
      <c r="B79" s="46" t="s">
        <v>35</v>
      </c>
      <c r="C79" s="46" t="s">
        <v>228</v>
      </c>
      <c r="D79" s="46" t="s">
        <v>233</v>
      </c>
      <c r="E79" s="87">
        <v>30</v>
      </c>
      <c r="F79" s="48" t="s">
        <v>230</v>
      </c>
      <c r="G79" s="48" t="s">
        <v>39</v>
      </c>
      <c r="H79" s="46" t="s">
        <v>40</v>
      </c>
      <c r="I79" s="40" t="s">
        <v>41</v>
      </c>
      <c r="J79" s="46"/>
      <c r="K79" s="134" t="s">
        <v>42</v>
      </c>
      <c r="L79" s="50"/>
    </row>
    <row r="80" ht="28.5" outlineLevel="1">
      <c r="A80" s="45">
        <v>23</v>
      </c>
      <c r="B80" s="46" t="s">
        <v>35</v>
      </c>
      <c r="C80" s="46" t="s">
        <v>228</v>
      </c>
      <c r="D80" s="46" t="s">
        <v>234</v>
      </c>
      <c r="E80" s="87">
        <v>839</v>
      </c>
      <c r="F80" s="48" t="s">
        <v>230</v>
      </c>
      <c r="G80" s="48" t="s">
        <v>39</v>
      </c>
      <c r="H80" s="46" t="s">
        <v>40</v>
      </c>
      <c r="I80" s="40" t="s">
        <v>41</v>
      </c>
      <c r="J80" s="46"/>
      <c r="K80" s="134" t="s">
        <v>42</v>
      </c>
      <c r="L80" s="50"/>
    </row>
    <row r="81" ht="14.4" outlineLevel="1">
      <c r="A81" s="45">
        <v>24</v>
      </c>
      <c r="B81" s="46" t="s">
        <v>35</v>
      </c>
      <c r="C81" s="46" t="s">
        <v>235</v>
      </c>
      <c r="D81" s="46" t="s">
        <v>236</v>
      </c>
      <c r="E81" s="87">
        <v>8625</v>
      </c>
      <c r="F81" s="48" t="s">
        <v>237</v>
      </c>
      <c r="G81" s="48" t="s">
        <v>39</v>
      </c>
      <c r="H81" s="46" t="s">
        <v>40</v>
      </c>
      <c r="I81" s="40" t="s">
        <v>41</v>
      </c>
      <c r="J81" s="46"/>
      <c r="K81" s="134" t="s">
        <v>42</v>
      </c>
      <c r="L81" s="50"/>
    </row>
    <row r="82" ht="14.4" outlineLevel="1">
      <c r="A82" s="45">
        <v>24</v>
      </c>
      <c r="B82" s="46" t="s">
        <v>35</v>
      </c>
      <c r="C82" s="46" t="s">
        <v>238</v>
      </c>
      <c r="D82" s="46" t="s">
        <v>239</v>
      </c>
      <c r="E82" s="149">
        <v>19500</v>
      </c>
      <c r="F82" s="48" t="s">
        <v>240</v>
      </c>
      <c r="G82" s="48" t="s">
        <v>39</v>
      </c>
      <c r="H82" s="46" t="s">
        <v>40</v>
      </c>
      <c r="I82" s="40" t="s">
        <v>41</v>
      </c>
      <c r="J82" s="136" t="s">
        <v>190</v>
      </c>
      <c r="K82" s="134" t="s">
        <v>42</v>
      </c>
      <c r="L82" s="50"/>
    </row>
    <row r="83" ht="14.25" customHeight="1" outlineLevel="1">
      <c r="A83" s="150">
        <v>25.714285714285715</v>
      </c>
      <c r="B83" s="46" t="s">
        <v>35</v>
      </c>
      <c r="C83" s="46" t="s">
        <v>241</v>
      </c>
      <c r="D83" s="46" t="s">
        <v>242</v>
      </c>
      <c r="E83" s="87">
        <v>3907</v>
      </c>
      <c r="F83" s="48" t="s">
        <v>243</v>
      </c>
      <c r="G83" s="48" t="s">
        <v>39</v>
      </c>
      <c r="H83" s="46" t="s">
        <v>40</v>
      </c>
      <c r="I83" s="40" t="s">
        <v>60</v>
      </c>
      <c r="J83" s="46"/>
      <c r="K83" s="55" t="s">
        <v>42</v>
      </c>
      <c r="L83" s="50"/>
    </row>
    <row r="84" ht="14.25" customHeight="1" outlineLevel="1">
      <c r="A84" s="150">
        <v>26.685714285714283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150">
        <v>27.657142857142858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150">
        <v>28.628571428571426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150">
        <v>29.599999999999998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s="32" customFormat="1" ht="19.5" customHeight="1" outlineLevel="1">
      <c r="A88" s="33"/>
      <c r="B88" s="34" t="s">
        <v>24</v>
      </c>
      <c r="C88" s="35"/>
      <c r="D88" s="36"/>
      <c r="E88" s="37"/>
      <c r="F88" s="34"/>
      <c r="G88" s="34"/>
      <c r="H88" s="34"/>
      <c r="I88" s="34"/>
      <c r="J88" s="34"/>
      <c r="K88" s="34"/>
      <c r="L88" s="38"/>
    </row>
    <row r="89" ht="14.25" customHeight="1" outlineLevel="1">
      <c r="A89" s="62">
        <v>1</v>
      </c>
      <c r="B89" s="52" t="s">
        <v>244</v>
      </c>
      <c r="C89" s="52" t="s">
        <v>245</v>
      </c>
      <c r="D89" s="52" t="s">
        <v>246</v>
      </c>
      <c r="E89" s="128">
        <v>50000</v>
      </c>
      <c r="F89" s="54" t="s">
        <v>247</v>
      </c>
      <c r="G89" s="54"/>
      <c r="H89" s="46" t="s">
        <v>40</v>
      </c>
      <c r="I89" s="40" t="s">
        <v>41</v>
      </c>
      <c r="J89" s="52"/>
      <c r="K89" s="55" t="s">
        <v>42</v>
      </c>
      <c r="L89" s="56"/>
    </row>
    <row r="90" ht="28.5" outlineLevel="1">
      <c r="A90" s="45">
        <v>2</v>
      </c>
      <c r="B90" s="46" t="s">
        <v>248</v>
      </c>
      <c r="C90" s="46" t="s">
        <v>249</v>
      </c>
      <c r="D90" s="46" t="s">
        <v>250</v>
      </c>
      <c r="E90" s="87">
        <v>18000</v>
      </c>
      <c r="F90" s="48" t="s">
        <v>251</v>
      </c>
      <c r="G90" s="48"/>
      <c r="H90" s="46" t="s">
        <v>40</v>
      </c>
      <c r="I90" s="40" t="s">
        <v>41</v>
      </c>
      <c r="J90" s="46"/>
      <c r="K90" s="49" t="s">
        <v>42</v>
      </c>
      <c r="L90" s="50"/>
    </row>
    <row r="91" ht="14.25" customHeight="1" outlineLevel="1">
      <c r="A91" s="45">
        <v>3</v>
      </c>
      <c r="B91" s="46" t="s">
        <v>135</v>
      </c>
      <c r="C91" s="46" t="s">
        <v>252</v>
      </c>
      <c r="D91" s="46" t="s">
        <v>253</v>
      </c>
      <c r="E91" s="87">
        <v>16320</v>
      </c>
      <c r="F91" s="48" t="s">
        <v>254</v>
      </c>
      <c r="G91" s="48" t="s">
        <v>39</v>
      </c>
      <c r="H91" s="46" t="s">
        <v>40</v>
      </c>
      <c r="I91" s="1" t="s">
        <v>41</v>
      </c>
      <c r="J91" s="40"/>
      <c r="K91" s="49" t="s">
        <v>42</v>
      </c>
      <c r="L91" s="50"/>
    </row>
    <row r="92" ht="14.25" customHeight="1" outlineLevel="1">
      <c r="A92" s="45">
        <v>4</v>
      </c>
      <c r="B92" s="46" t="s">
        <v>135</v>
      </c>
      <c r="C92" s="46" t="s">
        <v>255</v>
      </c>
      <c r="D92" s="46" t="s">
        <v>256</v>
      </c>
      <c r="E92" s="87">
        <v>1182</v>
      </c>
      <c r="F92" s="48" t="s">
        <v>257</v>
      </c>
      <c r="G92" s="48" t="s">
        <v>39</v>
      </c>
      <c r="H92" s="46" t="s">
        <v>40</v>
      </c>
      <c r="I92" s="40" t="s">
        <v>41</v>
      </c>
      <c r="J92" s="46"/>
      <c r="K92" s="49" t="s">
        <v>42</v>
      </c>
      <c r="L92" s="50"/>
    </row>
    <row r="93" ht="14.25" customHeight="1" outlineLevel="1">
      <c r="A93" s="45">
        <v>5</v>
      </c>
      <c r="B93" s="46" t="s">
        <v>135</v>
      </c>
      <c r="C93" s="46" t="s">
        <v>136</v>
      </c>
      <c r="D93" s="46" t="s">
        <v>258</v>
      </c>
      <c r="E93" s="87">
        <v>19250</v>
      </c>
      <c r="F93" s="48" t="s">
        <v>259</v>
      </c>
      <c r="G93" s="48" t="s">
        <v>39</v>
      </c>
      <c r="H93" s="46" t="s">
        <v>40</v>
      </c>
      <c r="I93" s="40" t="s">
        <v>41</v>
      </c>
      <c r="J93" s="46" t="s">
        <v>134</v>
      </c>
      <c r="K93" s="49" t="s">
        <v>42</v>
      </c>
      <c r="L93" s="50"/>
    </row>
    <row r="94" ht="14.25" customHeight="1" outlineLevel="1">
      <c r="A94" s="45">
        <v>6</v>
      </c>
      <c r="B94" s="46" t="s">
        <v>135</v>
      </c>
      <c r="C94" s="46" t="s">
        <v>136</v>
      </c>
      <c r="D94" s="46" t="s">
        <v>260</v>
      </c>
      <c r="E94" s="87">
        <v>4400</v>
      </c>
      <c r="F94" s="48" t="s">
        <v>261</v>
      </c>
      <c r="G94" s="48" t="s">
        <v>39</v>
      </c>
      <c r="H94" s="46" t="s">
        <v>40</v>
      </c>
      <c r="I94" s="40" t="s">
        <v>41</v>
      </c>
      <c r="J94" s="46" t="s">
        <v>262</v>
      </c>
      <c r="K94" s="49" t="s">
        <v>42</v>
      </c>
      <c r="L94" s="50"/>
    </row>
    <row r="95" ht="14.25" customHeight="1" outlineLevel="1">
      <c r="A95" s="45">
        <v>7</v>
      </c>
      <c r="B95" s="46" t="s">
        <v>135</v>
      </c>
      <c r="C95" s="46" t="s">
        <v>136</v>
      </c>
      <c r="D95" s="46" t="s">
        <v>263</v>
      </c>
      <c r="E95" s="87">
        <v>3111</v>
      </c>
      <c r="F95" s="48" t="s">
        <v>264</v>
      </c>
      <c r="G95" s="48" t="s">
        <v>39</v>
      </c>
      <c r="H95" s="46" t="s">
        <v>40</v>
      </c>
      <c r="I95" s="40" t="s">
        <v>41</v>
      </c>
      <c r="J95" s="46" t="s">
        <v>265</v>
      </c>
      <c r="K95" s="49" t="s">
        <v>42</v>
      </c>
      <c r="L95" s="50"/>
    </row>
    <row r="96" ht="14.25" customHeight="1" outlineLevel="1">
      <c r="A96" s="45">
        <v>8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9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10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11</v>
      </c>
      <c r="B99" s="46"/>
      <c r="C99" s="46"/>
      <c r="D99" s="46"/>
      <c r="E99" s="47"/>
      <c r="F99" s="48"/>
      <c r="G99" s="48"/>
      <c r="H99" s="46"/>
      <c r="I99" s="40"/>
      <c r="J99" s="46"/>
      <c r="K99" s="49"/>
      <c r="L99" s="50"/>
    </row>
    <row r="100" ht="14.25" customHeight="1" outlineLevel="1">
      <c r="A100" s="45">
        <v>12</v>
      </c>
      <c r="B100" s="46"/>
      <c r="C100" s="46"/>
      <c r="D100" s="46"/>
      <c r="E100" s="47"/>
      <c r="F100" s="48"/>
      <c r="G100" s="48"/>
      <c r="H100" s="46"/>
      <c r="I100" s="40"/>
      <c r="J100" s="46"/>
      <c r="K100" s="49"/>
      <c r="L100" s="50"/>
    </row>
    <row r="101" ht="14.25" customHeight="1" outlineLevel="1">
      <c r="A101" s="45">
        <v>13</v>
      </c>
      <c r="B101" s="46"/>
      <c r="C101" s="46"/>
      <c r="D101" s="46"/>
      <c r="E101" s="47"/>
      <c r="F101" s="48"/>
      <c r="G101" s="48"/>
      <c r="H101" s="46"/>
      <c r="I101" s="40"/>
      <c r="J101" s="46"/>
      <c r="K101" s="49"/>
      <c r="L101" s="50"/>
    </row>
    <row r="102" ht="14.25" customHeight="1" outlineLevel="1">
      <c r="A102" s="45">
        <v>14</v>
      </c>
      <c r="B102" s="46"/>
      <c r="C102" s="46"/>
      <c r="D102" s="46"/>
      <c r="E102" s="47"/>
      <c r="F102" s="48"/>
      <c r="G102" s="48"/>
      <c r="H102" s="46"/>
      <c r="I102" s="40"/>
      <c r="J102" s="46"/>
      <c r="K102" s="49"/>
      <c r="L102" s="50"/>
    </row>
    <row r="103" ht="14.25" customHeight="1" outlineLevel="1">
      <c r="A103" s="45">
        <v>15</v>
      </c>
      <c r="B103" s="57"/>
      <c r="C103" s="57"/>
      <c r="D103" s="57"/>
      <c r="E103" s="58"/>
      <c r="F103" s="59"/>
      <c r="G103" s="59"/>
      <c r="H103" s="57"/>
      <c r="I103" s="40"/>
      <c r="J103" s="57"/>
      <c r="K103" s="60"/>
      <c r="L103" s="61"/>
    </row>
    <row r="104" s="32" customFormat="1" ht="19.5" customHeight="1" outlineLevel="1">
      <c r="A104" s="33"/>
      <c r="B104" s="34" t="s">
        <v>25</v>
      </c>
      <c r="C104" s="35"/>
      <c r="D104" s="36"/>
      <c r="E104" s="37"/>
      <c r="F104" s="34"/>
      <c r="G104" s="34"/>
      <c r="H104" s="34"/>
      <c r="I104" s="34"/>
      <c r="J104" s="34"/>
      <c r="K104" s="34"/>
      <c r="L104" s="38"/>
    </row>
    <row r="105" ht="14.25" customHeight="1" outlineLevel="1">
      <c r="A105" s="89">
        <v>1</v>
      </c>
      <c r="B105" s="151" t="s">
        <v>155</v>
      </c>
      <c r="C105" s="152" t="s">
        <v>143</v>
      </c>
      <c r="D105" s="152" t="s">
        <v>144</v>
      </c>
      <c r="E105" s="153">
        <v>887000</v>
      </c>
      <c r="F105" s="54" t="s">
        <v>266</v>
      </c>
      <c r="G105" s="54" t="s">
        <v>154</v>
      </c>
      <c r="H105" s="46" t="s">
        <v>40</v>
      </c>
      <c r="I105" s="40"/>
      <c r="J105" s="154" t="s">
        <v>267</v>
      </c>
      <c r="K105" s="55" t="s">
        <v>42</v>
      </c>
      <c r="L105" s="56"/>
    </row>
    <row r="106" ht="14.25" customHeight="1" outlineLevel="1">
      <c r="A106" s="45">
        <v>2</v>
      </c>
      <c r="B106" s="40"/>
      <c r="C106" s="40"/>
      <c r="D106" s="40"/>
      <c r="E106" s="47"/>
      <c r="F106" s="48"/>
      <c r="G106" s="48"/>
      <c r="H106" s="46"/>
      <c r="I106" s="40"/>
      <c r="J106" s="46"/>
      <c r="K106" s="49"/>
      <c r="L106" s="50"/>
    </row>
    <row r="107" ht="14.25" customHeight="1" outlineLevel="1">
      <c r="A107" s="45">
        <v>3</v>
      </c>
      <c r="B107" s="46"/>
      <c r="C107" s="46"/>
      <c r="D107" s="46"/>
      <c r="E107" s="47"/>
      <c r="F107" s="48"/>
      <c r="G107" s="48"/>
      <c r="H107" s="46"/>
      <c r="I107" s="40"/>
      <c r="J107" s="46"/>
      <c r="K107" s="49"/>
      <c r="L107" s="50"/>
    </row>
    <row r="108" ht="14.25" customHeight="1" outlineLevel="1">
      <c r="A108" s="45">
        <v>4</v>
      </c>
      <c r="B108" s="46"/>
      <c r="C108" s="46"/>
      <c r="D108" s="46"/>
      <c r="E108" s="47"/>
      <c r="F108" s="48"/>
      <c r="G108" s="48"/>
      <c r="H108" s="46"/>
      <c r="I108" s="40"/>
      <c r="J108" s="46"/>
      <c r="K108" s="49"/>
      <c r="L108" s="50"/>
    </row>
    <row r="109" ht="14.25" customHeight="1" outlineLevel="1">
      <c r="A109" s="45">
        <v>5</v>
      </c>
      <c r="B109" s="46"/>
      <c r="C109" s="46"/>
      <c r="D109" s="46"/>
      <c r="E109" s="47"/>
      <c r="F109" s="48"/>
      <c r="G109" s="48"/>
      <c r="H109" s="46"/>
      <c r="I109" s="40"/>
      <c r="J109" s="46"/>
      <c r="K109" s="49"/>
      <c r="L109" s="50"/>
    </row>
    <row r="110" ht="14.25" customHeight="1" outlineLevel="1">
      <c r="A110" s="45">
        <v>6</v>
      </c>
      <c r="B110" s="46"/>
      <c r="C110" s="46"/>
      <c r="D110" s="46"/>
      <c r="E110" s="47"/>
      <c r="F110" s="48"/>
      <c r="G110" s="48"/>
      <c r="H110" s="46"/>
      <c r="I110" s="40"/>
      <c r="J110" s="46"/>
      <c r="K110" s="49"/>
      <c r="L110" s="50"/>
    </row>
    <row r="111" ht="14.25" customHeight="1" outlineLevel="1">
      <c r="A111" s="45">
        <v>7</v>
      </c>
      <c r="B111" s="46"/>
      <c r="C111" s="46"/>
      <c r="D111" s="46"/>
      <c r="E111" s="47"/>
      <c r="F111" s="48"/>
      <c r="G111" s="48"/>
      <c r="H111" s="46"/>
      <c r="I111" s="40"/>
      <c r="J111" s="46"/>
      <c r="K111" s="49"/>
      <c r="L111" s="50"/>
    </row>
    <row r="112" ht="14.25" customHeight="1" outlineLevel="1">
      <c r="A112" s="45">
        <v>8</v>
      </c>
      <c r="B112" s="46"/>
      <c r="C112" s="46"/>
      <c r="D112" s="46"/>
      <c r="E112" s="47"/>
      <c r="F112" s="48"/>
      <c r="G112" s="48"/>
      <c r="H112" s="46"/>
      <c r="I112" s="40"/>
      <c r="J112" s="46"/>
      <c r="K112" s="49"/>
      <c r="L112" s="50"/>
    </row>
    <row r="113" ht="14.25" customHeight="1" outlineLevel="1">
      <c r="A113" s="45">
        <v>9</v>
      </c>
      <c r="B113" s="46"/>
      <c r="C113" s="46"/>
      <c r="D113" s="46"/>
      <c r="E113" s="47"/>
      <c r="F113" s="48"/>
      <c r="G113" s="48"/>
      <c r="H113" s="46"/>
      <c r="I113" s="40"/>
      <c r="J113" s="46"/>
      <c r="K113" s="49"/>
      <c r="L113" s="50"/>
    </row>
    <row r="114" ht="14.25" customHeight="1" outlineLevel="1">
      <c r="A114" s="45">
        <v>10</v>
      </c>
      <c r="B114" s="57"/>
      <c r="C114" s="57"/>
      <c r="D114" s="57"/>
      <c r="E114" s="58"/>
      <c r="F114" s="59"/>
      <c r="G114" s="59"/>
      <c r="H114" s="57"/>
      <c r="I114" s="40"/>
      <c r="J114" s="57"/>
      <c r="K114" s="60"/>
      <c r="L114" s="61"/>
    </row>
    <row r="115" s="32" customFormat="1" ht="19.5" customHeight="1" outlineLevel="1">
      <c r="A115" s="33"/>
      <c r="B115" s="34" t="s">
        <v>26</v>
      </c>
      <c r="C115" s="35"/>
      <c r="D115" s="36"/>
      <c r="E115" s="37"/>
      <c r="F115" s="34"/>
      <c r="G115" s="34"/>
      <c r="H115" s="34"/>
      <c r="I115" s="34"/>
      <c r="J115" s="34"/>
      <c r="K115" s="34"/>
      <c r="L115" s="38"/>
    </row>
    <row r="116" ht="14.25" customHeight="1" outlineLevel="1">
      <c r="A116" s="62">
        <v>1</v>
      </c>
      <c r="B116" s="52"/>
      <c r="C116" s="52"/>
      <c r="D116" s="52"/>
      <c r="E116" s="53"/>
      <c r="F116" s="54"/>
      <c r="G116" s="54"/>
      <c r="H116" s="52"/>
      <c r="I116" s="40"/>
      <c r="J116" s="52"/>
      <c r="K116" s="55"/>
      <c r="L116" s="56"/>
    </row>
    <row r="117" ht="14.25" customHeight="1" outlineLevel="1">
      <c r="A117" s="39">
        <v>2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ht="14.25" customHeight="1" outlineLevel="1">
      <c r="A118" s="39">
        <v>3</v>
      </c>
      <c r="B118" s="40"/>
      <c r="C118" s="40"/>
      <c r="D118" s="40"/>
      <c r="E118" s="41"/>
      <c r="F118" s="42"/>
      <c r="G118" s="42"/>
      <c r="H118" s="40"/>
      <c r="I118" s="40"/>
      <c r="J118" s="40"/>
      <c r="K118" s="43"/>
      <c r="L118" s="44"/>
    </row>
    <row r="119" ht="14.25" customHeight="1" outlineLevel="1">
      <c r="A119" s="45">
        <v>4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ht="14.25" customHeight="1" outlineLevel="1">
      <c r="A120" s="63">
        <v>5</v>
      </c>
      <c r="B120" s="57"/>
      <c r="C120" s="57"/>
      <c r="D120" s="57"/>
      <c r="E120" s="58"/>
      <c r="F120" s="59"/>
      <c r="G120" s="59"/>
      <c r="H120" s="57"/>
      <c r="I120" s="57"/>
      <c r="J120" s="57"/>
      <c r="K120" s="60"/>
      <c r="L120" s="61"/>
    </row>
    <row r="121" ht="23.100000000000001" customHeight="1">
      <c r="A121" s="64" t="s">
        <v>27</v>
      </c>
      <c r="B121" s="65"/>
      <c r="C121" s="65"/>
      <c r="D121" s="65"/>
      <c r="E121" s="66">
        <f>SUM(E15:E120)</f>
        <v>34480232.239999995</v>
      </c>
    </row>
    <row r="122" ht="23.100000000000001" customHeight="1">
      <c r="A122" s="64" t="s">
        <v>28</v>
      </c>
      <c r="B122" s="65"/>
      <c r="C122" s="65"/>
      <c r="D122" s="65"/>
      <c r="E122" s="66">
        <f>E4-E121</f>
        <v>-28618008.829999994</v>
      </c>
      <c r="F122" s="67"/>
      <c r="G122" s="67"/>
    </row>
    <row r="123" ht="24.75" customHeight="1">
      <c r="E123" s="1"/>
    </row>
    <row r="124" ht="30" customHeight="1">
      <c r="A124" s="68" t="s">
        <v>29</v>
      </c>
      <c r="B124" s="69"/>
      <c r="C124" s="69"/>
      <c r="D124" s="70"/>
      <c r="E124" s="71">
        <f>SUM(E125:E128)</f>
        <v>708640.62</v>
      </c>
      <c r="F124" s="12"/>
      <c r="G124" s="12"/>
      <c r="H124" s="12"/>
      <c r="I124" s="12"/>
      <c r="J124" s="12"/>
    </row>
    <row r="125" ht="15" customHeight="1">
      <c r="A125" s="13" t="s">
        <v>30</v>
      </c>
      <c r="B125" s="14"/>
      <c r="C125" s="14"/>
      <c r="D125" s="15"/>
      <c r="E125" s="16">
        <v>708640.62</v>
      </c>
      <c r="F125" s="12"/>
      <c r="G125" s="12"/>
      <c r="H125" s="12"/>
      <c r="I125" s="12"/>
      <c r="J125" s="12"/>
    </row>
    <row r="126">
      <c r="A126" s="72"/>
      <c r="B126" s="73"/>
      <c r="C126" s="73"/>
      <c r="D126" s="74"/>
      <c r="E126" s="75"/>
      <c r="F126" s="12"/>
      <c r="G126" s="12"/>
      <c r="H126" s="12"/>
      <c r="I126" s="12"/>
      <c r="J126" s="12"/>
    </row>
    <row r="127">
      <c r="A127" s="21"/>
      <c r="B127" s="18"/>
      <c r="C127" s="18"/>
      <c r="D127" s="19"/>
      <c r="E127" s="20"/>
      <c r="F127" s="12"/>
      <c r="G127" s="12"/>
      <c r="H127" s="12"/>
      <c r="I127" s="12"/>
      <c r="J127" s="12"/>
    </row>
    <row r="128" ht="15">
      <c r="A128" s="76"/>
      <c r="B128" s="24"/>
      <c r="C128" s="24"/>
      <c r="D128" s="25"/>
      <c r="E128" s="26"/>
      <c r="F128" s="27"/>
      <c r="G128" s="27"/>
      <c r="H128" s="27"/>
      <c r="I128" s="27"/>
      <c r="J128" s="27"/>
    </row>
    <row r="129" ht="6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</row>
    <row r="130" ht="28.5" outlineLevel="1">
      <c r="A130" s="28" t="s">
        <v>9</v>
      </c>
      <c r="B130" s="28" t="s">
        <v>10</v>
      </c>
      <c r="C130" s="28" t="s">
        <v>11</v>
      </c>
      <c r="D130" s="28" t="s">
        <v>12</v>
      </c>
      <c r="E130" s="29" t="s">
        <v>13</v>
      </c>
      <c r="F130" s="28" t="s">
        <v>14</v>
      </c>
      <c r="G130" s="30" t="s">
        <v>15</v>
      </c>
      <c r="H130" s="28" t="s">
        <v>16</v>
      </c>
      <c r="I130" s="31" t="s">
        <v>17</v>
      </c>
      <c r="J130" s="28" t="s">
        <v>18</v>
      </c>
      <c r="K130" s="28" t="s">
        <v>19</v>
      </c>
      <c r="L130" s="28" t="s">
        <v>20</v>
      </c>
    </row>
    <row r="131" ht="15" outlineLevel="1">
      <c r="A131" s="77"/>
      <c r="B131" s="78" t="s">
        <v>31</v>
      </c>
      <c r="C131" s="79"/>
      <c r="D131" s="80"/>
      <c r="E131" s="81"/>
      <c r="F131" s="78"/>
      <c r="G131" s="78"/>
      <c r="H131" s="78"/>
      <c r="I131" s="78"/>
      <c r="J131" s="78"/>
      <c r="K131" s="78"/>
      <c r="L131" s="78"/>
    </row>
    <row r="132" outlineLevel="1">
      <c r="A132" s="39">
        <v>1</v>
      </c>
      <c r="B132" s="40"/>
      <c r="C132" s="40"/>
      <c r="D132" s="40"/>
      <c r="E132" s="41"/>
      <c r="F132" s="42"/>
      <c r="G132" s="42"/>
      <c r="H132" s="40"/>
      <c r="I132" s="40"/>
      <c r="J132" s="40"/>
      <c r="K132" s="43"/>
      <c r="L132" s="44"/>
    </row>
    <row r="133" outlineLevel="1">
      <c r="A133" s="45">
        <v>2</v>
      </c>
      <c r="B133" s="46"/>
      <c r="C133" s="46"/>
      <c r="D133" s="46"/>
      <c r="E133" s="47"/>
      <c r="F133" s="48"/>
      <c r="G133" s="48"/>
      <c r="H133" s="46"/>
      <c r="I133" s="40"/>
      <c r="J133" s="46"/>
      <c r="K133" s="49"/>
      <c r="L133" s="50"/>
    </row>
    <row r="134" outlineLevel="1">
      <c r="A134" s="45">
        <v>3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4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ht="15.75" customHeight="1" outlineLevel="1">
      <c r="A136" s="45">
        <v>5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6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7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8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39">
        <v>9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10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11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12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13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14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ht="15" outlineLevel="1">
      <c r="A146" s="45">
        <v>15</v>
      </c>
      <c r="B146" s="57"/>
      <c r="C146" s="57"/>
      <c r="D146" s="57"/>
      <c r="E146" s="58"/>
      <c r="F146" s="59"/>
      <c r="G146" s="59"/>
      <c r="H146" s="57"/>
      <c r="I146" s="40"/>
      <c r="J146" s="57"/>
      <c r="K146" s="60"/>
      <c r="L146" s="61"/>
    </row>
    <row r="147" ht="15" outlineLevel="1">
      <c r="A147" s="77"/>
      <c r="B147" s="78" t="s">
        <v>32</v>
      </c>
      <c r="C147" s="79"/>
      <c r="D147" s="80"/>
      <c r="E147" s="81"/>
      <c r="F147" s="78"/>
      <c r="G147" s="78"/>
      <c r="H147" s="78"/>
      <c r="I147" s="78"/>
      <c r="J147" s="78"/>
      <c r="K147" s="78"/>
      <c r="L147" s="78"/>
    </row>
    <row r="148" outlineLevel="1">
      <c r="A148" s="62">
        <v>1</v>
      </c>
      <c r="B148" s="52"/>
      <c r="C148" s="52"/>
      <c r="D148" s="52"/>
      <c r="E148" s="53"/>
      <c r="F148" s="54"/>
      <c r="G148" s="54"/>
      <c r="H148" s="52"/>
      <c r="I148" s="40"/>
      <c r="J148" s="52"/>
      <c r="K148" s="55"/>
      <c r="L148" s="56"/>
    </row>
    <row r="149" outlineLevel="1">
      <c r="A149" s="45">
        <v>2</v>
      </c>
      <c r="B149" s="46"/>
      <c r="C149" s="46"/>
      <c r="D149" s="46"/>
      <c r="E149" s="47"/>
      <c r="F149" s="48"/>
      <c r="G149" s="48"/>
      <c r="H149" s="46"/>
      <c r="I149" s="40"/>
      <c r="J149" s="46"/>
      <c r="K149" s="49"/>
      <c r="L149" s="50"/>
    </row>
    <row r="150" outlineLevel="1">
      <c r="A150" s="45">
        <v>3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4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5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6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7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8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9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10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outlineLevel="1">
      <c r="A158" s="45">
        <v>11</v>
      </c>
      <c r="B158" s="46"/>
      <c r="C158" s="46"/>
      <c r="D158" s="46"/>
      <c r="E158" s="47"/>
      <c r="F158" s="48"/>
      <c r="G158" s="48"/>
      <c r="H158" s="46"/>
      <c r="I158" s="40"/>
      <c r="J158" s="46"/>
      <c r="K158" s="49"/>
      <c r="L158" s="50"/>
    </row>
    <row r="159" outlineLevel="1">
      <c r="A159" s="45">
        <v>12</v>
      </c>
      <c r="B159" s="46"/>
      <c r="C159" s="46"/>
      <c r="D159" s="46"/>
      <c r="E159" s="47"/>
      <c r="F159" s="48"/>
      <c r="G159" s="48"/>
      <c r="H159" s="46"/>
      <c r="I159" s="40"/>
      <c r="J159" s="46"/>
      <c r="K159" s="49"/>
      <c r="L159" s="50"/>
    </row>
    <row r="160" outlineLevel="1">
      <c r="A160" s="45">
        <v>13</v>
      </c>
      <c r="B160" s="46"/>
      <c r="C160" s="46"/>
      <c r="D160" s="46"/>
      <c r="E160" s="47"/>
      <c r="F160" s="48"/>
      <c r="G160" s="48"/>
      <c r="H160" s="46"/>
      <c r="I160" s="40"/>
      <c r="J160" s="46"/>
      <c r="K160" s="49"/>
      <c r="L160" s="50"/>
    </row>
    <row r="161" outlineLevel="1">
      <c r="A161" s="45">
        <v>14</v>
      </c>
      <c r="B161" s="46"/>
      <c r="C161" s="46"/>
      <c r="D161" s="46"/>
      <c r="E161" s="47"/>
      <c r="F161" s="48"/>
      <c r="G161" s="48"/>
      <c r="H161" s="46"/>
      <c r="I161" s="40"/>
      <c r="J161" s="46"/>
      <c r="K161" s="49"/>
      <c r="L161" s="50"/>
    </row>
    <row r="162" ht="15" outlineLevel="1">
      <c r="A162" s="45">
        <v>15</v>
      </c>
      <c r="B162" s="57"/>
      <c r="C162" s="57"/>
      <c r="D162" s="57"/>
      <c r="E162" s="58"/>
      <c r="F162" s="59"/>
      <c r="G162" s="59"/>
      <c r="H162" s="57"/>
      <c r="I162" s="40"/>
      <c r="J162" s="57"/>
      <c r="K162" s="60"/>
      <c r="L162" s="61"/>
    </row>
    <row r="163" ht="15" outlineLevel="1">
      <c r="A163" s="77"/>
      <c r="B163" s="78" t="s">
        <v>25</v>
      </c>
      <c r="C163" s="79"/>
      <c r="D163" s="80"/>
      <c r="E163" s="81"/>
      <c r="F163" s="78"/>
      <c r="G163" s="78"/>
      <c r="H163" s="78"/>
      <c r="I163" s="78"/>
      <c r="J163" s="78"/>
      <c r="K163" s="78"/>
      <c r="L163" s="78"/>
    </row>
    <row r="164" outlineLevel="1">
      <c r="A164" s="45">
        <v>1</v>
      </c>
      <c r="B164" s="52"/>
      <c r="C164" s="52"/>
      <c r="D164" s="52"/>
      <c r="E164" s="53"/>
      <c r="F164" s="54"/>
      <c r="G164" s="54"/>
      <c r="H164" s="52"/>
      <c r="I164" s="40"/>
      <c r="J164" s="52"/>
      <c r="K164" s="55"/>
      <c r="L164" s="56"/>
    </row>
    <row r="165" outlineLevel="1">
      <c r="A165" s="45">
        <v>2</v>
      </c>
      <c r="B165" s="46"/>
      <c r="C165" s="46"/>
      <c r="D165" s="46"/>
      <c r="E165" s="47"/>
      <c r="F165" s="48"/>
      <c r="G165" s="48"/>
      <c r="H165" s="46"/>
      <c r="I165" s="40"/>
      <c r="J165" s="46"/>
      <c r="K165" s="49"/>
      <c r="L165" s="50"/>
    </row>
    <row r="166" outlineLevel="1">
      <c r="A166" s="45">
        <v>3</v>
      </c>
      <c r="B166" s="46"/>
      <c r="C166" s="46"/>
      <c r="D166" s="46"/>
      <c r="E166" s="47"/>
      <c r="F166" s="48"/>
      <c r="G166" s="48"/>
      <c r="H166" s="46"/>
      <c r="I166" s="40"/>
      <c r="J166" s="46"/>
      <c r="K166" s="49"/>
      <c r="L166" s="50"/>
    </row>
    <row r="167" outlineLevel="1">
      <c r="A167" s="45">
        <v>4</v>
      </c>
      <c r="B167" s="46"/>
      <c r="C167" s="46"/>
      <c r="D167" s="46"/>
      <c r="E167" s="47"/>
      <c r="F167" s="48"/>
      <c r="G167" s="48"/>
      <c r="H167" s="46"/>
      <c r="I167" s="40"/>
      <c r="J167" s="46"/>
      <c r="K167" s="49"/>
      <c r="L167" s="50"/>
    </row>
    <row r="168" outlineLevel="1">
      <c r="A168" s="45">
        <v>5</v>
      </c>
      <c r="B168" s="46"/>
      <c r="C168" s="46"/>
      <c r="D168" s="46"/>
      <c r="E168" s="47"/>
      <c r="F168" s="48"/>
      <c r="G168" s="48"/>
      <c r="H168" s="46"/>
      <c r="I168" s="40"/>
      <c r="J168" s="46"/>
      <c r="K168" s="49"/>
      <c r="L168" s="50"/>
    </row>
    <row r="169" outlineLevel="1">
      <c r="A169" s="45">
        <v>6</v>
      </c>
      <c r="B169" s="46"/>
      <c r="C169" s="46"/>
      <c r="D169" s="46"/>
      <c r="E169" s="47"/>
      <c r="F169" s="48"/>
      <c r="G169" s="48"/>
      <c r="H169" s="46"/>
      <c r="I169" s="40"/>
      <c r="J169" s="46"/>
      <c r="K169" s="49"/>
      <c r="L169" s="50"/>
    </row>
    <row r="170" outlineLevel="1">
      <c r="A170" s="45">
        <v>7</v>
      </c>
      <c r="B170" s="46"/>
      <c r="C170" s="46"/>
      <c r="D170" s="46"/>
      <c r="E170" s="47"/>
      <c r="F170" s="48"/>
      <c r="G170" s="48"/>
      <c r="H170" s="46"/>
      <c r="I170" s="40"/>
      <c r="J170" s="46"/>
      <c r="K170" s="49"/>
      <c r="L170" s="50"/>
    </row>
    <row r="171" outlineLevel="1">
      <c r="A171" s="45">
        <v>8</v>
      </c>
      <c r="B171" s="46"/>
      <c r="C171" s="46"/>
      <c r="D171" s="46"/>
      <c r="E171" s="47"/>
      <c r="F171" s="48"/>
      <c r="G171" s="48"/>
      <c r="H171" s="46"/>
      <c r="I171" s="40"/>
      <c r="J171" s="46"/>
      <c r="K171" s="49"/>
      <c r="L171" s="50"/>
    </row>
    <row r="172" outlineLevel="1">
      <c r="A172" s="45">
        <v>9</v>
      </c>
      <c r="B172" s="46"/>
      <c r="C172" s="46"/>
      <c r="D172" s="46"/>
      <c r="E172" s="47"/>
      <c r="F172" s="48"/>
      <c r="G172" s="48"/>
      <c r="H172" s="46"/>
      <c r="I172" s="40"/>
      <c r="J172" s="46"/>
      <c r="K172" s="49"/>
      <c r="L172" s="50"/>
    </row>
    <row r="173" ht="15" outlineLevel="1">
      <c r="A173" s="45">
        <v>10</v>
      </c>
      <c r="B173" s="57"/>
      <c r="C173" s="57"/>
      <c r="D173" s="57"/>
      <c r="E173" s="58"/>
      <c r="F173" s="59"/>
      <c r="G173" s="59"/>
      <c r="H173" s="57"/>
      <c r="I173" s="40"/>
      <c r="J173" s="57"/>
      <c r="K173" s="60"/>
      <c r="L173" s="61"/>
    </row>
    <row r="174" ht="15" outlineLevel="1">
      <c r="A174" s="77"/>
      <c r="B174" s="78" t="s">
        <v>26</v>
      </c>
      <c r="C174" s="79"/>
      <c r="D174" s="80"/>
      <c r="E174" s="81"/>
      <c r="F174" s="78"/>
      <c r="G174" s="78"/>
      <c r="H174" s="78"/>
      <c r="I174" s="78"/>
      <c r="J174" s="78"/>
      <c r="K174" s="78"/>
      <c r="L174" s="78"/>
    </row>
    <row r="175" outlineLevel="1">
      <c r="A175" s="62">
        <v>1</v>
      </c>
      <c r="B175" s="52"/>
      <c r="C175" s="52"/>
      <c r="D175" s="52"/>
      <c r="E175" s="53"/>
      <c r="F175" s="54"/>
      <c r="G175" s="54"/>
      <c r="H175" s="52"/>
      <c r="I175" s="40"/>
      <c r="J175" s="52"/>
      <c r="K175" s="55"/>
      <c r="L175" s="56"/>
    </row>
    <row r="176" outlineLevel="1">
      <c r="A176" s="39">
        <v>2</v>
      </c>
      <c r="B176" s="40"/>
      <c r="C176" s="40"/>
      <c r="D176" s="40"/>
      <c r="E176" s="41"/>
      <c r="F176" s="42"/>
      <c r="G176" s="42"/>
      <c r="H176" s="40"/>
      <c r="I176" s="40"/>
      <c r="J176" s="40"/>
      <c r="K176" s="43"/>
      <c r="L176" s="44"/>
    </row>
    <row r="177" outlineLevel="1">
      <c r="A177" s="39">
        <v>3</v>
      </c>
      <c r="B177" s="40"/>
      <c r="C177" s="40"/>
      <c r="D177" s="40"/>
      <c r="E177" s="41"/>
      <c r="F177" s="42"/>
      <c r="G177" s="42"/>
      <c r="H177" s="40"/>
      <c r="I177" s="40"/>
      <c r="J177" s="40"/>
      <c r="K177" s="43"/>
      <c r="L177" s="44"/>
    </row>
    <row r="178" outlineLevel="1">
      <c r="A178" s="45">
        <v>4</v>
      </c>
      <c r="B178" s="46"/>
      <c r="C178" s="46"/>
      <c r="D178" s="46"/>
      <c r="E178" s="47"/>
      <c r="F178" s="48"/>
      <c r="G178" s="48"/>
      <c r="H178" s="46"/>
      <c r="I178" s="40"/>
      <c r="J178" s="46"/>
      <c r="K178" s="49"/>
      <c r="L178" s="50"/>
    </row>
    <row r="179" ht="15" outlineLevel="1">
      <c r="A179" s="63">
        <v>5</v>
      </c>
      <c r="B179" s="57"/>
      <c r="C179" s="57"/>
      <c r="D179" s="57"/>
      <c r="E179" s="58"/>
      <c r="F179" s="59"/>
      <c r="G179" s="59"/>
      <c r="H179" s="57"/>
      <c r="I179" s="57"/>
      <c r="J179" s="57"/>
      <c r="K179" s="60"/>
      <c r="L179" s="61"/>
    </row>
    <row r="180" ht="23.100000000000001" customHeight="1">
      <c r="A180" s="82" t="s">
        <v>33</v>
      </c>
      <c r="B180" s="83"/>
      <c r="C180" s="83"/>
      <c r="D180" s="84"/>
      <c r="E180" s="85">
        <f>SUM(E132:E179)</f>
        <v>0</v>
      </c>
    </row>
    <row r="181" ht="23.100000000000001" customHeight="1">
      <c r="A181" s="82" t="s">
        <v>28</v>
      </c>
      <c r="B181" s="83"/>
      <c r="C181" s="83"/>
      <c r="D181" s="84"/>
      <c r="E181" s="85">
        <f>E124-E180</f>
        <v>708640.62</v>
      </c>
      <c r="F181" s="67"/>
      <c r="G181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21:D121"/>
    <mergeCell ref="A122:D122"/>
    <mergeCell ref="A124:D124"/>
    <mergeCell ref="A125:D125"/>
    <mergeCell ref="A126:D126"/>
    <mergeCell ref="A127:D127"/>
    <mergeCell ref="A128:D128"/>
    <mergeCell ref="A180:D180"/>
    <mergeCell ref="A181:D181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9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800A3-00C8-44D8-A99A-000000900091}" type="list" allowBlank="1" errorStyle="stop" imeMode="noControl" operator="between" showDropDown="0" showErrorMessage="1" showInputMessage="1">
          <x14:formula1>
            <xm:f>ДаНет</xm:f>
          </x14:formula1>
          <xm:sqref>I37:I56 I58:I75 I89:I90 I92:I103 J91 I106:I114 I116:I120 I132:I146 I148:I162 I164:I173 I175:I179 I16:I35 I76 I77 I78 I79 I80</xm:sqref>
        </x14:dataValidation>
        <x14:dataValidation xr:uid="{00C400C6-0024-455E-9F51-00D700900007}" type="list" allowBlank="1" errorStyle="stop" imeMode="noControl" operator="between" showDropDown="0" showErrorMessage="1" showInputMessage="1">
          <x14:formula1>
            <xm:f>ДаНет</xm:f>
          </x14:formula1>
          <xm:sqref>I105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8.1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'04'!C2+1</f>
        <v>46086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195532.13999999998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129274.05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19755.66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3366.8400000000001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1395.47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21017.09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4901.4300000000003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122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89">
        <v>2</v>
      </c>
      <c r="B17" s="155" t="s">
        <v>44</v>
      </c>
      <c r="C17" s="46" t="s">
        <v>45</v>
      </c>
      <c r="D17" s="46" t="s">
        <v>46</v>
      </c>
      <c r="E17" s="91">
        <v>26000000</v>
      </c>
      <c r="F17" s="48" t="s">
        <v>48</v>
      </c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124" t="s">
        <v>44</v>
      </c>
      <c r="C18" s="124" t="s">
        <v>150</v>
      </c>
      <c r="D18" s="124" t="s">
        <v>151</v>
      </c>
      <c r="E18" s="156">
        <v>4652500.6399999997</v>
      </c>
      <c r="F18" s="132" t="s">
        <v>48</v>
      </c>
      <c r="G18" s="48"/>
      <c r="H18" s="46"/>
      <c r="I18" s="40"/>
      <c r="J18" s="46"/>
      <c r="K18" s="49" t="s">
        <v>42</v>
      </c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 t="s">
        <v>268</v>
      </c>
      <c r="C74" s="52" t="s">
        <v>269</v>
      </c>
      <c r="D74" s="52" t="s">
        <v>270</v>
      </c>
      <c r="E74" s="128">
        <v>600</v>
      </c>
      <c r="F74" s="54" t="s">
        <v>271</v>
      </c>
      <c r="G74" s="54"/>
      <c r="H74" s="52"/>
      <c r="I74" s="40"/>
      <c r="J74" s="52"/>
      <c r="K74" s="55" t="s">
        <v>42</v>
      </c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89">
        <v>1</v>
      </c>
      <c r="B90" s="157" t="s">
        <v>155</v>
      </c>
      <c r="C90" s="158" t="s">
        <v>156</v>
      </c>
      <c r="D90" s="158" t="s">
        <v>157</v>
      </c>
      <c r="E90" s="159">
        <v>121336.10000000001</v>
      </c>
      <c r="F90" s="160" t="s">
        <v>272</v>
      </c>
      <c r="G90" s="161" t="s">
        <v>39</v>
      </c>
      <c r="H90" s="162" t="s">
        <v>40</v>
      </c>
      <c r="I90" s="40"/>
      <c r="J90" s="52"/>
      <c r="K90" s="55" t="s">
        <v>42</v>
      </c>
      <c r="L90" s="56"/>
    </row>
    <row r="91" ht="14.25" customHeight="1" outlineLevel="1">
      <c r="A91" s="89">
        <v>2</v>
      </c>
      <c r="B91" s="163" t="s">
        <v>155</v>
      </c>
      <c r="C91" s="164" t="s">
        <v>273</v>
      </c>
      <c r="D91" s="164" t="s">
        <v>274</v>
      </c>
      <c r="E91" s="165">
        <v>40684.599999999999</v>
      </c>
      <c r="F91" s="166" t="s">
        <v>272</v>
      </c>
      <c r="G91" s="167" t="s">
        <v>39</v>
      </c>
      <c r="H91" s="121" t="s">
        <v>40</v>
      </c>
      <c r="I91" s="40"/>
      <c r="J91" s="46"/>
      <c r="K91" s="49" t="s">
        <v>42</v>
      </c>
      <c r="L91" s="50"/>
    </row>
    <row r="92" ht="14.25" customHeight="1" outlineLevel="1">
      <c r="A92" s="45">
        <v>3</v>
      </c>
      <c r="B92" s="122" t="s">
        <v>155</v>
      </c>
      <c r="C92" s="122" t="s">
        <v>275</v>
      </c>
      <c r="D92" s="122" t="s">
        <v>157</v>
      </c>
      <c r="E92" s="168">
        <v>42204.360000000001</v>
      </c>
      <c r="F92" s="169" t="s">
        <v>272</v>
      </c>
      <c r="G92" s="169" t="s">
        <v>154</v>
      </c>
      <c r="H92" s="46" t="s">
        <v>40</v>
      </c>
      <c r="I92" s="40"/>
      <c r="J92" s="46"/>
      <c r="K92" s="49" t="s">
        <v>42</v>
      </c>
      <c r="L92" s="50"/>
    </row>
    <row r="93" ht="14.25" customHeight="1" outlineLevel="1">
      <c r="A93" s="89">
        <v>4</v>
      </c>
      <c r="B93" s="157" t="s">
        <v>155</v>
      </c>
      <c r="C93" s="158" t="s">
        <v>156</v>
      </c>
      <c r="D93" s="158" t="s">
        <v>157</v>
      </c>
      <c r="E93" s="159">
        <v>5000</v>
      </c>
      <c r="F93" s="160" t="s">
        <v>276</v>
      </c>
      <c r="G93" s="161" t="s">
        <v>39</v>
      </c>
      <c r="H93" s="121" t="s">
        <v>277</v>
      </c>
      <c r="I93" s="40"/>
      <c r="J93" s="46"/>
      <c r="K93" s="49" t="s">
        <v>42</v>
      </c>
      <c r="L93" s="50"/>
    </row>
    <row r="94" ht="14.25" customHeight="1" outlineLevel="1">
      <c r="A94" s="45">
        <v>5</v>
      </c>
      <c r="B94" s="40"/>
      <c r="C94" s="40"/>
      <c r="D94" s="40"/>
      <c r="E94" s="41"/>
      <c r="F94" s="42"/>
      <c r="G94" s="42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30862325.700000003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-30666793.560000002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708640.62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>
        <v>708640.62</v>
      </c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5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708640.62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40038-00F8-49EE-B9B2-005200F00016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-0.499984740745262"/>
    <outlinePr applyStyles="0" summaryBelow="1" summaryRight="1" showOutlineSymbols="1"/>
    <pageSetUpPr autoPageBreaks="1" fitToPage="0"/>
  </sheetPr>
  <sheetViews>
    <sheetView showGridLines="0" showRuler="1" topLeftCell="A125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'05'!C2+1</f>
        <v>46087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9549260.8399999999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9486369.5899999999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19755.66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0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1395.47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21017.09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4901.4300000000003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122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89">
        <v>2</v>
      </c>
      <c r="B17" s="155" t="s">
        <v>44</v>
      </c>
      <c r="C17" s="46" t="s">
        <v>45</v>
      </c>
      <c r="D17" s="46" t="s">
        <v>46</v>
      </c>
      <c r="E17" s="91">
        <v>26000000</v>
      </c>
      <c r="F17" s="48" t="s">
        <v>48</v>
      </c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 t="s">
        <v>72</v>
      </c>
      <c r="C58" s="52" t="s">
        <v>278</v>
      </c>
      <c r="D58" s="52" t="s">
        <v>279</v>
      </c>
      <c r="E58" s="114">
        <v>46000</v>
      </c>
      <c r="F58" s="54" t="s">
        <v>280</v>
      </c>
      <c r="G58" s="54" t="s">
        <v>154</v>
      </c>
      <c r="H58" s="170" t="s">
        <v>208</v>
      </c>
      <c r="I58" s="40"/>
      <c r="J58" s="52"/>
      <c r="K58" s="55" t="s">
        <v>42</v>
      </c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89">
        <v>1</v>
      </c>
      <c r="B90" s="157" t="s">
        <v>155</v>
      </c>
      <c r="C90" s="158" t="s">
        <v>156</v>
      </c>
      <c r="D90" s="158" t="s">
        <v>157</v>
      </c>
      <c r="E90" s="159">
        <v>132000</v>
      </c>
      <c r="F90" s="160" t="s">
        <v>281</v>
      </c>
      <c r="G90" s="161" t="s">
        <v>39</v>
      </c>
      <c r="H90" s="162" t="s">
        <v>40</v>
      </c>
      <c r="I90" s="40"/>
      <c r="J90" s="52"/>
      <c r="K90" s="55" t="s">
        <v>42</v>
      </c>
      <c r="L90" s="56"/>
    </row>
    <row r="91" ht="14.25" customHeight="1" outlineLevel="1">
      <c r="A91" s="89">
        <v>2</v>
      </c>
      <c r="B91" s="157" t="s">
        <v>155</v>
      </c>
      <c r="C91" s="158" t="s">
        <v>282</v>
      </c>
      <c r="D91" s="158" t="s">
        <v>274</v>
      </c>
      <c r="E91" s="159">
        <v>3000</v>
      </c>
      <c r="F91" s="160" t="s">
        <v>281</v>
      </c>
      <c r="G91" s="161" t="s">
        <v>39</v>
      </c>
      <c r="H91" s="121" t="s">
        <v>40</v>
      </c>
      <c r="I91" s="40"/>
      <c r="J91" s="46"/>
      <c r="K91" s="49" t="s">
        <v>42</v>
      </c>
      <c r="L91" s="50"/>
    </row>
    <row r="92" ht="14.25" customHeight="1" outlineLevel="1">
      <c r="A92" s="89">
        <v>3</v>
      </c>
      <c r="B92" s="157" t="s">
        <v>155</v>
      </c>
      <c r="C92" s="158" t="s">
        <v>283</v>
      </c>
      <c r="D92" s="158" t="s">
        <v>274</v>
      </c>
      <c r="E92" s="94">
        <v>3000</v>
      </c>
      <c r="F92" s="160" t="s">
        <v>281</v>
      </c>
      <c r="G92" s="161" t="s">
        <v>39</v>
      </c>
      <c r="H92" s="121" t="s">
        <v>40</v>
      </c>
      <c r="I92" s="40"/>
      <c r="J92" s="46"/>
      <c r="K92" s="49" t="s">
        <v>42</v>
      </c>
      <c r="L92" s="50"/>
    </row>
    <row r="93" ht="14.25" customHeight="1" outlineLevel="1">
      <c r="A93" s="45">
        <v>4</v>
      </c>
      <c r="B93" s="40"/>
      <c r="C93" s="40"/>
      <c r="D93" s="40"/>
      <c r="E93" s="47"/>
      <c r="F93" s="42"/>
      <c r="G93" s="42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171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46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26184000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-16634739.16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708640.62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>
        <v>708640.62</v>
      </c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5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ht="15" outlineLevel="1">
      <c r="A149" s="45">
        <v>1</v>
      </c>
      <c r="B149" s="172" t="s">
        <v>155</v>
      </c>
      <c r="C149" s="172" t="s">
        <v>275</v>
      </c>
      <c r="D149" s="172" t="s">
        <v>274</v>
      </c>
      <c r="E149" s="173">
        <v>2828</v>
      </c>
      <c r="F149" s="172" t="s">
        <v>284</v>
      </c>
      <c r="G149" s="54"/>
      <c r="H149" s="52"/>
      <c r="I149" s="40"/>
      <c r="J149" s="52"/>
      <c r="K149" s="55" t="s">
        <v>42</v>
      </c>
      <c r="L149" s="56"/>
    </row>
    <row r="150" ht="45" outlineLevel="1">
      <c r="A150" s="45">
        <v>2</v>
      </c>
      <c r="B150" s="172" t="s">
        <v>155</v>
      </c>
      <c r="C150" s="172" t="s">
        <v>143</v>
      </c>
      <c r="D150" s="172" t="s">
        <v>144</v>
      </c>
      <c r="E150" s="173">
        <f>422+8128</f>
        <v>8550</v>
      </c>
      <c r="F150" s="172" t="s">
        <v>285</v>
      </c>
      <c r="G150" s="48"/>
      <c r="H150" s="46"/>
      <c r="I150" s="40"/>
      <c r="J150" s="46"/>
      <c r="K150" s="49" t="s">
        <v>42</v>
      </c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11378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697262.62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DA0056-0064-4449-A751-00EF002D0042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'06'!C2+1</f>
        <v>46088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0</v>
      </c>
      <c r="F4" s="12"/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/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/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/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/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/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/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/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45">
        <v>2</v>
      </c>
      <c r="B17" s="46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/>
      <c r="C90" s="52"/>
      <c r="D90" s="52"/>
      <c r="E90" s="53"/>
      <c r="F90" s="54"/>
      <c r="G90" s="54"/>
      <c r="H90" s="52"/>
      <c r="I90" s="40"/>
      <c r="J90" s="52"/>
      <c r="K90" s="55"/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0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0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/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199999999999999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0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60064-0004-401F-A714-0061005700F4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'07'!C2+1</f>
        <v>46089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0</v>
      </c>
      <c r="F4" s="12"/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/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/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/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/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/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/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/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45">
        <v>2</v>
      </c>
      <c r="B17" s="46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/>
      <c r="C90" s="52"/>
      <c r="D90" s="52"/>
      <c r="E90" s="53"/>
      <c r="F90" s="54"/>
      <c r="G90" s="54"/>
      <c r="H90" s="52"/>
      <c r="I90" s="40"/>
      <c r="J90" s="52"/>
      <c r="K90" s="55"/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0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0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/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199999999999999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0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600B7-00C3-4E5F-AC66-00FD003B0095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'08'!C2+1</f>
        <v>46090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0</v>
      </c>
      <c r="F4" s="12"/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/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/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/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/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/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/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/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45">
        <v>2</v>
      </c>
      <c r="B17" s="46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/>
      <c r="C90" s="52"/>
      <c r="D90" s="52"/>
      <c r="E90" s="53"/>
      <c r="F90" s="54"/>
      <c r="G90" s="54"/>
      <c r="H90" s="52"/>
      <c r="I90" s="40"/>
      <c r="J90" s="52"/>
      <c r="K90" s="55"/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0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0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/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199999999999999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0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40056-00F0-4A02-BFB4-00B8000A00B4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A9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19.8515625"/>
    <col customWidth="1" min="4" max="4" style="1" width="29.28125"/>
    <col customWidth="1" min="5" max="5" style="1" width="20.140625"/>
    <col customWidth="1" min="6" max="6" style="1" width="57.0039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'09'!C2+1</f>
        <v>46091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980754.34999999998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917863.09999999998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19755.66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0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1395.47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21017.09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4901.4300000000003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32.25" customHeight="1" outlineLevel="1">
      <c r="A16" s="39">
        <v>1</v>
      </c>
      <c r="B16" s="122"/>
      <c r="C16" s="42"/>
      <c r="D16" s="40"/>
      <c r="E16" s="41"/>
      <c r="F16" s="42"/>
      <c r="G16" s="42"/>
      <c r="H16" s="40"/>
      <c r="I16" s="40" t="s">
        <v>41</v>
      </c>
      <c r="J16" s="40" t="s">
        <v>286</v>
      </c>
      <c r="K16" s="43"/>
      <c r="L16" s="44"/>
    </row>
    <row r="17" ht="14.25" customHeight="1" outlineLevel="1">
      <c r="A17" s="89">
        <v>2</v>
      </c>
      <c r="B17" s="155" t="s">
        <v>44</v>
      </c>
      <c r="C17" s="46" t="s">
        <v>45</v>
      </c>
      <c r="D17" s="46" t="s">
        <v>46</v>
      </c>
      <c r="E17" s="174" t="s">
        <v>47</v>
      </c>
      <c r="F17" s="48" t="s">
        <v>48</v>
      </c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124"/>
      <c r="C18" s="124"/>
      <c r="D18" s="124"/>
      <c r="E18" s="175"/>
      <c r="F18" s="132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176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177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177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177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177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177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177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177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177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177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177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177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177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177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177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178"/>
      <c r="B89" s="171" t="s">
        <v>25</v>
      </c>
      <c r="C89" s="179"/>
      <c r="D89" s="180"/>
      <c r="E89" s="181"/>
      <c r="F89" s="171"/>
      <c r="G89" s="171"/>
      <c r="H89" s="171"/>
      <c r="I89" s="171"/>
      <c r="J89" s="171"/>
      <c r="K89" s="34"/>
      <c r="L89" s="38"/>
    </row>
    <row r="90" ht="14.25" customHeight="1" outlineLevel="1">
      <c r="A90" s="182">
        <v>1</v>
      </c>
      <c r="B90" s="172" t="s">
        <v>155</v>
      </c>
      <c r="C90" s="172" t="s">
        <v>287</v>
      </c>
      <c r="D90" s="172" t="s">
        <v>274</v>
      </c>
      <c r="E90" s="173">
        <v>34804.919999999998</v>
      </c>
      <c r="F90" s="172" t="s">
        <v>284</v>
      </c>
      <c r="G90" s="172" t="s">
        <v>39</v>
      </c>
      <c r="H90" s="172" t="s">
        <v>288</v>
      </c>
      <c r="I90" s="172" t="s">
        <v>289</v>
      </c>
      <c r="J90" s="172" t="s">
        <v>289</v>
      </c>
      <c r="K90" s="183" t="s">
        <v>42</v>
      </c>
      <c r="L90" s="56"/>
    </row>
    <row r="91" ht="14.25" customHeight="1" outlineLevel="1">
      <c r="A91" s="89">
        <v>2</v>
      </c>
      <c r="B91" s="172" t="s">
        <v>155</v>
      </c>
      <c r="C91" s="172" t="s">
        <v>290</v>
      </c>
      <c r="D91" s="172" t="s">
        <v>274</v>
      </c>
      <c r="E91" s="173">
        <v>20325.73</v>
      </c>
      <c r="F91" s="172" t="s">
        <v>284</v>
      </c>
      <c r="G91" s="172" t="s">
        <v>39</v>
      </c>
      <c r="H91" s="172" t="s">
        <v>288</v>
      </c>
      <c r="I91" s="172" t="s">
        <v>289</v>
      </c>
      <c r="J91" s="172" t="s">
        <v>289</v>
      </c>
      <c r="K91" s="183" t="s">
        <v>42</v>
      </c>
      <c r="L91" s="50"/>
    </row>
    <row r="92" ht="14.25" customHeight="1" outlineLevel="1">
      <c r="A92" s="89">
        <v>3</v>
      </c>
      <c r="B92" s="172" t="s">
        <v>155</v>
      </c>
      <c r="C92" s="172" t="s">
        <v>291</v>
      </c>
      <c r="D92" s="172" t="s">
        <v>274</v>
      </c>
      <c r="E92" s="173">
        <v>37788.209999999999</v>
      </c>
      <c r="F92" s="172" t="s">
        <v>284</v>
      </c>
      <c r="G92" s="172" t="s">
        <v>39</v>
      </c>
      <c r="H92" s="172" t="s">
        <v>288</v>
      </c>
      <c r="I92" s="172" t="s">
        <v>289</v>
      </c>
      <c r="J92" s="172" t="s">
        <v>289</v>
      </c>
      <c r="K92" s="183" t="s">
        <v>42</v>
      </c>
      <c r="L92" s="50"/>
    </row>
    <row r="93" ht="14.25" customHeight="1" outlineLevel="1">
      <c r="A93" s="89">
        <v>4</v>
      </c>
      <c r="B93" s="172" t="s">
        <v>155</v>
      </c>
      <c r="C93" s="172" t="s">
        <v>292</v>
      </c>
      <c r="D93" s="172" t="s">
        <v>274</v>
      </c>
      <c r="E93" s="173">
        <v>25545.77</v>
      </c>
      <c r="F93" s="172" t="s">
        <v>284</v>
      </c>
      <c r="G93" s="172" t="s">
        <v>39</v>
      </c>
      <c r="H93" s="172" t="s">
        <v>288</v>
      </c>
      <c r="I93" s="172" t="s">
        <v>289</v>
      </c>
      <c r="J93" s="172" t="s">
        <v>289</v>
      </c>
      <c r="K93" s="183" t="s">
        <v>42</v>
      </c>
      <c r="L93" s="50"/>
    </row>
    <row r="94" ht="14.25" customHeight="1" outlineLevel="1">
      <c r="A94" s="89">
        <v>5</v>
      </c>
      <c r="B94" s="172" t="s">
        <v>155</v>
      </c>
      <c r="C94" s="172" t="s">
        <v>293</v>
      </c>
      <c r="D94" s="172" t="s">
        <v>274</v>
      </c>
      <c r="E94" s="173">
        <v>9782.75</v>
      </c>
      <c r="F94" s="172" t="s">
        <v>284</v>
      </c>
      <c r="G94" s="172" t="s">
        <v>39</v>
      </c>
      <c r="H94" s="172" t="s">
        <v>288</v>
      </c>
      <c r="I94" s="172" t="s">
        <v>289</v>
      </c>
      <c r="J94" s="172" t="s">
        <v>289</v>
      </c>
      <c r="K94" s="183" t="s">
        <v>42</v>
      </c>
      <c r="L94" s="50"/>
    </row>
    <row r="95" ht="14.25" customHeight="1" outlineLevel="1">
      <c r="A95" s="89">
        <v>6</v>
      </c>
      <c r="B95" s="172" t="s">
        <v>155</v>
      </c>
      <c r="C95" s="172" t="s">
        <v>294</v>
      </c>
      <c r="D95" s="172" t="s">
        <v>274</v>
      </c>
      <c r="E95" s="173">
        <v>218022.04000000001</v>
      </c>
      <c r="F95" s="172" t="s">
        <v>284</v>
      </c>
      <c r="G95" s="172" t="s">
        <v>39</v>
      </c>
      <c r="H95" s="172" t="s">
        <v>288</v>
      </c>
      <c r="I95" s="172" t="s">
        <v>289</v>
      </c>
      <c r="J95" s="172" t="s">
        <v>289</v>
      </c>
      <c r="K95" s="183" t="s">
        <v>42</v>
      </c>
      <c r="L95" s="50"/>
    </row>
    <row r="96" ht="14.25" customHeight="1" outlineLevel="1">
      <c r="A96" s="89">
        <v>7</v>
      </c>
      <c r="B96" s="172" t="s">
        <v>155</v>
      </c>
      <c r="C96" s="172" t="s">
        <v>295</v>
      </c>
      <c r="D96" s="172" t="s">
        <v>274</v>
      </c>
      <c r="E96" s="173">
        <v>119937.86</v>
      </c>
      <c r="F96" s="172" t="s">
        <v>284</v>
      </c>
      <c r="G96" s="172" t="s">
        <v>39</v>
      </c>
      <c r="H96" s="172" t="s">
        <v>288</v>
      </c>
      <c r="I96" s="172" t="s">
        <v>289</v>
      </c>
      <c r="J96" s="172" t="s">
        <v>289</v>
      </c>
      <c r="K96" s="183" t="s">
        <v>42</v>
      </c>
      <c r="L96" s="50"/>
    </row>
    <row r="97" ht="14.25" customHeight="1" outlineLevel="1">
      <c r="A97" s="89">
        <v>8</v>
      </c>
      <c r="B97" s="172" t="s">
        <v>155</v>
      </c>
      <c r="C97" s="172" t="s">
        <v>296</v>
      </c>
      <c r="D97" s="172" t="s">
        <v>274</v>
      </c>
      <c r="E97" s="173">
        <v>20737.029999999999</v>
      </c>
      <c r="F97" s="172" t="s">
        <v>284</v>
      </c>
      <c r="G97" s="172" t="s">
        <v>39</v>
      </c>
      <c r="H97" s="172" t="s">
        <v>288</v>
      </c>
      <c r="I97" s="172" t="s">
        <v>289</v>
      </c>
      <c r="J97" s="172" t="s">
        <v>289</v>
      </c>
      <c r="K97" s="183" t="s">
        <v>42</v>
      </c>
      <c r="L97" s="50"/>
    </row>
    <row r="98" ht="14.25" customHeight="1" outlineLevel="1">
      <c r="A98" s="89">
        <v>9</v>
      </c>
      <c r="B98" s="172" t="s">
        <v>155</v>
      </c>
      <c r="C98" s="172" t="s">
        <v>297</v>
      </c>
      <c r="D98" s="172" t="s">
        <v>274</v>
      </c>
      <c r="E98" s="173">
        <v>4484.7799999999997</v>
      </c>
      <c r="F98" s="172" t="s">
        <v>284</v>
      </c>
      <c r="G98" s="172" t="s">
        <v>39</v>
      </c>
      <c r="H98" s="172" t="s">
        <v>288</v>
      </c>
      <c r="I98" s="172" t="s">
        <v>289</v>
      </c>
      <c r="J98" s="172" t="s">
        <v>289</v>
      </c>
      <c r="K98" s="183" t="s">
        <v>42</v>
      </c>
      <c r="L98" s="50"/>
    </row>
    <row r="99" ht="14.25" customHeight="1" outlineLevel="1">
      <c r="A99" s="89">
        <v>10</v>
      </c>
      <c r="B99" s="172" t="s">
        <v>155</v>
      </c>
      <c r="C99" s="172" t="s">
        <v>298</v>
      </c>
      <c r="D99" s="172" t="s">
        <v>274</v>
      </c>
      <c r="E99" s="173">
        <v>208912.44</v>
      </c>
      <c r="F99" s="172" t="s">
        <v>284</v>
      </c>
      <c r="G99" s="172" t="s">
        <v>39</v>
      </c>
      <c r="H99" s="172" t="s">
        <v>288</v>
      </c>
      <c r="I99" s="172" t="s">
        <v>289</v>
      </c>
      <c r="J99" s="172" t="s">
        <v>299</v>
      </c>
      <c r="K99" s="183" t="s">
        <v>42</v>
      </c>
      <c r="L99" s="50"/>
    </row>
    <row r="100" ht="14.25" customHeight="1" outlineLevel="1">
      <c r="A100" s="89">
        <v>11</v>
      </c>
      <c r="B100" s="172" t="s">
        <v>155</v>
      </c>
      <c r="C100" s="172" t="s">
        <v>300</v>
      </c>
      <c r="D100" s="172" t="s">
        <v>274</v>
      </c>
      <c r="E100" s="173">
        <v>49043.360000000001</v>
      </c>
      <c r="F100" s="172" t="s">
        <v>284</v>
      </c>
      <c r="G100" s="172" t="s">
        <v>39</v>
      </c>
      <c r="H100" s="172" t="s">
        <v>288</v>
      </c>
      <c r="I100" s="172" t="s">
        <v>289</v>
      </c>
      <c r="J100" s="172" t="s">
        <v>301</v>
      </c>
      <c r="K100" s="183" t="s">
        <v>42</v>
      </c>
      <c r="L100" s="50"/>
    </row>
    <row r="101" ht="14.25" customHeight="1" outlineLevel="1">
      <c r="A101" s="89">
        <v>12</v>
      </c>
      <c r="B101" s="172" t="s">
        <v>155</v>
      </c>
      <c r="C101" s="172" t="s">
        <v>302</v>
      </c>
      <c r="D101" s="172" t="s">
        <v>274</v>
      </c>
      <c r="E101" s="173">
        <v>11417.959999999999</v>
      </c>
      <c r="F101" s="172" t="s">
        <v>284</v>
      </c>
      <c r="G101" s="172" t="s">
        <v>39</v>
      </c>
      <c r="H101" s="172" t="s">
        <v>288</v>
      </c>
      <c r="I101" s="172"/>
      <c r="J101" s="172"/>
      <c r="K101" s="183" t="s">
        <v>42</v>
      </c>
      <c r="L101" s="50"/>
    </row>
    <row r="102" ht="14.25" customHeight="1" outlineLevel="1">
      <c r="A102" s="89">
        <v>13</v>
      </c>
      <c r="B102" s="172" t="s">
        <v>155</v>
      </c>
      <c r="C102" s="172" t="s">
        <v>156</v>
      </c>
      <c r="D102" s="172" t="s">
        <v>157</v>
      </c>
      <c r="E102" s="173">
        <v>6587484.3799999999</v>
      </c>
      <c r="F102" s="172" t="s">
        <v>284</v>
      </c>
      <c r="G102" s="172" t="s">
        <v>39</v>
      </c>
      <c r="H102" s="172" t="s">
        <v>288</v>
      </c>
      <c r="I102" s="172" t="s">
        <v>289</v>
      </c>
      <c r="J102" s="172" t="s">
        <v>289</v>
      </c>
      <c r="K102" s="183" t="s">
        <v>42</v>
      </c>
      <c r="L102" s="50"/>
    </row>
    <row r="103" ht="14.25" customHeight="1" outlineLevel="1">
      <c r="A103" s="89">
        <v>14</v>
      </c>
      <c r="B103" s="172" t="s">
        <v>155</v>
      </c>
      <c r="C103" s="172" t="s">
        <v>303</v>
      </c>
      <c r="D103" s="172" t="s">
        <v>274</v>
      </c>
      <c r="E103" s="173">
        <v>19207.439999999999</v>
      </c>
      <c r="F103" s="172" t="s">
        <v>284</v>
      </c>
      <c r="G103" s="172" t="s">
        <v>39</v>
      </c>
      <c r="H103" s="172" t="s">
        <v>288</v>
      </c>
      <c r="I103" s="172" t="s">
        <v>289</v>
      </c>
      <c r="J103" s="172" t="s">
        <v>289</v>
      </c>
      <c r="K103" s="183" t="s">
        <v>42</v>
      </c>
      <c r="L103" s="50"/>
    </row>
    <row r="104" ht="37.5" customHeight="1" outlineLevel="1">
      <c r="A104" s="184">
        <v>15</v>
      </c>
      <c r="B104" s="172" t="s">
        <v>155</v>
      </c>
      <c r="C104" s="172" t="s">
        <v>304</v>
      </c>
      <c r="D104" s="172" t="s">
        <v>157</v>
      </c>
      <c r="E104" s="185">
        <v>2610</v>
      </c>
      <c r="F104" s="172" t="s">
        <v>305</v>
      </c>
      <c r="G104" s="172" t="s">
        <v>39</v>
      </c>
      <c r="H104" s="172" t="s">
        <v>288</v>
      </c>
      <c r="I104" s="172" t="s">
        <v>289</v>
      </c>
      <c r="J104" s="172" t="s">
        <v>289</v>
      </c>
      <c r="K104" s="183" t="s">
        <v>42</v>
      </c>
      <c r="L104" s="50"/>
    </row>
    <row r="105" ht="14.25" customHeight="1" outlineLevel="1">
      <c r="A105" s="101">
        <v>16</v>
      </c>
      <c r="B105" s="172" t="s">
        <v>155</v>
      </c>
      <c r="C105" s="172" t="s">
        <v>306</v>
      </c>
      <c r="D105" s="172" t="s">
        <v>274</v>
      </c>
      <c r="E105" s="185">
        <v>435</v>
      </c>
      <c r="F105" s="172" t="s">
        <v>307</v>
      </c>
      <c r="G105" s="172" t="s">
        <v>39</v>
      </c>
      <c r="H105" s="172" t="s">
        <v>288</v>
      </c>
      <c r="I105" s="172" t="s">
        <v>289</v>
      </c>
      <c r="J105" s="172" t="s">
        <v>289</v>
      </c>
      <c r="K105" s="183" t="s">
        <v>42</v>
      </c>
      <c r="L105" s="50"/>
    </row>
    <row r="106" ht="14.25" customHeight="1" outlineLevel="1">
      <c r="A106" s="101">
        <v>17</v>
      </c>
      <c r="B106" s="172" t="s">
        <v>155</v>
      </c>
      <c r="C106" s="172" t="s">
        <v>308</v>
      </c>
      <c r="D106" s="172" t="s">
        <v>309</v>
      </c>
      <c r="E106" s="185">
        <v>72.5</v>
      </c>
      <c r="F106" s="172" t="s">
        <v>310</v>
      </c>
      <c r="G106" s="172" t="s">
        <v>39</v>
      </c>
      <c r="H106" s="186" t="s">
        <v>288</v>
      </c>
      <c r="I106" s="172" t="s">
        <v>289</v>
      </c>
      <c r="J106" s="172" t="s">
        <v>289</v>
      </c>
      <c r="K106" s="183" t="s">
        <v>42</v>
      </c>
      <c r="L106" s="50"/>
    </row>
    <row r="107" ht="14.25" customHeight="1" outlineLevel="1">
      <c r="A107" s="101">
        <v>18</v>
      </c>
      <c r="B107" s="172" t="s">
        <v>155</v>
      </c>
      <c r="C107" s="172" t="s">
        <v>308</v>
      </c>
      <c r="D107" s="172" t="s">
        <v>309</v>
      </c>
      <c r="E107" s="185">
        <v>72.5</v>
      </c>
      <c r="F107" s="172" t="s">
        <v>310</v>
      </c>
      <c r="G107" s="172" t="s">
        <v>39</v>
      </c>
      <c r="H107" s="172" t="s">
        <v>288</v>
      </c>
      <c r="I107" s="172" t="s">
        <v>289</v>
      </c>
      <c r="J107" s="172" t="s">
        <v>289</v>
      </c>
      <c r="K107" s="183" t="s">
        <v>42</v>
      </c>
      <c r="L107" s="50"/>
    </row>
    <row r="108" ht="14.25" customHeight="1" outlineLevel="1">
      <c r="A108" s="101">
        <v>19</v>
      </c>
      <c r="B108" s="172" t="s">
        <v>155</v>
      </c>
      <c r="C108" s="172" t="s">
        <v>311</v>
      </c>
      <c r="D108" s="172" t="s">
        <v>309</v>
      </c>
      <c r="E108" s="185">
        <v>72.5</v>
      </c>
      <c r="F108" s="172" t="s">
        <v>310</v>
      </c>
      <c r="G108" s="172" t="s">
        <v>39</v>
      </c>
      <c r="H108" s="172" t="s">
        <v>288</v>
      </c>
      <c r="I108" s="172" t="s">
        <v>289</v>
      </c>
      <c r="J108" s="172" t="s">
        <v>289</v>
      </c>
      <c r="K108" s="183" t="s">
        <v>42</v>
      </c>
      <c r="L108" s="50"/>
    </row>
    <row r="109" ht="14.25" customHeight="1" outlineLevel="1">
      <c r="A109" s="101">
        <v>20</v>
      </c>
      <c r="B109" s="172" t="s">
        <v>155</v>
      </c>
      <c r="C109" s="172" t="s">
        <v>311</v>
      </c>
      <c r="D109" s="172" t="s">
        <v>309</v>
      </c>
      <c r="E109" s="185">
        <v>72.5</v>
      </c>
      <c r="F109" s="172" t="s">
        <v>310</v>
      </c>
      <c r="G109" s="172" t="s">
        <v>39</v>
      </c>
      <c r="H109" s="172" t="s">
        <v>288</v>
      </c>
      <c r="I109" s="172" t="s">
        <v>289</v>
      </c>
      <c r="J109" s="172" t="s">
        <v>289</v>
      </c>
      <c r="K109" s="183" t="s">
        <v>42</v>
      </c>
      <c r="L109" s="50"/>
    </row>
    <row r="110" ht="14.25" customHeight="1" outlineLevel="1">
      <c r="A110" s="101">
        <v>21</v>
      </c>
      <c r="B110" s="172" t="s">
        <v>155</v>
      </c>
      <c r="C110" s="172" t="s">
        <v>308</v>
      </c>
      <c r="D110" s="172" t="s">
        <v>309</v>
      </c>
      <c r="E110" s="185">
        <v>72.5</v>
      </c>
      <c r="F110" s="172" t="s">
        <v>310</v>
      </c>
      <c r="G110" s="172" t="s">
        <v>39</v>
      </c>
      <c r="H110" s="172" t="s">
        <v>288</v>
      </c>
      <c r="I110" s="172" t="s">
        <v>289</v>
      </c>
      <c r="J110" s="172" t="s">
        <v>289</v>
      </c>
      <c r="K110" s="183" t="s">
        <v>42</v>
      </c>
      <c r="L110" s="50"/>
    </row>
    <row r="111" ht="14.25" customHeight="1" outlineLevel="1">
      <c r="A111" s="101">
        <v>22</v>
      </c>
      <c r="B111" s="172" t="s">
        <v>155</v>
      </c>
      <c r="C111" s="172" t="s">
        <v>308</v>
      </c>
      <c r="D111" s="172" t="s">
        <v>309</v>
      </c>
      <c r="E111" s="185">
        <v>72.5</v>
      </c>
      <c r="F111" s="172" t="s">
        <v>310</v>
      </c>
      <c r="G111" s="172" t="s">
        <v>39</v>
      </c>
      <c r="H111" s="172" t="s">
        <v>288</v>
      </c>
      <c r="I111" s="172" t="s">
        <v>289</v>
      </c>
      <c r="J111" s="172" t="s">
        <v>289</v>
      </c>
      <c r="K111" s="183" t="s">
        <v>42</v>
      </c>
      <c r="L111" s="50"/>
    </row>
    <row r="112" ht="30.75" customHeight="1" outlineLevel="1">
      <c r="A112" s="101">
        <v>23</v>
      </c>
      <c r="B112" s="172" t="s">
        <v>155</v>
      </c>
      <c r="C112" s="172" t="s">
        <v>312</v>
      </c>
      <c r="D112" s="172" t="s">
        <v>309</v>
      </c>
      <c r="E112" s="173">
        <v>24530.27</v>
      </c>
      <c r="F112" s="172" t="s">
        <v>313</v>
      </c>
      <c r="G112" s="172" t="s">
        <v>39</v>
      </c>
      <c r="H112" s="172" t="s">
        <v>288</v>
      </c>
      <c r="I112" s="172" t="s">
        <v>289</v>
      </c>
      <c r="J112" s="172" t="s">
        <v>289</v>
      </c>
      <c r="K112" s="183" t="s">
        <v>42</v>
      </c>
      <c r="L112" s="50"/>
    </row>
    <row r="113" ht="14.25" customHeight="1" outlineLevel="1">
      <c r="A113" s="101">
        <v>24</v>
      </c>
      <c r="B113" s="172" t="s">
        <v>155</v>
      </c>
      <c r="C113" s="172" t="s">
        <v>314</v>
      </c>
      <c r="D113" s="172" t="s">
        <v>309</v>
      </c>
      <c r="E113" s="173">
        <v>17544.169999999998</v>
      </c>
      <c r="F113" s="172" t="s">
        <v>315</v>
      </c>
      <c r="G113" s="172" t="s">
        <v>39</v>
      </c>
      <c r="H113" s="172" t="s">
        <v>288</v>
      </c>
      <c r="I113" s="172" t="s">
        <v>289</v>
      </c>
      <c r="J113" s="172" t="s">
        <v>289</v>
      </c>
      <c r="K113" s="183" t="s">
        <v>42</v>
      </c>
      <c r="L113" s="50"/>
    </row>
    <row r="114" ht="14.25" customHeight="1" outlineLevel="1">
      <c r="A114" s="101">
        <v>25</v>
      </c>
      <c r="B114" s="172" t="s">
        <v>155</v>
      </c>
      <c r="C114" s="172" t="s">
        <v>316</v>
      </c>
      <c r="D114" s="172" t="s">
        <v>309</v>
      </c>
      <c r="E114" s="173">
        <v>13402.99</v>
      </c>
      <c r="F114" s="172" t="s">
        <v>317</v>
      </c>
      <c r="G114" s="172" t="s">
        <v>39</v>
      </c>
      <c r="H114" s="172" t="s">
        <v>288</v>
      </c>
      <c r="I114" s="172" t="s">
        <v>289</v>
      </c>
      <c r="J114" s="172" t="s">
        <v>289</v>
      </c>
      <c r="K114" s="183" t="s">
        <v>42</v>
      </c>
      <c r="L114" s="50"/>
    </row>
    <row r="115" ht="14.25" customHeight="1" outlineLevel="1">
      <c r="A115" s="101">
        <v>26</v>
      </c>
      <c r="B115" s="172" t="s">
        <v>155</v>
      </c>
      <c r="C115" s="172" t="s">
        <v>318</v>
      </c>
      <c r="D115" s="172" t="s">
        <v>309</v>
      </c>
      <c r="E115" s="173">
        <v>11917.309999999999</v>
      </c>
      <c r="F115" s="172" t="s">
        <v>319</v>
      </c>
      <c r="G115" s="172" t="s">
        <v>39</v>
      </c>
      <c r="H115" s="172" t="s">
        <v>288</v>
      </c>
      <c r="I115" s="172" t="s">
        <v>289</v>
      </c>
      <c r="J115" s="172" t="s">
        <v>289</v>
      </c>
      <c r="K115" s="183" t="s">
        <v>42</v>
      </c>
      <c r="L115" s="50"/>
    </row>
    <row r="116" ht="14.25" customHeight="1" outlineLevel="1">
      <c r="A116" s="101">
        <v>27</v>
      </c>
      <c r="B116" s="172" t="s">
        <v>155</v>
      </c>
      <c r="C116" s="172" t="s">
        <v>320</v>
      </c>
      <c r="D116" s="172" t="s">
        <v>309</v>
      </c>
      <c r="E116" s="173">
        <v>35541.110000000001</v>
      </c>
      <c r="F116" s="172" t="s">
        <v>321</v>
      </c>
      <c r="G116" s="172" t="s">
        <v>39</v>
      </c>
      <c r="H116" s="172" t="s">
        <v>288</v>
      </c>
      <c r="I116" s="172" t="s">
        <v>289</v>
      </c>
      <c r="J116" s="172" t="s">
        <v>289</v>
      </c>
      <c r="K116" s="183" t="s">
        <v>42</v>
      </c>
      <c r="L116" s="50"/>
    </row>
    <row r="117" ht="39" customHeight="1" outlineLevel="1">
      <c r="A117" s="101">
        <v>28</v>
      </c>
      <c r="B117" s="172" t="s">
        <v>155</v>
      </c>
      <c r="C117" s="172" t="s">
        <v>322</v>
      </c>
      <c r="D117" s="172" t="s">
        <v>309</v>
      </c>
      <c r="E117" s="173">
        <v>5229.8900000000003</v>
      </c>
      <c r="F117" s="172" t="s">
        <v>323</v>
      </c>
      <c r="G117" s="172" t="s">
        <v>39</v>
      </c>
      <c r="H117" s="172" t="s">
        <v>288</v>
      </c>
      <c r="I117" s="172" t="s">
        <v>289</v>
      </c>
      <c r="J117" s="172" t="s">
        <v>289</v>
      </c>
      <c r="K117" s="183" t="s">
        <v>42</v>
      </c>
      <c r="L117" s="50"/>
    </row>
    <row r="118" ht="54" customHeight="1" outlineLevel="1">
      <c r="A118" s="101">
        <v>29</v>
      </c>
      <c r="B118" s="172" t="s">
        <v>155</v>
      </c>
      <c r="C118" s="172" t="s">
        <v>324</v>
      </c>
      <c r="D118" s="172" t="s">
        <v>325</v>
      </c>
      <c r="E118" s="173">
        <v>19774.959999999999</v>
      </c>
      <c r="F118" s="172" t="s">
        <v>323</v>
      </c>
      <c r="G118" s="172" t="s">
        <v>39</v>
      </c>
      <c r="H118" s="172" t="s">
        <v>288</v>
      </c>
      <c r="I118" s="172" t="s">
        <v>289</v>
      </c>
      <c r="J118" s="172" t="s">
        <v>289</v>
      </c>
      <c r="K118" s="183" t="s">
        <v>42</v>
      </c>
      <c r="L118" s="50"/>
    </row>
    <row r="119" ht="14.25" customHeight="1" outlineLevel="1">
      <c r="A119" s="101">
        <v>30</v>
      </c>
      <c r="B119" s="172" t="s">
        <v>155</v>
      </c>
      <c r="C119" s="172" t="s">
        <v>322</v>
      </c>
      <c r="D119" s="172" t="s">
        <v>326</v>
      </c>
      <c r="E119" s="173">
        <v>25812.580000000002</v>
      </c>
      <c r="F119" s="172" t="s">
        <v>327</v>
      </c>
      <c r="G119" s="172" t="s">
        <v>39</v>
      </c>
      <c r="H119" s="172" t="s">
        <v>288</v>
      </c>
      <c r="I119" s="172" t="s">
        <v>289</v>
      </c>
      <c r="J119" s="172" t="s">
        <v>289</v>
      </c>
      <c r="K119" s="183" t="s">
        <v>42</v>
      </c>
      <c r="L119" s="50"/>
    </row>
    <row r="120" ht="14.25" customHeight="1" outlineLevel="1">
      <c r="A120" s="101">
        <v>31</v>
      </c>
      <c r="B120" s="172" t="s">
        <v>155</v>
      </c>
      <c r="C120" s="172" t="s">
        <v>308</v>
      </c>
      <c r="D120" s="172" t="s">
        <v>309</v>
      </c>
      <c r="E120" s="173">
        <v>36176.290000000001</v>
      </c>
      <c r="F120" s="172" t="s">
        <v>328</v>
      </c>
      <c r="G120" s="172" t="s">
        <v>39</v>
      </c>
      <c r="H120" s="172" t="s">
        <v>288</v>
      </c>
      <c r="I120" s="172" t="s">
        <v>289</v>
      </c>
      <c r="J120" s="172" t="s">
        <v>289</v>
      </c>
      <c r="K120" s="183" t="s">
        <v>42</v>
      </c>
      <c r="L120" s="50"/>
    </row>
    <row r="121" ht="14.25" customHeight="1" outlineLevel="1">
      <c r="A121" s="101">
        <v>32</v>
      </c>
      <c r="B121" s="172" t="s">
        <v>155</v>
      </c>
      <c r="C121" s="172" t="s">
        <v>322</v>
      </c>
      <c r="D121" s="172" t="s">
        <v>309</v>
      </c>
      <c r="E121" s="173">
        <v>13162.02</v>
      </c>
      <c r="F121" s="172" t="s">
        <v>329</v>
      </c>
      <c r="G121" s="172" t="s">
        <v>39</v>
      </c>
      <c r="H121" s="172" t="s">
        <v>288</v>
      </c>
      <c r="I121" s="172" t="s">
        <v>289</v>
      </c>
      <c r="J121" s="172" t="s">
        <v>289</v>
      </c>
      <c r="K121" s="183" t="s">
        <v>42</v>
      </c>
      <c r="L121" s="50"/>
    </row>
    <row r="122" ht="14.25" customHeight="1" outlineLevel="1">
      <c r="A122" s="101">
        <v>33</v>
      </c>
      <c r="B122" s="172" t="s">
        <v>155</v>
      </c>
      <c r="C122" s="172" t="s">
        <v>330</v>
      </c>
      <c r="D122" s="172" t="s">
        <v>309</v>
      </c>
      <c r="E122" s="173">
        <v>13113.940000000001</v>
      </c>
      <c r="F122" s="172" t="s">
        <v>331</v>
      </c>
      <c r="G122" s="172" t="s">
        <v>39</v>
      </c>
      <c r="H122" s="172" t="s">
        <v>288</v>
      </c>
      <c r="I122" s="172" t="s">
        <v>289</v>
      </c>
      <c r="J122" s="172" t="s">
        <v>289</v>
      </c>
      <c r="K122" s="183" t="s">
        <v>42</v>
      </c>
      <c r="L122" s="50"/>
    </row>
    <row r="123" ht="14.25" customHeight="1" outlineLevel="1">
      <c r="A123" s="101">
        <v>34</v>
      </c>
      <c r="B123" s="172" t="s">
        <v>155</v>
      </c>
      <c r="C123" s="172" t="s">
        <v>332</v>
      </c>
      <c r="D123" s="172" t="s">
        <v>309</v>
      </c>
      <c r="E123" s="173">
        <v>42232.089999999997</v>
      </c>
      <c r="F123" s="172" t="s">
        <v>333</v>
      </c>
      <c r="G123" s="172" t="s">
        <v>39</v>
      </c>
      <c r="H123" s="172" t="s">
        <v>288</v>
      </c>
      <c r="I123" s="172" t="s">
        <v>289</v>
      </c>
      <c r="J123" s="172" t="s">
        <v>289</v>
      </c>
      <c r="K123" s="183" t="s">
        <v>42</v>
      </c>
      <c r="L123" s="50"/>
    </row>
    <row r="124" ht="14.25" customHeight="1" outlineLevel="1">
      <c r="A124" s="101">
        <v>35</v>
      </c>
      <c r="B124" s="172" t="s">
        <v>155</v>
      </c>
      <c r="C124" s="172" t="s">
        <v>334</v>
      </c>
      <c r="D124" s="172" t="s">
        <v>309</v>
      </c>
      <c r="E124" s="173">
        <v>11760.639999999999</v>
      </c>
      <c r="F124" s="172" t="s">
        <v>335</v>
      </c>
      <c r="G124" s="172" t="s">
        <v>39</v>
      </c>
      <c r="H124" s="172" t="s">
        <v>288</v>
      </c>
      <c r="I124" s="172" t="s">
        <v>289</v>
      </c>
      <c r="J124" s="172" t="s">
        <v>289</v>
      </c>
      <c r="K124" s="183" t="s">
        <v>42</v>
      </c>
      <c r="L124" s="50"/>
    </row>
    <row r="125" ht="14.25" customHeight="1" outlineLevel="1">
      <c r="A125" s="101">
        <v>36</v>
      </c>
      <c r="B125" s="172" t="s">
        <v>155</v>
      </c>
      <c r="C125" s="172" t="s">
        <v>308</v>
      </c>
      <c r="D125" s="172" t="s">
        <v>309</v>
      </c>
      <c r="E125" s="173">
        <v>15813.82</v>
      </c>
      <c r="F125" s="172" t="s">
        <v>336</v>
      </c>
      <c r="G125" s="172" t="s">
        <v>39</v>
      </c>
      <c r="H125" s="172" t="s">
        <v>288</v>
      </c>
      <c r="I125" s="172" t="s">
        <v>289</v>
      </c>
      <c r="J125" s="172" t="s">
        <v>289</v>
      </c>
      <c r="K125" s="183" t="s">
        <v>42</v>
      </c>
      <c r="L125" s="50"/>
    </row>
    <row r="126" ht="14.25" customHeight="1" outlineLevel="1">
      <c r="A126" s="101">
        <v>37</v>
      </c>
      <c r="B126" s="172" t="s">
        <v>155</v>
      </c>
      <c r="C126" s="172" t="s">
        <v>337</v>
      </c>
      <c r="D126" s="172" t="s">
        <v>325</v>
      </c>
      <c r="E126" s="173">
        <v>15813.82</v>
      </c>
      <c r="F126" s="172" t="s">
        <v>336</v>
      </c>
      <c r="G126" s="172" t="s">
        <v>39</v>
      </c>
      <c r="H126" s="172" t="s">
        <v>288</v>
      </c>
      <c r="I126" s="172" t="s">
        <v>289</v>
      </c>
      <c r="J126" s="172" t="s">
        <v>289</v>
      </c>
      <c r="K126" s="183" t="s">
        <v>42</v>
      </c>
      <c r="L126" s="50"/>
    </row>
    <row r="127" ht="14.25" customHeight="1" outlineLevel="1">
      <c r="A127" s="101">
        <v>38</v>
      </c>
      <c r="B127" s="172" t="s">
        <v>155</v>
      </c>
      <c r="C127" s="172" t="s">
        <v>308</v>
      </c>
      <c r="D127" s="172" t="s">
        <v>309</v>
      </c>
      <c r="E127" s="173">
        <v>1222.8499999999999</v>
      </c>
      <c r="F127" s="172" t="s">
        <v>338</v>
      </c>
      <c r="G127" s="172" t="s">
        <v>39</v>
      </c>
      <c r="H127" s="172" t="s">
        <v>288</v>
      </c>
      <c r="I127" s="172" t="s">
        <v>289</v>
      </c>
      <c r="J127" s="172" t="s">
        <v>289</v>
      </c>
      <c r="K127" s="183" t="s">
        <v>42</v>
      </c>
      <c r="L127" s="50"/>
    </row>
    <row r="128" ht="14.25" customHeight="1" outlineLevel="1">
      <c r="A128" s="101">
        <v>39</v>
      </c>
      <c r="B128" s="172" t="s">
        <v>155</v>
      </c>
      <c r="C128" s="172" t="s">
        <v>308</v>
      </c>
      <c r="D128" s="172" t="s">
        <v>309</v>
      </c>
      <c r="E128" s="173">
        <v>1222.8499999999999</v>
      </c>
      <c r="F128" s="172" t="s">
        <v>338</v>
      </c>
      <c r="G128" s="172" t="s">
        <v>39</v>
      </c>
      <c r="H128" s="172" t="s">
        <v>288</v>
      </c>
      <c r="I128" s="172" t="s">
        <v>289</v>
      </c>
      <c r="J128" s="172" t="s">
        <v>289</v>
      </c>
      <c r="K128" s="183" t="s">
        <v>42</v>
      </c>
      <c r="L128" s="50"/>
    </row>
    <row r="129" ht="14.25" customHeight="1" outlineLevel="1">
      <c r="A129" s="101">
        <v>40</v>
      </c>
      <c r="B129" s="172" t="s">
        <v>155</v>
      </c>
      <c r="C129" s="172" t="s">
        <v>308</v>
      </c>
      <c r="D129" s="172" t="s">
        <v>309</v>
      </c>
      <c r="E129" s="173">
        <v>1222.8499999999999</v>
      </c>
      <c r="F129" s="172" t="s">
        <v>338</v>
      </c>
      <c r="G129" s="172" t="s">
        <v>39</v>
      </c>
      <c r="H129" s="172" t="s">
        <v>288</v>
      </c>
      <c r="I129" s="172" t="s">
        <v>289</v>
      </c>
      <c r="J129" s="172" t="s">
        <v>289</v>
      </c>
      <c r="K129" s="183" t="s">
        <v>42</v>
      </c>
      <c r="L129" s="50"/>
    </row>
    <row r="130" ht="14.25" customHeight="1" outlineLevel="1">
      <c r="A130" s="101">
        <v>41</v>
      </c>
      <c r="B130" s="172" t="s">
        <v>155</v>
      </c>
      <c r="C130" s="172" t="s">
        <v>308</v>
      </c>
      <c r="D130" s="172" t="s">
        <v>309</v>
      </c>
      <c r="E130" s="173">
        <v>1222.8499999999999</v>
      </c>
      <c r="F130" s="172" t="s">
        <v>338</v>
      </c>
      <c r="G130" s="172" t="s">
        <v>39</v>
      </c>
      <c r="H130" s="172" t="s">
        <v>288</v>
      </c>
      <c r="I130" s="172" t="s">
        <v>289</v>
      </c>
      <c r="J130" s="172" t="s">
        <v>289</v>
      </c>
      <c r="K130" s="183" t="s">
        <v>42</v>
      </c>
      <c r="L130" s="50"/>
    </row>
    <row r="131" ht="14.25" customHeight="1" outlineLevel="1">
      <c r="A131" s="101">
        <v>42</v>
      </c>
      <c r="B131" s="172" t="s">
        <v>155</v>
      </c>
      <c r="C131" s="172" t="s">
        <v>308</v>
      </c>
      <c r="D131" s="172" t="s">
        <v>309</v>
      </c>
      <c r="E131" s="173">
        <v>1222.8499999999999</v>
      </c>
      <c r="F131" s="172" t="s">
        <v>338</v>
      </c>
      <c r="G131" s="172" t="s">
        <v>39</v>
      </c>
      <c r="H131" s="172" t="s">
        <v>288</v>
      </c>
      <c r="I131" s="172" t="s">
        <v>289</v>
      </c>
      <c r="J131" s="172" t="s">
        <v>289</v>
      </c>
      <c r="K131" s="183" t="s">
        <v>42</v>
      </c>
      <c r="L131" s="50"/>
    </row>
    <row r="132" ht="14.25" customHeight="1" outlineLevel="1">
      <c r="A132" s="101">
        <v>43</v>
      </c>
      <c r="B132" s="172" t="s">
        <v>155</v>
      </c>
      <c r="C132" s="172" t="s">
        <v>308</v>
      </c>
      <c r="D132" s="172" t="s">
        <v>309</v>
      </c>
      <c r="E132" s="173">
        <v>1222.8499999999999</v>
      </c>
      <c r="F132" s="172" t="s">
        <v>338</v>
      </c>
      <c r="G132" s="172" t="s">
        <v>39</v>
      </c>
      <c r="H132" s="172" t="s">
        <v>288</v>
      </c>
      <c r="I132" s="172" t="s">
        <v>289</v>
      </c>
      <c r="J132" s="172" t="s">
        <v>289</v>
      </c>
      <c r="K132" s="183" t="s">
        <v>42</v>
      </c>
      <c r="L132" s="50"/>
    </row>
    <row r="133" ht="14.25" customHeight="1" outlineLevel="1">
      <c r="A133" s="101">
        <v>44</v>
      </c>
      <c r="B133" s="172" t="s">
        <v>155</v>
      </c>
      <c r="C133" s="172" t="s">
        <v>308</v>
      </c>
      <c r="D133" s="172" t="s">
        <v>309</v>
      </c>
      <c r="E133" s="173">
        <v>1222.8499999999999</v>
      </c>
      <c r="F133" s="172" t="s">
        <v>338</v>
      </c>
      <c r="G133" s="172" t="s">
        <v>39</v>
      </c>
      <c r="H133" s="172" t="s">
        <v>288</v>
      </c>
      <c r="I133" s="172" t="s">
        <v>289</v>
      </c>
      <c r="J133" s="172" t="s">
        <v>289</v>
      </c>
      <c r="K133" s="183" t="s">
        <v>42</v>
      </c>
      <c r="L133" s="50"/>
    </row>
    <row r="134" ht="14.25" customHeight="1" outlineLevel="1">
      <c r="A134" s="101">
        <v>45</v>
      </c>
      <c r="B134" s="172" t="s">
        <v>155</v>
      </c>
      <c r="C134" s="172" t="s">
        <v>308</v>
      </c>
      <c r="D134" s="172" t="s">
        <v>309</v>
      </c>
      <c r="E134" s="173">
        <v>1222.8499999999999</v>
      </c>
      <c r="F134" s="172" t="s">
        <v>338</v>
      </c>
      <c r="G134" s="172" t="s">
        <v>39</v>
      </c>
      <c r="H134" s="172" t="s">
        <v>288</v>
      </c>
      <c r="I134" s="172" t="s">
        <v>289</v>
      </c>
      <c r="J134" s="172" t="s">
        <v>289</v>
      </c>
      <c r="K134" s="183" t="s">
        <v>42</v>
      </c>
      <c r="L134" s="50"/>
    </row>
    <row r="135" ht="14.25" customHeight="1" outlineLevel="1">
      <c r="A135" s="101">
        <v>46</v>
      </c>
      <c r="B135" s="172" t="s">
        <v>155</v>
      </c>
      <c r="C135" s="172" t="s">
        <v>322</v>
      </c>
      <c r="D135" s="172" t="s">
        <v>309</v>
      </c>
      <c r="E135" s="173">
        <v>5359.5500000000002</v>
      </c>
      <c r="F135" s="172" t="s">
        <v>339</v>
      </c>
      <c r="G135" s="172" t="s">
        <v>39</v>
      </c>
      <c r="H135" s="172" t="s">
        <v>288</v>
      </c>
      <c r="I135" s="172" t="s">
        <v>289</v>
      </c>
      <c r="J135" s="172" t="s">
        <v>289</v>
      </c>
      <c r="K135" s="183" t="s">
        <v>42</v>
      </c>
      <c r="L135" s="50"/>
    </row>
    <row r="136" ht="14.25" customHeight="1" outlineLevel="1">
      <c r="A136" s="101">
        <v>47</v>
      </c>
      <c r="B136" s="172" t="s">
        <v>155</v>
      </c>
      <c r="C136" s="172" t="s">
        <v>340</v>
      </c>
      <c r="D136" s="172" t="s">
        <v>325</v>
      </c>
      <c r="E136" s="173">
        <v>15432.42</v>
      </c>
      <c r="F136" s="172" t="s">
        <v>341</v>
      </c>
      <c r="G136" s="172" t="s">
        <v>39</v>
      </c>
      <c r="H136" s="172" t="s">
        <v>288</v>
      </c>
      <c r="I136" s="172" t="s">
        <v>289</v>
      </c>
      <c r="J136" s="172" t="s">
        <v>289</v>
      </c>
      <c r="K136" s="183" t="s">
        <v>42</v>
      </c>
      <c r="L136" s="50"/>
    </row>
    <row r="137" ht="14.25" customHeight="1" outlineLevel="1">
      <c r="A137" s="101">
        <v>48</v>
      </c>
      <c r="B137" s="172" t="s">
        <v>155</v>
      </c>
      <c r="C137" s="172" t="s">
        <v>322</v>
      </c>
      <c r="D137" s="172" t="s">
        <v>309</v>
      </c>
      <c r="E137" s="173">
        <v>5359.5500000000002</v>
      </c>
      <c r="F137" s="172" t="s">
        <v>339</v>
      </c>
      <c r="G137" s="172" t="s">
        <v>39</v>
      </c>
      <c r="H137" s="172" t="s">
        <v>288</v>
      </c>
      <c r="I137" s="172" t="s">
        <v>289</v>
      </c>
      <c r="J137" s="172" t="s">
        <v>289</v>
      </c>
      <c r="K137" s="183" t="s">
        <v>42</v>
      </c>
      <c r="L137" s="50"/>
    </row>
    <row r="138" ht="14.25" customHeight="1" outlineLevel="1">
      <c r="A138" s="101">
        <v>49</v>
      </c>
      <c r="B138" s="172" t="s">
        <v>155</v>
      </c>
      <c r="C138" s="172" t="s">
        <v>322</v>
      </c>
      <c r="D138" s="172" t="s">
        <v>309</v>
      </c>
      <c r="E138" s="173">
        <v>5359.5500000000002</v>
      </c>
      <c r="F138" s="172" t="s">
        <v>339</v>
      </c>
      <c r="G138" s="172" t="s">
        <v>39</v>
      </c>
      <c r="H138" s="172" t="s">
        <v>288</v>
      </c>
      <c r="I138" s="172" t="s">
        <v>289</v>
      </c>
      <c r="J138" s="172" t="s">
        <v>289</v>
      </c>
      <c r="K138" s="183" t="s">
        <v>42</v>
      </c>
      <c r="L138" s="50"/>
    </row>
    <row r="139" ht="14.25" customHeight="1" outlineLevel="1">
      <c r="A139" s="101">
        <v>50</v>
      </c>
      <c r="B139" s="172" t="s">
        <v>155</v>
      </c>
      <c r="C139" s="172" t="s">
        <v>342</v>
      </c>
      <c r="D139" s="172" t="s">
        <v>309</v>
      </c>
      <c r="E139" s="173">
        <v>5520.3599999999997</v>
      </c>
      <c r="F139" s="172" t="s">
        <v>343</v>
      </c>
      <c r="G139" s="172" t="s">
        <v>39</v>
      </c>
      <c r="H139" s="172" t="s">
        <v>288</v>
      </c>
      <c r="I139" s="172" t="s">
        <v>289</v>
      </c>
      <c r="J139" s="172" t="s">
        <v>289</v>
      </c>
      <c r="K139" s="183" t="s">
        <v>42</v>
      </c>
      <c r="L139" s="50"/>
    </row>
    <row r="140" ht="14.25" customHeight="1" outlineLevel="1">
      <c r="A140" s="101">
        <v>51</v>
      </c>
      <c r="B140" s="172" t="s">
        <v>155</v>
      </c>
      <c r="C140" s="172" t="s">
        <v>344</v>
      </c>
      <c r="D140" s="172" t="s">
        <v>325</v>
      </c>
      <c r="E140" s="173">
        <v>21558.790000000001</v>
      </c>
      <c r="F140" s="172" t="s">
        <v>345</v>
      </c>
      <c r="G140" s="172" t="s">
        <v>39</v>
      </c>
      <c r="H140" s="172" t="s">
        <v>288</v>
      </c>
      <c r="I140" s="172"/>
      <c r="J140" s="172"/>
      <c r="K140" s="183" t="s">
        <v>42</v>
      </c>
      <c r="L140" s="50"/>
    </row>
    <row r="141" ht="14.25" customHeight="1" outlineLevel="1">
      <c r="A141" s="101">
        <v>52</v>
      </c>
      <c r="B141" s="172" t="s">
        <v>155</v>
      </c>
      <c r="C141" s="172" t="s">
        <v>143</v>
      </c>
      <c r="D141" s="172" t="s">
        <v>144</v>
      </c>
      <c r="E141" s="185">
        <v>130</v>
      </c>
      <c r="F141" s="172" t="s">
        <v>346</v>
      </c>
      <c r="G141" s="172" t="s">
        <v>39</v>
      </c>
      <c r="H141" s="172" t="s">
        <v>288</v>
      </c>
      <c r="I141" s="172" t="s">
        <v>289</v>
      </c>
      <c r="J141" s="172" t="s">
        <v>289</v>
      </c>
      <c r="K141" s="183" t="s">
        <v>42</v>
      </c>
      <c r="L141" s="50"/>
    </row>
    <row r="142" ht="14.25" customHeight="1" outlineLevel="1">
      <c r="A142" s="101">
        <v>53</v>
      </c>
      <c r="B142" s="172" t="s">
        <v>155</v>
      </c>
      <c r="C142" s="172" t="s">
        <v>143</v>
      </c>
      <c r="D142" s="172" t="s">
        <v>144</v>
      </c>
      <c r="E142" s="185">
        <v>390</v>
      </c>
      <c r="F142" s="172" t="s">
        <v>347</v>
      </c>
      <c r="G142" s="172" t="s">
        <v>39</v>
      </c>
      <c r="H142" s="172" t="s">
        <v>288</v>
      </c>
      <c r="I142" s="172" t="s">
        <v>289</v>
      </c>
      <c r="J142" s="172" t="s">
        <v>289</v>
      </c>
      <c r="K142" s="183" t="s">
        <v>42</v>
      </c>
      <c r="L142" s="50"/>
    </row>
    <row r="143" ht="14.25" customHeight="1" outlineLevel="1">
      <c r="A143" s="187">
        <v>54</v>
      </c>
      <c r="B143" s="40" t="s">
        <v>155</v>
      </c>
      <c r="C143" s="40" t="s">
        <v>275</v>
      </c>
      <c r="D143" s="40" t="s">
        <v>157</v>
      </c>
      <c r="E143" s="188">
        <v>1505505.8400000001</v>
      </c>
      <c r="F143" s="172" t="s">
        <v>284</v>
      </c>
      <c r="G143" s="189" t="s">
        <v>154</v>
      </c>
      <c r="H143" s="172" t="s">
        <v>288</v>
      </c>
      <c r="I143" s="190"/>
      <c r="J143" s="40"/>
      <c r="K143" s="55" t="s">
        <v>42</v>
      </c>
      <c r="L143" s="50"/>
    </row>
    <row r="144" ht="14.25" customHeight="1" outlineLevel="1">
      <c r="A144" s="101">
        <v>56</v>
      </c>
      <c r="B144" s="191"/>
      <c r="C144" s="88"/>
      <c r="D144" s="88"/>
      <c r="E144" s="192"/>
      <c r="F144" s="169"/>
      <c r="G144" s="48"/>
      <c r="H144" s="40"/>
      <c r="I144" s="40"/>
      <c r="J144" s="46"/>
      <c r="K144" s="49"/>
      <c r="L144" s="50"/>
    </row>
    <row r="145" ht="25.5" customHeight="1" outlineLevel="1">
      <c r="A145" s="101">
        <v>57</v>
      </c>
      <c r="B145" s="172" t="s">
        <v>155</v>
      </c>
      <c r="C145" s="172" t="s">
        <v>143</v>
      </c>
      <c r="D145" s="172" t="s">
        <v>144</v>
      </c>
      <c r="E145" s="193">
        <v>8130</v>
      </c>
      <c r="F145" s="172" t="s">
        <v>348</v>
      </c>
      <c r="G145" s="194" t="s">
        <v>349</v>
      </c>
      <c r="H145" s="46"/>
      <c r="I145" s="40"/>
      <c r="J145" s="46"/>
      <c r="K145" s="49" t="s">
        <v>350</v>
      </c>
      <c r="L145" s="50"/>
    </row>
    <row r="146" ht="14.25" customHeight="1" outlineLevel="1">
      <c r="A146" s="101">
        <v>58</v>
      </c>
      <c r="B146" s="190"/>
      <c r="C146" s="40"/>
      <c r="D146" s="40"/>
      <c r="E146" s="41"/>
      <c r="F146" s="42"/>
      <c r="G146" s="48"/>
      <c r="H146" s="46"/>
      <c r="I146" s="40"/>
      <c r="J146" s="46"/>
      <c r="K146" s="49"/>
      <c r="L146" s="50"/>
    </row>
    <row r="147" ht="14.25" customHeight="1" outlineLevel="1">
      <c r="A147" s="101">
        <v>59</v>
      </c>
      <c r="B147" s="121"/>
      <c r="C147" s="46"/>
      <c r="D147" s="46"/>
      <c r="E147" s="47"/>
      <c r="F147" s="48"/>
      <c r="G147" s="48"/>
      <c r="H147" s="46"/>
      <c r="I147" s="40"/>
      <c r="J147" s="46"/>
      <c r="K147" s="49"/>
      <c r="L147" s="50"/>
    </row>
    <row r="148" s="32" customFormat="1" ht="19.5" customHeight="1" outlineLevel="1">
      <c r="A148" s="178"/>
      <c r="B148" s="34" t="s">
        <v>26</v>
      </c>
      <c r="C148" s="195"/>
      <c r="D148" s="36"/>
      <c r="E148" s="37"/>
      <c r="F148" s="34"/>
      <c r="G148" s="34"/>
      <c r="H148" s="34"/>
      <c r="I148" s="34"/>
      <c r="J148" s="34"/>
      <c r="K148" s="34"/>
      <c r="L148" s="38"/>
    </row>
    <row r="149" ht="14.25" customHeight="1" outlineLevel="1">
      <c r="A149" s="62">
        <v>1</v>
      </c>
      <c r="B149" s="88"/>
      <c r="C149" s="40"/>
      <c r="D149" s="52"/>
      <c r="E149" s="41"/>
      <c r="F149" s="54"/>
      <c r="G149" s="54"/>
      <c r="H149" s="52"/>
      <c r="I149" s="40"/>
      <c r="J149" s="52"/>
      <c r="K149" s="55"/>
      <c r="L149" s="56"/>
    </row>
    <row r="150" ht="14.25" customHeight="1" outlineLevel="1">
      <c r="A150" s="39">
        <v>2</v>
      </c>
      <c r="B150" s="88"/>
      <c r="C150" s="40"/>
      <c r="D150" s="40"/>
      <c r="E150" s="41"/>
      <c r="F150" s="42"/>
      <c r="G150" s="42"/>
      <c r="H150" s="40"/>
      <c r="I150" s="40"/>
      <c r="J150" s="40"/>
      <c r="K150" s="133"/>
      <c r="L150" s="44"/>
    </row>
    <row r="151" ht="14.25" customHeight="1" outlineLevel="1">
      <c r="A151" s="39">
        <v>3</v>
      </c>
      <c r="B151" s="88"/>
      <c r="C151" s="40" t="s">
        <v>351</v>
      </c>
      <c r="D151" s="40"/>
      <c r="E151" s="94">
        <v>5100000</v>
      </c>
      <c r="F151" s="42"/>
      <c r="G151" s="42"/>
      <c r="H151" s="40"/>
      <c r="I151" s="40"/>
      <c r="J151" s="40"/>
      <c r="K151" s="55" t="s">
        <v>42</v>
      </c>
      <c r="L151" s="44"/>
    </row>
    <row r="152" ht="14.25" customHeight="1" outlineLevel="1">
      <c r="A152" s="45">
        <v>4</v>
      </c>
      <c r="B152" s="88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ht="14.25" customHeight="1" outlineLevel="1">
      <c r="A153" s="63">
        <v>5</v>
      </c>
      <c r="B153" s="88"/>
      <c r="C153" s="57"/>
      <c r="D153" s="57"/>
      <c r="E153" s="58"/>
      <c r="F153" s="59"/>
      <c r="G153" s="59"/>
      <c r="H153" s="57"/>
      <c r="I153" s="57"/>
      <c r="J153" s="57"/>
      <c r="K153" s="60"/>
      <c r="L153" s="61"/>
    </row>
    <row r="154" ht="23.100000000000001" customHeight="1">
      <c r="A154" s="64" t="s">
        <v>27</v>
      </c>
      <c r="B154" s="88"/>
      <c r="C154" s="65"/>
      <c r="D154" s="65"/>
      <c r="E154" s="66">
        <f>SUM(E15:E153)</f>
        <v>14355329.429999996</v>
      </c>
      <c r="F154" s="1"/>
      <c r="G154" s="1"/>
      <c r="H154" s="1"/>
      <c r="I154" s="1"/>
      <c r="J154" s="1"/>
      <c r="K154" s="1"/>
      <c r="L154" s="1"/>
    </row>
    <row r="155" ht="23.100000000000001" customHeight="1">
      <c r="A155" s="64" t="s">
        <v>28</v>
      </c>
      <c r="B155" s="88"/>
      <c r="C155" s="65"/>
      <c r="D155" s="65"/>
      <c r="E155" s="66">
        <f>E4-E154</f>
        <v>-13374575.079999996</v>
      </c>
      <c r="F155" s="67"/>
      <c r="G155" s="67"/>
      <c r="H155" s="1"/>
      <c r="I155" s="1"/>
      <c r="J155" s="1"/>
      <c r="K155" s="1"/>
      <c r="L155" s="1"/>
    </row>
    <row r="156" ht="24.75" customHeight="1">
      <c r="A156" s="1"/>
      <c r="B156" s="88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30" customHeight="1">
      <c r="A157" s="68" t="s">
        <v>29</v>
      </c>
      <c r="B157" s="69"/>
      <c r="C157" s="69"/>
      <c r="D157" s="70"/>
      <c r="E157" s="71">
        <f>SUM(E158:E161)</f>
        <v>697262.62</v>
      </c>
      <c r="F157" s="12"/>
      <c r="G157" s="12"/>
      <c r="H157" s="12"/>
      <c r="I157" s="12"/>
      <c r="J157" s="12"/>
      <c r="K157" s="1"/>
      <c r="L157" s="1"/>
    </row>
    <row r="158" ht="15" customHeight="1">
      <c r="A158" s="13" t="s">
        <v>30</v>
      </c>
      <c r="B158" s="14"/>
      <c r="C158" s="14"/>
      <c r="D158" s="15"/>
      <c r="E158" s="16">
        <v>697262.62</v>
      </c>
      <c r="F158" s="12"/>
      <c r="G158" s="12"/>
      <c r="H158" s="12"/>
      <c r="I158" s="12"/>
      <c r="J158" s="12"/>
      <c r="K158" s="1"/>
      <c r="L158" s="1"/>
    </row>
    <row r="159">
      <c r="A159" s="17"/>
      <c r="B159" s="18"/>
      <c r="C159" s="18"/>
      <c r="D159" s="19"/>
      <c r="E159" s="75"/>
      <c r="F159" s="12"/>
      <c r="G159" s="12"/>
      <c r="H159" s="12"/>
      <c r="I159" s="12"/>
      <c r="J159" s="12"/>
      <c r="K159" s="1"/>
      <c r="L159" s="1"/>
    </row>
    <row r="160">
      <c r="A160" s="21"/>
      <c r="B160" s="196"/>
      <c r="C160" s="196"/>
      <c r="D160" s="197"/>
      <c r="E160" s="20"/>
      <c r="F160" s="12"/>
      <c r="G160" s="12"/>
      <c r="H160" s="12"/>
      <c r="I160" s="12"/>
      <c r="J160" s="12"/>
      <c r="K160" s="1"/>
      <c r="L160" s="1"/>
    </row>
    <row r="161" ht="15">
      <c r="A161" s="76"/>
      <c r="B161" s="24"/>
      <c r="C161" s="24"/>
      <c r="D161" s="25"/>
      <c r="E161" s="26"/>
      <c r="F161" s="27"/>
      <c r="G161" s="27"/>
      <c r="H161" s="27"/>
      <c r="I161" s="27"/>
      <c r="J161" s="27"/>
      <c r="K161" s="1"/>
      <c r="L161" s="1"/>
    </row>
    <row r="162" ht="6.75" customHeight="1">
      <c r="A162" s="198"/>
      <c r="B162" s="199"/>
      <c r="C162" s="198"/>
      <c r="D162" s="27"/>
      <c r="E162" s="27"/>
      <c r="F162" s="27"/>
      <c r="G162" s="27"/>
      <c r="H162" s="27"/>
      <c r="I162" s="27"/>
      <c r="J162" s="27"/>
      <c r="K162" s="1"/>
      <c r="L162" s="1"/>
    </row>
    <row r="163" ht="28.5" outlineLevel="1">
      <c r="A163" s="28" t="s">
        <v>9</v>
      </c>
      <c r="B163" s="200" t="s">
        <v>10</v>
      </c>
      <c r="C163" s="28" t="s">
        <v>11</v>
      </c>
      <c r="D163" s="28" t="s">
        <v>12</v>
      </c>
      <c r="E163" s="29" t="s">
        <v>13</v>
      </c>
      <c r="F163" s="28" t="s">
        <v>14</v>
      </c>
      <c r="G163" s="30" t="s">
        <v>15</v>
      </c>
      <c r="H163" s="28" t="s">
        <v>16</v>
      </c>
      <c r="I163" s="31" t="s">
        <v>17</v>
      </c>
      <c r="J163" s="28" t="s">
        <v>18</v>
      </c>
      <c r="K163" s="28" t="s">
        <v>19</v>
      </c>
      <c r="L163" s="28" t="s">
        <v>20</v>
      </c>
    </row>
    <row r="164" ht="15" outlineLevel="1">
      <c r="A164" s="77"/>
      <c r="B164" s="201" t="s">
        <v>31</v>
      </c>
      <c r="C164" s="79"/>
      <c r="D164" s="80"/>
      <c r="E164" s="81"/>
      <c r="F164" s="78"/>
      <c r="G164" s="78"/>
      <c r="H164" s="78"/>
      <c r="I164" s="78"/>
      <c r="J164" s="78"/>
      <c r="K164" s="78"/>
      <c r="L164" s="78"/>
    </row>
    <row r="165" outlineLevel="1">
      <c r="A165" s="39">
        <v>1</v>
      </c>
      <c r="B165" s="122"/>
      <c r="C165" s="40"/>
      <c r="D165" s="40"/>
      <c r="E165" s="41"/>
      <c r="F165" s="42"/>
      <c r="G165" s="42"/>
      <c r="H165" s="40"/>
      <c r="I165" s="40"/>
      <c r="J165" s="40"/>
      <c r="K165" s="43"/>
      <c r="L165" s="44"/>
    </row>
    <row r="166" outlineLevel="1">
      <c r="A166" s="45">
        <v>2</v>
      </c>
      <c r="B166" s="88"/>
      <c r="C166" s="46"/>
      <c r="D166" s="46"/>
      <c r="E166" s="47"/>
      <c r="F166" s="48"/>
      <c r="G166" s="48"/>
      <c r="H166" s="46"/>
      <c r="I166" s="40"/>
      <c r="J166" s="46"/>
      <c r="K166" s="49"/>
      <c r="L166" s="50"/>
    </row>
    <row r="167" outlineLevel="1">
      <c r="A167" s="45">
        <v>3</v>
      </c>
      <c r="B167" s="88"/>
      <c r="C167" s="46"/>
      <c r="D167" s="46"/>
      <c r="E167" s="47"/>
      <c r="F167" s="48"/>
      <c r="G167" s="48"/>
      <c r="H167" s="46"/>
      <c r="I167" s="40"/>
      <c r="J167" s="46"/>
      <c r="K167" s="49"/>
      <c r="L167" s="50"/>
    </row>
    <row r="168" outlineLevel="1">
      <c r="A168" s="45">
        <v>4</v>
      </c>
      <c r="B168" s="88"/>
      <c r="C168" s="46"/>
      <c r="D168" s="46"/>
      <c r="E168" s="47"/>
      <c r="F168" s="48"/>
      <c r="G168" s="48"/>
      <c r="H168" s="46"/>
      <c r="I168" s="40"/>
      <c r="J168" s="46"/>
      <c r="K168" s="49"/>
      <c r="L168" s="50"/>
    </row>
    <row r="169" ht="15.75" customHeight="1" outlineLevel="1">
      <c r="A169" s="45">
        <v>5</v>
      </c>
      <c r="B169" s="88"/>
      <c r="C169" s="46"/>
      <c r="D169" s="46"/>
      <c r="E169" s="47"/>
      <c r="F169" s="48"/>
      <c r="G169" s="48"/>
      <c r="H169" s="46"/>
      <c r="I169" s="40"/>
      <c r="J169" s="46"/>
      <c r="K169" s="49"/>
      <c r="L169" s="50"/>
    </row>
    <row r="170" outlineLevel="1">
      <c r="A170" s="45">
        <v>6</v>
      </c>
      <c r="B170" s="88"/>
      <c r="C170" s="46"/>
      <c r="D170" s="46"/>
      <c r="E170" s="47"/>
      <c r="F170" s="48"/>
      <c r="G170" s="48"/>
      <c r="H170" s="46"/>
      <c r="I170" s="40"/>
      <c r="J170" s="46"/>
      <c r="K170" s="49"/>
      <c r="L170" s="50"/>
    </row>
    <row r="171" outlineLevel="1">
      <c r="A171" s="45">
        <v>7</v>
      </c>
      <c r="B171" s="88"/>
      <c r="C171" s="46"/>
      <c r="D171" s="46"/>
      <c r="E171" s="47"/>
      <c r="F171" s="48"/>
      <c r="G171" s="48"/>
      <c r="H171" s="46"/>
      <c r="I171" s="40"/>
      <c r="J171" s="46"/>
      <c r="K171" s="49"/>
      <c r="L171" s="50"/>
    </row>
    <row r="172" outlineLevel="1">
      <c r="A172" s="45">
        <v>8</v>
      </c>
      <c r="B172" s="88"/>
      <c r="C172" s="46"/>
      <c r="D172" s="46"/>
      <c r="E172" s="47"/>
      <c r="F172" s="48"/>
      <c r="G172" s="48"/>
      <c r="H172" s="46"/>
      <c r="I172" s="40"/>
      <c r="J172" s="46"/>
      <c r="K172" s="49"/>
      <c r="L172" s="50"/>
    </row>
    <row r="173" outlineLevel="1">
      <c r="A173" s="39">
        <v>9</v>
      </c>
      <c r="B173" s="88"/>
      <c r="C173" s="46"/>
      <c r="D173" s="46"/>
      <c r="E173" s="47"/>
      <c r="F173" s="48"/>
      <c r="G173" s="48"/>
      <c r="H173" s="46"/>
      <c r="I173" s="40"/>
      <c r="J173" s="46"/>
      <c r="K173" s="49"/>
      <c r="L173" s="50"/>
    </row>
    <row r="174" outlineLevel="1">
      <c r="A174" s="45">
        <v>10</v>
      </c>
      <c r="B174" s="46"/>
      <c r="C174" s="46"/>
      <c r="D174" s="46"/>
      <c r="E174" s="47"/>
      <c r="F174" s="48"/>
      <c r="G174" s="48"/>
      <c r="H174" s="46"/>
      <c r="I174" s="40"/>
      <c r="J174" s="46"/>
      <c r="K174" s="49"/>
      <c r="L174" s="50"/>
    </row>
    <row r="175" outlineLevel="1">
      <c r="A175" s="45">
        <v>11</v>
      </c>
      <c r="B175" s="202"/>
      <c r="C175" s="203"/>
      <c r="D175" s="46"/>
      <c r="E175" s="47"/>
      <c r="F175" s="48"/>
      <c r="G175" s="48"/>
      <c r="H175" s="46"/>
      <c r="I175" s="40"/>
      <c r="J175" s="46"/>
      <c r="K175" s="49"/>
      <c r="L175" s="50"/>
    </row>
    <row r="176" outlineLevel="1">
      <c r="A176" s="45">
        <v>12</v>
      </c>
      <c r="B176" s="40"/>
      <c r="C176" s="46"/>
      <c r="D176" s="46"/>
      <c r="E176" s="47"/>
      <c r="F176" s="48"/>
      <c r="G176" s="48"/>
      <c r="H176" s="46"/>
      <c r="I176" s="40"/>
      <c r="J176" s="46"/>
      <c r="K176" s="49"/>
      <c r="L176" s="50"/>
    </row>
    <row r="177" outlineLevel="1">
      <c r="A177" s="45">
        <v>13</v>
      </c>
      <c r="B177" s="40"/>
      <c r="C177" s="46"/>
      <c r="D177" s="46"/>
      <c r="E177" s="47"/>
      <c r="F177" s="48"/>
      <c r="G177" s="48"/>
      <c r="H177" s="46"/>
      <c r="I177" s="40"/>
      <c r="J177" s="46"/>
      <c r="K177" s="49"/>
      <c r="L177" s="50"/>
    </row>
    <row r="178" outlineLevel="1">
      <c r="A178" s="45">
        <v>14</v>
      </c>
      <c r="B178" s="40"/>
      <c r="C178" s="46"/>
      <c r="D178" s="46"/>
      <c r="E178" s="47"/>
      <c r="F178" s="48"/>
      <c r="G178" s="48"/>
      <c r="H178" s="46"/>
      <c r="I178" s="40"/>
      <c r="J178" s="46"/>
      <c r="K178" s="49"/>
      <c r="L178" s="50"/>
    </row>
    <row r="179" ht="15" outlineLevel="1">
      <c r="A179" s="204">
        <v>15</v>
      </c>
      <c r="B179" s="88"/>
      <c r="C179" s="88"/>
      <c r="D179" s="88"/>
      <c r="E179" s="58"/>
      <c r="F179" s="59"/>
      <c r="G179" s="59"/>
      <c r="H179" s="57"/>
      <c r="I179" s="40"/>
      <c r="J179" s="57"/>
      <c r="K179" s="60"/>
      <c r="L179" s="61"/>
    </row>
    <row r="180" ht="32.25" customHeight="1" outlineLevel="1">
      <c r="A180" s="205"/>
      <c r="B180" s="206" t="s">
        <v>32</v>
      </c>
      <c r="C180" s="207"/>
      <c r="D180" s="208"/>
      <c r="E180" s="81"/>
      <c r="F180" s="78"/>
      <c r="G180" s="78"/>
      <c r="H180" s="78"/>
      <c r="I180" s="78"/>
      <c r="J180" s="78"/>
      <c r="K180" s="78"/>
      <c r="L180" s="78"/>
    </row>
    <row r="181" outlineLevel="1">
      <c r="A181" s="39">
        <v>1</v>
      </c>
      <c r="B181" s="209"/>
      <c r="C181" s="190"/>
      <c r="D181" s="40"/>
      <c r="E181" s="53"/>
      <c r="F181" s="54"/>
      <c r="G181" s="54"/>
      <c r="H181" s="52"/>
      <c r="I181" s="40"/>
      <c r="J181" s="52"/>
      <c r="K181" s="55"/>
      <c r="L181" s="56"/>
    </row>
    <row r="182" outlineLevel="1">
      <c r="A182" s="45">
        <v>2</v>
      </c>
      <c r="B182" s="202"/>
      <c r="C182" s="121"/>
      <c r="D182" s="46"/>
      <c r="E182" s="47"/>
      <c r="F182" s="48"/>
      <c r="G182" s="48"/>
      <c r="H182" s="46"/>
      <c r="I182" s="40"/>
      <c r="J182" s="46"/>
      <c r="K182" s="49"/>
      <c r="L182" s="50"/>
    </row>
    <row r="183" outlineLevel="1">
      <c r="A183" s="45">
        <v>3</v>
      </c>
      <c r="B183" s="202"/>
      <c r="C183" s="121"/>
      <c r="D183" s="46"/>
      <c r="E183" s="47"/>
      <c r="F183" s="48"/>
      <c r="G183" s="48"/>
      <c r="H183" s="46"/>
      <c r="I183" s="40"/>
      <c r="J183" s="46"/>
      <c r="K183" s="49"/>
      <c r="L183" s="50"/>
    </row>
    <row r="184" outlineLevel="1">
      <c r="A184" s="45">
        <v>4</v>
      </c>
      <c r="B184" s="48"/>
      <c r="C184" s="121"/>
      <c r="D184" s="46"/>
      <c r="E184" s="47"/>
      <c r="F184" s="48"/>
      <c r="G184" s="48"/>
      <c r="H184" s="46"/>
      <c r="I184" s="40"/>
      <c r="J184" s="46"/>
      <c r="K184" s="49"/>
      <c r="L184" s="50"/>
    </row>
    <row r="185" outlineLevel="1">
      <c r="A185" s="45">
        <v>5</v>
      </c>
      <c r="B185" s="48"/>
      <c r="C185" s="46"/>
      <c r="D185" s="46"/>
      <c r="E185" s="47"/>
      <c r="F185" s="48"/>
      <c r="G185" s="48"/>
      <c r="H185" s="46"/>
      <c r="I185" s="40"/>
      <c r="J185" s="46"/>
      <c r="K185" s="49"/>
      <c r="L185" s="50"/>
    </row>
    <row r="186" outlineLevel="1">
      <c r="A186" s="45">
        <v>6</v>
      </c>
      <c r="B186" s="48"/>
      <c r="C186" s="46"/>
      <c r="D186" s="46"/>
      <c r="E186" s="47"/>
      <c r="F186" s="48"/>
      <c r="G186" s="48"/>
      <c r="H186" s="46"/>
      <c r="I186" s="40"/>
      <c r="J186" s="46"/>
      <c r="K186" s="49"/>
      <c r="L186" s="50"/>
    </row>
    <row r="187" outlineLevel="1">
      <c r="A187" s="45">
        <v>7</v>
      </c>
      <c r="B187" s="48"/>
      <c r="C187" s="46"/>
      <c r="D187" s="46"/>
      <c r="E187" s="47"/>
      <c r="F187" s="48"/>
      <c r="G187" s="48"/>
      <c r="H187" s="46"/>
      <c r="I187" s="40"/>
      <c r="J187" s="46"/>
      <c r="K187" s="49"/>
      <c r="L187" s="50"/>
    </row>
    <row r="188" outlineLevel="1">
      <c r="A188" s="45">
        <v>8</v>
      </c>
      <c r="B188" s="48"/>
      <c r="C188" s="46"/>
      <c r="D188" s="46"/>
      <c r="E188" s="47"/>
      <c r="F188" s="48"/>
      <c r="G188" s="48"/>
      <c r="H188" s="46"/>
      <c r="I188" s="40"/>
      <c r="J188" s="46"/>
      <c r="K188" s="49"/>
      <c r="L188" s="50"/>
    </row>
    <row r="189" outlineLevel="1">
      <c r="A189" s="45">
        <v>9</v>
      </c>
      <c r="B189" s="202"/>
      <c r="C189" s="202"/>
      <c r="D189" s="202"/>
      <c r="E189" s="47"/>
      <c r="F189" s="48"/>
      <c r="G189" s="48"/>
      <c r="H189" s="46"/>
      <c r="I189" s="40"/>
      <c r="J189" s="46"/>
      <c r="K189" s="49"/>
      <c r="L189" s="50"/>
    </row>
    <row r="190" ht="15" outlineLevel="1">
      <c r="A190" s="177">
        <v>10</v>
      </c>
      <c r="B190" s="46"/>
      <c r="C190" s="202"/>
      <c r="D190" s="202"/>
      <c r="E190" s="210"/>
      <c r="F190" s="211"/>
      <c r="G190" s="211"/>
      <c r="H190" s="202"/>
      <c r="I190" s="202"/>
      <c r="J190" s="202"/>
      <c r="K190" s="49"/>
      <c r="L190" s="50"/>
    </row>
    <row r="191" outlineLevel="1">
      <c r="A191" s="89">
        <v>11</v>
      </c>
      <c r="B191" s="46"/>
      <c r="C191" s="202"/>
      <c r="D191" s="202"/>
      <c r="E191" s="212"/>
      <c r="F191" s="48"/>
      <c r="G191" s="213"/>
      <c r="H191" s="40"/>
      <c r="I191" s="40"/>
      <c r="J191" s="40"/>
      <c r="K191" s="43"/>
      <c r="L191" s="44"/>
    </row>
    <row r="192" outlineLevel="1">
      <c r="A192" s="45">
        <v>12</v>
      </c>
      <c r="B192" s="202"/>
      <c r="C192" s="202"/>
      <c r="D192" s="202"/>
      <c r="E192" s="212"/>
      <c r="F192" s="48"/>
      <c r="G192" s="214"/>
      <c r="H192" s="46"/>
      <c r="I192" s="40"/>
      <c r="J192" s="46"/>
      <c r="K192" s="49"/>
      <c r="L192" s="50"/>
    </row>
    <row r="193" outlineLevel="1">
      <c r="A193" s="45">
        <v>13</v>
      </c>
      <c r="B193" s="202"/>
      <c r="C193" s="202"/>
      <c r="D193" s="203"/>
      <c r="E193" s="41"/>
      <c r="F193" s="42"/>
      <c r="G193" s="48"/>
      <c r="H193" s="46"/>
      <c r="I193" s="40"/>
      <c r="J193" s="46"/>
      <c r="K193" s="49"/>
      <c r="L193" s="50"/>
    </row>
    <row r="194" outlineLevel="1">
      <c r="A194" s="45">
        <v>14</v>
      </c>
      <c r="B194" s="46"/>
      <c r="C194" s="46"/>
      <c r="D194" s="46"/>
      <c r="E194" s="47"/>
      <c r="F194" s="48"/>
      <c r="G194" s="48"/>
      <c r="H194" s="46"/>
      <c r="I194" s="40"/>
      <c r="J194" s="46"/>
      <c r="K194" s="49"/>
      <c r="L194" s="50"/>
    </row>
    <row r="195" outlineLevel="1">
      <c r="A195" s="204">
        <v>15</v>
      </c>
      <c r="B195" s="57"/>
      <c r="C195" s="57"/>
      <c r="D195" s="57"/>
      <c r="E195" s="58"/>
      <c r="F195" s="59"/>
      <c r="G195" s="59"/>
      <c r="H195" s="57"/>
      <c r="I195" s="122"/>
      <c r="J195" s="57"/>
      <c r="K195" s="60"/>
      <c r="L195" s="61"/>
    </row>
    <row r="196" outlineLevel="1">
      <c r="A196" s="215"/>
      <c r="B196" s="216" t="s">
        <v>25</v>
      </c>
      <c r="C196" s="217"/>
      <c r="D196" s="218"/>
      <c r="E196" s="219"/>
      <c r="F196" s="220"/>
      <c r="G196" s="221"/>
      <c r="H196" s="201"/>
      <c r="I196" s="201"/>
      <c r="J196" s="201"/>
      <c r="K196" s="222"/>
      <c r="L196" s="223"/>
    </row>
    <row r="197" outlineLevel="1">
      <c r="A197" s="224">
        <v>1</v>
      </c>
      <c r="G197" s="213"/>
      <c r="H197" s="40"/>
      <c r="I197" s="40"/>
      <c r="J197" s="40"/>
      <c r="K197" s="43"/>
      <c r="L197" s="44"/>
    </row>
    <row r="198" outlineLevel="1">
      <c r="A198" s="89">
        <v>2</v>
      </c>
      <c r="G198" s="214"/>
      <c r="H198" s="46"/>
      <c r="I198" s="40"/>
      <c r="J198" s="46"/>
      <c r="K198" s="49"/>
      <c r="L198" s="50"/>
    </row>
    <row r="199" outlineLevel="1">
      <c r="A199" s="45">
        <v>3</v>
      </c>
      <c r="B199" s="40"/>
      <c r="C199" s="40"/>
      <c r="D199" s="40"/>
      <c r="E199" s="41"/>
      <c r="F199" s="42"/>
      <c r="G199" s="48"/>
      <c r="H199" s="46"/>
      <c r="I199" s="40"/>
      <c r="J199" s="46"/>
      <c r="K199" s="49"/>
      <c r="L199" s="50"/>
    </row>
    <row r="200" ht="15" outlineLevel="1">
      <c r="A200" s="45">
        <v>4</v>
      </c>
      <c r="B200" s="46"/>
      <c r="C200" s="46"/>
      <c r="D200" s="46"/>
      <c r="E200" s="47"/>
      <c r="F200" s="48"/>
      <c r="G200" s="48"/>
      <c r="H200" s="46"/>
      <c r="I200" s="40"/>
      <c r="J200" s="46"/>
      <c r="K200" s="49"/>
      <c r="L200" s="50"/>
    </row>
    <row r="201" ht="15" outlineLevel="1">
      <c r="A201" s="177">
        <v>5</v>
      </c>
      <c r="B201" s="202"/>
      <c r="C201" s="202"/>
      <c r="D201" s="202"/>
      <c r="E201" s="210"/>
      <c r="F201" s="211"/>
      <c r="G201" s="211"/>
      <c r="H201" s="202"/>
      <c r="I201" s="202"/>
      <c r="J201" s="202"/>
      <c r="K201" s="49"/>
      <c r="L201" s="50"/>
    </row>
    <row r="202" outlineLevel="1">
      <c r="A202" s="39">
        <v>6</v>
      </c>
      <c r="B202" s="40"/>
      <c r="C202" s="40"/>
      <c r="D202" s="40"/>
      <c r="E202" s="41"/>
      <c r="F202" s="42"/>
      <c r="G202" s="42"/>
      <c r="H202" s="40"/>
      <c r="I202" s="40"/>
      <c r="J202" s="40"/>
      <c r="K202" s="43"/>
      <c r="L202" s="44"/>
    </row>
    <row r="203" outlineLevel="1">
      <c r="A203" s="39">
        <v>7</v>
      </c>
      <c r="B203" s="46"/>
      <c r="C203" s="40"/>
      <c r="D203" s="40"/>
      <c r="E203" s="41"/>
      <c r="F203" s="42"/>
      <c r="G203" s="42"/>
      <c r="H203" s="40"/>
      <c r="I203" s="40"/>
      <c r="J203" s="40"/>
      <c r="K203" s="43"/>
      <c r="L203" s="44"/>
    </row>
    <row r="204" outlineLevel="1">
      <c r="A204" s="39">
        <v>8</v>
      </c>
      <c r="B204" s="46"/>
      <c r="C204" s="40"/>
      <c r="D204" s="40"/>
      <c r="E204" s="41"/>
      <c r="F204" s="42"/>
      <c r="G204" s="42"/>
      <c r="H204" s="40"/>
      <c r="I204" s="40"/>
      <c r="J204" s="40"/>
      <c r="K204" s="43"/>
      <c r="L204" s="44"/>
    </row>
    <row r="205" outlineLevel="1">
      <c r="A205" s="45">
        <v>9</v>
      </c>
      <c r="B205" s="46"/>
      <c r="C205" s="46"/>
      <c r="D205" s="46"/>
      <c r="E205" s="47"/>
      <c r="F205" s="48"/>
      <c r="G205" s="48"/>
      <c r="H205" s="46"/>
      <c r="I205" s="40"/>
      <c r="J205" s="46"/>
      <c r="K205" s="49"/>
      <c r="L205" s="50"/>
    </row>
    <row r="206" ht="15" outlineLevel="1">
      <c r="A206" s="204">
        <v>10</v>
      </c>
      <c r="B206" s="57"/>
      <c r="C206" s="57"/>
      <c r="D206" s="57"/>
      <c r="E206" s="58"/>
      <c r="F206" s="59"/>
      <c r="G206" s="59"/>
      <c r="H206" s="57"/>
      <c r="I206" s="88"/>
      <c r="J206" s="57"/>
      <c r="K206" s="60"/>
      <c r="L206" s="61"/>
    </row>
    <row r="207" ht="23.100000000000001" customHeight="1">
      <c r="A207" s="77"/>
      <c r="B207" s="201" t="s">
        <v>26</v>
      </c>
      <c r="C207" s="79"/>
      <c r="D207" s="225"/>
      <c r="E207" s="226"/>
      <c r="F207" s="78"/>
      <c r="G207" s="78"/>
      <c r="H207" s="78"/>
      <c r="I207" s="78"/>
      <c r="J207" s="78"/>
      <c r="K207" s="78"/>
      <c r="L207" s="78"/>
    </row>
    <row r="208" ht="23.100000000000001" customHeight="1">
      <c r="A208" s="176">
        <v>1</v>
      </c>
      <c r="B208" s="40"/>
      <c r="C208" s="227"/>
      <c r="D208" s="227"/>
      <c r="E208" s="228"/>
      <c r="F208" s="229"/>
      <c r="G208" s="229"/>
      <c r="H208" s="227"/>
      <c r="I208" s="227"/>
      <c r="J208" s="227"/>
      <c r="K208" s="55"/>
      <c r="L208" s="56"/>
    </row>
    <row r="209" ht="14.25">
      <c r="A209" s="177">
        <v>2</v>
      </c>
      <c r="B209" s="202"/>
      <c r="C209" s="202"/>
      <c r="D209" s="202"/>
      <c r="E209" s="210"/>
      <c r="F209" s="211"/>
      <c r="G209" s="211"/>
      <c r="H209" s="202"/>
      <c r="I209" s="202"/>
      <c r="J209" s="202"/>
      <c r="K209" s="49"/>
      <c r="L209" s="50"/>
    </row>
    <row r="210" ht="14.25">
      <c r="A210" s="177">
        <v>3</v>
      </c>
      <c r="B210" s="202"/>
      <c r="C210" s="202"/>
      <c r="D210" s="202"/>
      <c r="E210" s="210"/>
      <c r="F210" s="211"/>
      <c r="G210" s="211"/>
      <c r="H210" s="202"/>
      <c r="I210" s="202"/>
      <c r="J210" s="202"/>
      <c r="K210" s="49"/>
      <c r="L210" s="50"/>
    </row>
    <row r="211" ht="14.25">
      <c r="A211" s="177">
        <v>4</v>
      </c>
      <c r="B211" s="202"/>
      <c r="C211" s="202"/>
      <c r="D211" s="202"/>
      <c r="E211" s="210"/>
      <c r="F211" s="211"/>
      <c r="G211" s="211"/>
      <c r="H211" s="202"/>
      <c r="I211" s="202"/>
      <c r="J211" s="202"/>
      <c r="K211" s="49"/>
      <c r="L211" s="50"/>
    </row>
    <row r="212" ht="14.25">
      <c r="A212" s="230">
        <v>5</v>
      </c>
      <c r="B212" s="231"/>
      <c r="C212" s="231"/>
      <c r="D212" s="231"/>
      <c r="E212" s="232"/>
      <c r="F212" s="233"/>
      <c r="G212" s="233"/>
      <c r="H212" s="231"/>
      <c r="I212" s="231"/>
      <c r="J212" s="231"/>
      <c r="K212" s="60"/>
      <c r="L212" s="61"/>
    </row>
    <row r="213" ht="14.25">
      <c r="A213" s="82" t="s">
        <v>33</v>
      </c>
      <c r="B213" s="83"/>
      <c r="C213" s="83"/>
      <c r="D213" s="84"/>
      <c r="E213" s="85">
        <f>SUM(E165:E212)</f>
        <v>0</v>
      </c>
      <c r="F213" s="1"/>
      <c r="G213" s="1"/>
      <c r="H213" s="1"/>
      <c r="I213" s="1"/>
      <c r="J213" s="1"/>
      <c r="K213" s="1"/>
      <c r="L213" s="1"/>
    </row>
    <row r="214" ht="14.25">
      <c r="A214" s="82" t="s">
        <v>28</v>
      </c>
      <c r="B214" s="83"/>
      <c r="C214" s="83"/>
      <c r="D214" s="84"/>
      <c r="E214" s="85">
        <f>E157-E213</f>
        <v>697262.62</v>
      </c>
      <c r="F214" s="67"/>
      <c r="G214" s="67"/>
      <c r="H214" s="1"/>
      <c r="I214" s="1"/>
      <c r="J214" s="1"/>
      <c r="K214" s="1"/>
      <c r="L214" s="1"/>
    </row>
    <row r="215" ht="14.25">
      <c r="E215" s="1"/>
    </row>
    <row r="216" ht="14.25">
      <c r="E216" s="1"/>
    </row>
    <row r="217" ht="14.25">
      <c r="E217" s="1"/>
    </row>
    <row r="218" ht="14.25">
      <c r="E218" s="1"/>
    </row>
    <row r="219" ht="14.25">
      <c r="E219" s="1"/>
    </row>
    <row r="220" ht="14.25">
      <c r="E220" s="1"/>
    </row>
    <row r="221" ht="14.25">
      <c r="E221" s="1"/>
    </row>
    <row r="227" ht="14.25">
      <c r="E227" s="1"/>
    </row>
    <row r="235" ht="14.25">
      <c r="E235" s="1"/>
    </row>
    <row r="236" ht="14.25">
      <c r="E236" s="1"/>
    </row>
    <row r="242" ht="14.25">
      <c r="E242" s="1"/>
    </row>
    <row r="243" ht="14.25">
      <c r="E243" s="1"/>
    </row>
    <row r="247" ht="14.25">
      <c r="E247" s="1"/>
    </row>
    <row r="262" ht="14.25">
      <c r="E262" s="1"/>
    </row>
    <row r="263" ht="14.25">
      <c r="E263" s="1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54:D154"/>
    <mergeCell ref="A155:D155"/>
    <mergeCell ref="A157:D157"/>
    <mergeCell ref="A158:D158"/>
    <mergeCell ref="A159:D159"/>
    <mergeCell ref="A160:D160"/>
    <mergeCell ref="A161:D161"/>
    <mergeCell ref="A213:D213"/>
    <mergeCell ref="A214:D214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32" firstPageNumber="1" fitToWidth="1" fitToHeight="0" pageOrder="downThenOver" orientation="portrait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E0041-00D7-45AA-9BC5-00810046001D}" type="list" allowBlank="1" errorStyle="stop" imeMode="noControl" operator="between" showDropDown="0" showErrorMessage="1" showInputMessage="1">
          <x14:formula1>
            <xm:f>ДаНет</xm:f>
          </x14:formula1>
          <xm:sqref>I37:I56 I58:I72 I74:I88 I16:I35</xm:sqref>
        </x14:dataValidation>
        <x14:dataValidation xr:uid="{003C0074-00CE-4CA7-B3B7-006A00A2002E}" type="list" allowBlank="1" errorStyle="stop" imeMode="noControl" operator="between" showDropDown="0" showErrorMessage="1" showInputMessage="1">
          <x14:formula1>
            <xm:f>ДаНет</xm:f>
          </x14:formula1>
          <xm:sqref>I142:I152 I154:I163 I165:I169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E58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39.574218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4.7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'10'!C2+1</f>
        <v>46092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1090296.23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990305.47999999998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19755.66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0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1395.47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21017.09</v>
      </c>
      <c r="F11" s="12"/>
      <c r="G11" s="12"/>
      <c r="H11" s="12"/>
      <c r="I11" s="12"/>
      <c r="J11" s="12"/>
    </row>
    <row r="12" ht="15.75" customHeight="1">
      <c r="A12" s="23" t="s">
        <v>8</v>
      </c>
      <c r="B12" s="234"/>
      <c r="C12" s="234"/>
      <c r="D12" s="235"/>
      <c r="E12" s="26">
        <v>42000.93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66" customHeight="1" outlineLevel="1">
      <c r="A16" s="39">
        <v>1</v>
      </c>
      <c r="B16" s="122" t="s">
        <v>35</v>
      </c>
      <c r="C16" s="40" t="s">
        <v>36</v>
      </c>
      <c r="D16" s="40" t="s">
        <v>352</v>
      </c>
      <c r="E16" s="94">
        <v>82628</v>
      </c>
      <c r="F16" s="236" t="s">
        <v>353</v>
      </c>
      <c r="G16" s="237" t="s">
        <v>39</v>
      </c>
      <c r="H16" s="40"/>
      <c r="I16" s="40" t="s">
        <v>41</v>
      </c>
      <c r="J16" s="40" t="s">
        <v>354</v>
      </c>
      <c r="K16" s="43" t="s">
        <v>42</v>
      </c>
      <c r="L16" s="44"/>
    </row>
    <row r="17" ht="14.25" customHeight="1" outlineLevel="1">
      <c r="A17" s="89">
        <v>2</v>
      </c>
      <c r="B17" s="155" t="s">
        <v>44</v>
      </c>
      <c r="C17" s="46" t="s">
        <v>45</v>
      </c>
      <c r="D17" s="46" t="s">
        <v>46</v>
      </c>
      <c r="E17" s="174" t="s">
        <v>47</v>
      </c>
      <c r="F17" s="48" t="s">
        <v>48</v>
      </c>
      <c r="G17" s="42"/>
      <c r="H17" s="46"/>
      <c r="I17" s="40" t="s">
        <v>41</v>
      </c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 t="s">
        <v>54</v>
      </c>
      <c r="C37" s="40" t="s">
        <v>355</v>
      </c>
      <c r="D37" s="40" t="s">
        <v>356</v>
      </c>
      <c r="E37" s="94">
        <f>56000+57000+65000+90000</f>
        <v>268000</v>
      </c>
      <c r="F37" s="42" t="s">
        <v>57</v>
      </c>
      <c r="G37" s="42" t="s">
        <v>39</v>
      </c>
      <c r="H37" s="40" t="s">
        <v>357</v>
      </c>
      <c r="I37" s="40" t="s">
        <v>41</v>
      </c>
      <c r="J37" s="40"/>
      <c r="K37" s="133" t="s">
        <v>42</v>
      </c>
      <c r="L37" s="44"/>
    </row>
    <row r="38" ht="14.25" customHeight="1" outlineLevel="1">
      <c r="A38" s="45">
        <v>2</v>
      </c>
      <c r="B38" s="46" t="s">
        <v>54</v>
      </c>
      <c r="C38" s="46" t="s">
        <v>358</v>
      </c>
      <c r="D38" s="46" t="s">
        <v>359</v>
      </c>
      <c r="E38" s="87">
        <f>60000+50000+50000</f>
        <v>160000</v>
      </c>
      <c r="F38" s="48" t="s">
        <v>57</v>
      </c>
      <c r="G38" s="48" t="s">
        <v>39</v>
      </c>
      <c r="H38" s="46" t="s">
        <v>357</v>
      </c>
      <c r="I38" s="40" t="s">
        <v>41</v>
      </c>
      <c r="J38" s="46"/>
      <c r="K38" s="134" t="s">
        <v>42</v>
      </c>
      <c r="L38" s="50"/>
    </row>
    <row r="39" ht="14.25" customHeight="1" outlineLevel="1">
      <c r="A39" s="45">
        <v>3</v>
      </c>
      <c r="B39" s="46" t="s">
        <v>54</v>
      </c>
      <c r="C39" s="46" t="s">
        <v>58</v>
      </c>
      <c r="D39" s="46" t="s">
        <v>360</v>
      </c>
      <c r="E39" s="87">
        <f>75000+75000+55000+85000</f>
        <v>290000</v>
      </c>
      <c r="F39" s="48" t="s">
        <v>57</v>
      </c>
      <c r="G39" s="48" t="s">
        <v>39</v>
      </c>
      <c r="H39" s="46" t="s">
        <v>357</v>
      </c>
      <c r="I39" s="40" t="s">
        <v>41</v>
      </c>
      <c r="J39" s="46"/>
      <c r="K39" s="134" t="s">
        <v>42</v>
      </c>
      <c r="L39" s="50"/>
    </row>
    <row r="40" ht="14.25" customHeight="1" outlineLevel="1">
      <c r="A40" s="45">
        <v>4</v>
      </c>
      <c r="B40" s="46" t="s">
        <v>54</v>
      </c>
      <c r="C40" s="46" t="s">
        <v>361</v>
      </c>
      <c r="D40" s="46" t="s">
        <v>362</v>
      </c>
      <c r="E40" s="87">
        <v>58000</v>
      </c>
      <c r="F40" s="48" t="s">
        <v>57</v>
      </c>
      <c r="G40" s="48" t="s">
        <v>39</v>
      </c>
      <c r="H40" s="46" t="s">
        <v>357</v>
      </c>
      <c r="I40" s="40" t="s">
        <v>41</v>
      </c>
      <c r="J40" s="46"/>
      <c r="K40" s="134" t="s">
        <v>42</v>
      </c>
      <c r="L40" s="50"/>
    </row>
    <row r="41" ht="14.25" customHeight="1" outlineLevel="1">
      <c r="A41" s="45">
        <v>5</v>
      </c>
      <c r="B41" s="46" t="s">
        <v>54</v>
      </c>
      <c r="C41" s="46" t="s">
        <v>363</v>
      </c>
      <c r="D41" s="46" t="s">
        <v>364</v>
      </c>
      <c r="E41" s="87">
        <v>80000</v>
      </c>
      <c r="F41" s="48" t="s">
        <v>57</v>
      </c>
      <c r="G41" s="48" t="s">
        <v>39</v>
      </c>
      <c r="H41" s="46" t="s">
        <v>357</v>
      </c>
      <c r="I41" s="40" t="s">
        <v>41</v>
      </c>
      <c r="J41" s="46"/>
      <c r="K41" s="134" t="s">
        <v>42</v>
      </c>
      <c r="L41" s="50"/>
    </row>
    <row r="42" ht="14.25" customHeight="1" outlineLevel="1">
      <c r="A42" s="45">
        <v>6</v>
      </c>
      <c r="B42" s="46" t="s">
        <v>54</v>
      </c>
      <c r="C42" s="46" t="s">
        <v>64</v>
      </c>
      <c r="D42" s="46" t="s">
        <v>365</v>
      </c>
      <c r="E42" s="87">
        <f>95000+40000+130000+26000+40000+88000</f>
        <v>419000</v>
      </c>
      <c r="F42" s="48" t="s">
        <v>57</v>
      </c>
      <c r="G42" s="48" t="s">
        <v>39</v>
      </c>
      <c r="H42" s="46" t="s">
        <v>357</v>
      </c>
      <c r="I42" s="40" t="s">
        <v>41</v>
      </c>
      <c r="J42" s="46"/>
      <c r="K42" s="134" t="s">
        <v>42</v>
      </c>
      <c r="L42" s="50"/>
    </row>
    <row r="43" ht="14.25" customHeight="1" outlineLevel="1">
      <c r="A43" s="45">
        <v>7</v>
      </c>
      <c r="B43" s="46" t="s">
        <v>54</v>
      </c>
      <c r="C43" s="46" t="s">
        <v>366</v>
      </c>
      <c r="D43" s="46" t="s">
        <v>367</v>
      </c>
      <c r="E43" s="87">
        <v>120000</v>
      </c>
      <c r="F43" s="48" t="s">
        <v>57</v>
      </c>
      <c r="G43" s="48" t="s">
        <v>39</v>
      </c>
      <c r="H43" s="46" t="s">
        <v>357</v>
      </c>
      <c r="I43" s="40" t="s">
        <v>41</v>
      </c>
      <c r="J43" s="46"/>
      <c r="K43" s="134" t="s">
        <v>42</v>
      </c>
      <c r="L43" s="50"/>
    </row>
    <row r="44" ht="14.25" customHeight="1" outlineLevel="1">
      <c r="A44" s="45">
        <v>8</v>
      </c>
      <c r="B44" s="46" t="s">
        <v>54</v>
      </c>
      <c r="C44" s="46" t="s">
        <v>68</v>
      </c>
      <c r="D44" s="46" t="s">
        <v>368</v>
      </c>
      <c r="E44" s="87">
        <v>100000</v>
      </c>
      <c r="F44" s="48" t="s">
        <v>57</v>
      </c>
      <c r="G44" s="48" t="s">
        <v>39</v>
      </c>
      <c r="H44" s="46" t="s">
        <v>357</v>
      </c>
      <c r="I44" s="40" t="s">
        <v>41</v>
      </c>
      <c r="J44" s="46"/>
      <c r="K44" s="134" t="s">
        <v>42</v>
      </c>
      <c r="L44" s="50"/>
    </row>
    <row r="45" ht="14.25" customHeight="1" outlineLevel="1">
      <c r="A45" s="39">
        <v>9</v>
      </c>
      <c r="B45" s="46" t="s">
        <v>54</v>
      </c>
      <c r="C45" s="46" t="s">
        <v>369</v>
      </c>
      <c r="D45" s="46" t="s">
        <v>370</v>
      </c>
      <c r="E45" s="87">
        <v>40000</v>
      </c>
      <c r="F45" s="48" t="s">
        <v>57</v>
      </c>
      <c r="G45" s="48" t="s">
        <v>39</v>
      </c>
      <c r="H45" s="46" t="s">
        <v>357</v>
      </c>
      <c r="I45" s="40" t="s">
        <v>41</v>
      </c>
      <c r="J45" s="46"/>
      <c r="K45" s="134" t="s">
        <v>42</v>
      </c>
      <c r="L45" s="50"/>
    </row>
    <row r="46" ht="14.25" customHeight="1" outlineLevel="1">
      <c r="A46" s="45">
        <v>10</v>
      </c>
      <c r="B46" s="46" t="s">
        <v>54</v>
      </c>
      <c r="C46" s="46" t="s">
        <v>371</v>
      </c>
      <c r="D46" s="46" t="s">
        <v>372</v>
      </c>
      <c r="E46" s="87">
        <v>56000</v>
      </c>
      <c r="F46" s="48" t="s">
        <v>57</v>
      </c>
      <c r="G46" s="48" t="s">
        <v>39</v>
      </c>
      <c r="H46" s="46" t="s">
        <v>357</v>
      </c>
      <c r="I46" s="40" t="s">
        <v>41</v>
      </c>
      <c r="J46" s="46"/>
      <c r="K46" s="134" t="s">
        <v>42</v>
      </c>
      <c r="L46" s="50"/>
    </row>
    <row r="47" ht="14.25" customHeight="1" outlineLevel="1">
      <c r="A47" s="45">
        <v>11</v>
      </c>
      <c r="B47" s="46" t="s">
        <v>54</v>
      </c>
      <c r="C47" s="46" t="s">
        <v>172</v>
      </c>
      <c r="D47" s="46" t="s">
        <v>373</v>
      </c>
      <c r="E47" s="87">
        <f>90000+95000</f>
        <v>185000</v>
      </c>
      <c r="F47" s="48" t="s">
        <v>57</v>
      </c>
      <c r="G47" s="48" t="s">
        <v>39</v>
      </c>
      <c r="H47" s="46" t="s">
        <v>357</v>
      </c>
      <c r="I47" s="40" t="s">
        <v>41</v>
      </c>
      <c r="J47" s="46"/>
      <c r="K47" s="134" t="s">
        <v>42</v>
      </c>
      <c r="L47" s="50"/>
    </row>
    <row r="48" ht="14.25" customHeight="1" outlineLevel="1">
      <c r="A48" s="39">
        <v>12</v>
      </c>
      <c r="B48" s="46" t="s">
        <v>54</v>
      </c>
      <c r="C48" s="46" t="s">
        <v>62</v>
      </c>
      <c r="D48" s="46" t="s">
        <v>374</v>
      </c>
      <c r="E48" s="87">
        <v>98000</v>
      </c>
      <c r="F48" s="48" t="s">
        <v>57</v>
      </c>
      <c r="G48" s="48" t="s">
        <v>39</v>
      </c>
      <c r="H48" s="46" t="s">
        <v>357</v>
      </c>
      <c r="I48" s="40" t="s">
        <v>41</v>
      </c>
      <c r="J48" s="46"/>
      <c r="K48" s="134" t="s">
        <v>42</v>
      </c>
      <c r="L48" s="50"/>
    </row>
    <row r="49" ht="14.25" customHeight="1" outlineLevel="1">
      <c r="A49" s="45">
        <v>13</v>
      </c>
      <c r="B49" s="46" t="s">
        <v>54</v>
      </c>
      <c r="C49" s="46" t="s">
        <v>375</v>
      </c>
      <c r="D49" s="46" t="s">
        <v>376</v>
      </c>
      <c r="E49" s="87">
        <v>40000</v>
      </c>
      <c r="F49" s="48" t="s">
        <v>57</v>
      </c>
      <c r="G49" s="48" t="s">
        <v>39</v>
      </c>
      <c r="H49" s="46" t="s">
        <v>357</v>
      </c>
      <c r="I49" s="40" t="s">
        <v>41</v>
      </c>
      <c r="J49" s="46"/>
      <c r="K49" s="134" t="s">
        <v>42</v>
      </c>
      <c r="L49" s="50"/>
    </row>
    <row r="50" ht="14.25" customHeight="1" outlineLevel="1">
      <c r="A50" s="45">
        <v>14</v>
      </c>
      <c r="B50" s="46" t="s">
        <v>54</v>
      </c>
      <c r="C50" s="46" t="s">
        <v>377</v>
      </c>
      <c r="D50" s="46" t="s">
        <v>378</v>
      </c>
      <c r="E50" s="87">
        <v>6825</v>
      </c>
      <c r="F50" s="48" t="s">
        <v>57</v>
      </c>
      <c r="G50" s="48" t="s">
        <v>39</v>
      </c>
      <c r="H50" s="46" t="s">
        <v>357</v>
      </c>
      <c r="I50" s="40" t="s">
        <v>41</v>
      </c>
      <c r="J50" s="46" t="s">
        <v>379</v>
      </c>
      <c r="K50" s="134" t="s">
        <v>42</v>
      </c>
      <c r="L50" s="50"/>
    </row>
    <row r="51" ht="14.25" customHeight="1" outlineLevel="1">
      <c r="A51" s="45">
        <v>15</v>
      </c>
      <c r="B51" s="124" t="s">
        <v>380</v>
      </c>
      <c r="C51" s="125" t="s">
        <v>381</v>
      </c>
      <c r="D51" s="125" t="s">
        <v>382</v>
      </c>
      <c r="E51" s="238">
        <v>32000</v>
      </c>
      <c r="F51" s="127" t="s">
        <v>57</v>
      </c>
      <c r="G51" s="127"/>
      <c r="H51" s="46" t="s">
        <v>357</v>
      </c>
      <c r="I51" s="40" t="s">
        <v>41</v>
      </c>
      <c r="J51" s="46"/>
      <c r="K51" s="55" t="s">
        <v>42</v>
      </c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239" t="s">
        <v>23</v>
      </c>
      <c r="C57" s="35"/>
      <c r="D57" s="36"/>
      <c r="E57" s="34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46" t="s">
        <v>35</v>
      </c>
      <c r="C58" s="52" t="s">
        <v>383</v>
      </c>
      <c r="D58" s="52" t="s">
        <v>384</v>
      </c>
      <c r="E58" s="240">
        <v>60975.599999999999</v>
      </c>
      <c r="F58" s="241" t="s">
        <v>385</v>
      </c>
      <c r="G58" s="237" t="s">
        <v>39</v>
      </c>
      <c r="H58" s="46" t="s">
        <v>288</v>
      </c>
      <c r="I58" s="40" t="s">
        <v>41</v>
      </c>
      <c r="J58" s="52"/>
      <c r="K58" s="55" t="s">
        <v>42</v>
      </c>
      <c r="L58" s="56"/>
    </row>
    <row r="59" ht="42.75" customHeight="1" outlineLevel="1">
      <c r="A59" s="45">
        <v>2</v>
      </c>
      <c r="B59" s="46" t="s">
        <v>72</v>
      </c>
      <c r="C59" s="46" t="s">
        <v>386</v>
      </c>
      <c r="D59" s="46" t="s">
        <v>387</v>
      </c>
      <c r="E59" s="138">
        <v>61200</v>
      </c>
      <c r="F59" s="48" t="s">
        <v>388</v>
      </c>
      <c r="G59" s="48" t="s">
        <v>39</v>
      </c>
      <c r="H59" s="242" t="s">
        <v>357</v>
      </c>
      <c r="I59" s="40" t="s">
        <v>41</v>
      </c>
      <c r="J59" s="46"/>
      <c r="K59" s="49" t="s">
        <v>42</v>
      </c>
      <c r="L59" s="50"/>
    </row>
    <row r="60" ht="14.25" customHeight="1" outlineLevel="1">
      <c r="A60" s="45">
        <v>3</v>
      </c>
      <c r="B60" s="46" t="s">
        <v>72</v>
      </c>
      <c r="C60" s="46" t="s">
        <v>389</v>
      </c>
      <c r="D60" s="46" t="s">
        <v>390</v>
      </c>
      <c r="E60" s="138">
        <v>3009.48</v>
      </c>
      <c r="F60" s="48" t="s">
        <v>391</v>
      </c>
      <c r="G60" s="243" t="s">
        <v>39</v>
      </c>
      <c r="H60" s="242" t="s">
        <v>357</v>
      </c>
      <c r="I60" s="40" t="s">
        <v>41</v>
      </c>
      <c r="J60" s="46"/>
      <c r="K60" s="49" t="s">
        <v>42</v>
      </c>
      <c r="L60" s="50"/>
    </row>
    <row r="61" ht="14.25" customHeight="1" outlineLevel="1">
      <c r="A61" s="45">
        <v>4</v>
      </c>
      <c r="B61" s="242" t="s">
        <v>72</v>
      </c>
      <c r="C61" s="242" t="s">
        <v>392</v>
      </c>
      <c r="D61" s="242" t="s">
        <v>393</v>
      </c>
      <c r="E61" s="138">
        <v>150000</v>
      </c>
      <c r="F61" s="243" t="s">
        <v>394</v>
      </c>
      <c r="G61" s="243" t="s">
        <v>39</v>
      </c>
      <c r="H61" s="242" t="s">
        <v>357</v>
      </c>
      <c r="I61" s="244" t="s">
        <v>41</v>
      </c>
      <c r="J61" s="242"/>
      <c r="K61" s="49" t="s">
        <v>42</v>
      </c>
      <c r="L61" s="245"/>
    </row>
    <row r="62" ht="14.25" customHeight="1" outlineLevel="1">
      <c r="A62" s="45">
        <v>5</v>
      </c>
      <c r="B62" s="242" t="s">
        <v>72</v>
      </c>
      <c r="C62" s="242" t="s">
        <v>395</v>
      </c>
      <c r="D62" s="242" t="s">
        <v>396</v>
      </c>
      <c r="E62" s="138">
        <v>8250</v>
      </c>
      <c r="F62" s="243" t="s">
        <v>391</v>
      </c>
      <c r="G62" s="243" t="s">
        <v>39</v>
      </c>
      <c r="H62" s="242" t="s">
        <v>357</v>
      </c>
      <c r="I62" s="244" t="s">
        <v>41</v>
      </c>
      <c r="J62" s="242"/>
      <c r="K62" s="49" t="s">
        <v>42</v>
      </c>
      <c r="L62" s="245"/>
    </row>
    <row r="63" ht="14.25" customHeight="1" outlineLevel="1">
      <c r="A63" s="45">
        <v>6</v>
      </c>
      <c r="B63" s="242" t="s">
        <v>72</v>
      </c>
      <c r="C63" s="242" t="s">
        <v>397</v>
      </c>
      <c r="D63" s="242" t="s">
        <v>398</v>
      </c>
      <c r="E63" s="138">
        <v>3503.8200000000002</v>
      </c>
      <c r="F63" s="243" t="s">
        <v>399</v>
      </c>
      <c r="G63" s="243" t="s">
        <v>39</v>
      </c>
      <c r="H63" s="242" t="s">
        <v>357</v>
      </c>
      <c r="I63" s="244" t="s">
        <v>41</v>
      </c>
      <c r="J63" s="242"/>
      <c r="K63" s="49" t="s">
        <v>42</v>
      </c>
      <c r="L63" s="245"/>
    </row>
    <row r="64" ht="28.5" outlineLevel="1">
      <c r="A64" s="45">
        <v>7</v>
      </c>
      <c r="B64" s="242" t="s">
        <v>72</v>
      </c>
      <c r="C64" s="242" t="s">
        <v>400</v>
      </c>
      <c r="D64" s="242" t="s">
        <v>401</v>
      </c>
      <c r="E64" s="138">
        <v>22500</v>
      </c>
      <c r="F64" s="243" t="s">
        <v>402</v>
      </c>
      <c r="G64" s="243" t="s">
        <v>39</v>
      </c>
      <c r="H64" s="242" t="s">
        <v>357</v>
      </c>
      <c r="I64" s="244" t="s">
        <v>41</v>
      </c>
      <c r="J64" s="242"/>
      <c r="K64" s="49" t="s">
        <v>42</v>
      </c>
      <c r="L64" s="245"/>
    </row>
    <row r="65" ht="14.25" customHeight="1" outlineLevel="1">
      <c r="A65" s="45">
        <v>8</v>
      </c>
      <c r="B65" s="242" t="s">
        <v>72</v>
      </c>
      <c r="C65" s="242" t="s">
        <v>403</v>
      </c>
      <c r="D65" s="242" t="s">
        <v>404</v>
      </c>
      <c r="E65" s="138">
        <v>16968</v>
      </c>
      <c r="F65" s="246" t="s">
        <v>405</v>
      </c>
      <c r="G65" s="243" t="s">
        <v>154</v>
      </c>
      <c r="H65" s="247" t="s">
        <v>208</v>
      </c>
      <c r="I65" s="244" t="s">
        <v>41</v>
      </c>
      <c r="J65" s="242"/>
      <c r="K65" s="49" t="s">
        <v>42</v>
      </c>
      <c r="L65" s="245"/>
    </row>
    <row r="66" ht="14.25" customHeight="1" outlineLevel="1">
      <c r="A66" s="45">
        <v>9</v>
      </c>
      <c r="B66" s="242" t="s">
        <v>72</v>
      </c>
      <c r="C66" s="242" t="s">
        <v>205</v>
      </c>
      <c r="D66" s="242" t="s">
        <v>406</v>
      </c>
      <c r="E66" s="138">
        <v>2860</v>
      </c>
      <c r="F66" s="246" t="s">
        <v>207</v>
      </c>
      <c r="G66" s="243" t="s">
        <v>154</v>
      </c>
      <c r="H66" s="247" t="s">
        <v>208</v>
      </c>
      <c r="I66" s="244" t="s">
        <v>41</v>
      </c>
      <c r="J66" s="242"/>
      <c r="K66" s="49" t="s">
        <v>42</v>
      </c>
      <c r="L66" s="245"/>
    </row>
    <row r="67" ht="14.25" customHeight="1" outlineLevel="1">
      <c r="A67" s="45">
        <v>10</v>
      </c>
      <c r="B67" s="242" t="s">
        <v>72</v>
      </c>
      <c r="C67" s="242" t="s">
        <v>209</v>
      </c>
      <c r="D67" s="242" t="s">
        <v>407</v>
      </c>
      <c r="E67" s="138">
        <v>11432.120000000001</v>
      </c>
      <c r="F67" s="246" t="s">
        <v>408</v>
      </c>
      <c r="G67" s="243" t="s">
        <v>154</v>
      </c>
      <c r="H67" s="247" t="s">
        <v>208</v>
      </c>
      <c r="I67" s="244" t="s">
        <v>41</v>
      </c>
      <c r="J67" s="242"/>
      <c r="K67" s="49" t="s">
        <v>42</v>
      </c>
      <c r="L67" s="245"/>
    </row>
    <row r="68" ht="14.25" customHeight="1" outlineLevel="1">
      <c r="A68" s="45">
        <v>11</v>
      </c>
      <c r="B68" s="242" t="s">
        <v>72</v>
      </c>
      <c r="C68" s="242" t="s">
        <v>209</v>
      </c>
      <c r="D68" s="242" t="s">
        <v>210</v>
      </c>
      <c r="E68" s="138">
        <v>28690</v>
      </c>
      <c r="F68" s="246" t="s">
        <v>211</v>
      </c>
      <c r="G68" s="243" t="s">
        <v>154</v>
      </c>
      <c r="H68" s="247" t="s">
        <v>208</v>
      </c>
      <c r="I68" s="244" t="s">
        <v>41</v>
      </c>
      <c r="J68" s="242"/>
      <c r="K68" s="49" t="s">
        <v>42</v>
      </c>
      <c r="L68" s="245"/>
    </row>
    <row r="69" ht="14.25" customHeight="1" outlineLevel="1">
      <c r="A69" s="45">
        <v>12</v>
      </c>
      <c r="B69" s="88" t="s">
        <v>35</v>
      </c>
      <c r="C69" s="88" t="s">
        <v>409</v>
      </c>
      <c r="D69" s="88" t="s">
        <v>410</v>
      </c>
      <c r="E69" s="248">
        <v>79000</v>
      </c>
      <c r="F69" s="99" t="s">
        <v>411</v>
      </c>
      <c r="G69" s="249" t="s">
        <v>39</v>
      </c>
      <c r="H69" s="242" t="s">
        <v>357</v>
      </c>
      <c r="I69" s="244" t="s">
        <v>41</v>
      </c>
      <c r="J69" s="136" t="s">
        <v>412</v>
      </c>
      <c r="K69" s="49" t="s">
        <v>42</v>
      </c>
      <c r="L69" s="50"/>
    </row>
    <row r="70" ht="14.25" customHeight="1" outlineLevel="1">
      <c r="A70" s="45">
        <v>13</v>
      </c>
      <c r="B70" s="101" t="s">
        <v>35</v>
      </c>
      <c r="C70" s="101" t="s">
        <v>413</v>
      </c>
      <c r="D70" s="101" t="s">
        <v>414</v>
      </c>
      <c r="E70" s="250">
        <v>193625.60000000001</v>
      </c>
      <c r="F70" s="251" t="s">
        <v>415</v>
      </c>
      <c r="G70" s="252" t="s">
        <v>39</v>
      </c>
      <c r="H70" s="242" t="s">
        <v>357</v>
      </c>
      <c r="I70" s="190" t="s">
        <v>41</v>
      </c>
      <c r="J70" s="136" t="s">
        <v>412</v>
      </c>
      <c r="K70" s="49" t="s">
        <v>42</v>
      </c>
      <c r="L70" s="50"/>
    </row>
    <row r="71" ht="14.4" outlineLevel="1">
      <c r="A71" s="45">
        <v>14</v>
      </c>
      <c r="B71" s="101" t="s">
        <v>35</v>
      </c>
      <c r="C71" s="101" t="s">
        <v>416</v>
      </c>
      <c r="D71" s="101" t="s">
        <v>417</v>
      </c>
      <c r="E71" s="142">
        <v>41000</v>
      </c>
      <c r="F71" s="243" t="s">
        <v>418</v>
      </c>
      <c r="G71" s="252" t="s">
        <v>39</v>
      </c>
      <c r="H71" s="242" t="s">
        <v>357</v>
      </c>
      <c r="I71" s="190" t="s">
        <v>41</v>
      </c>
      <c r="J71" s="136"/>
      <c r="K71" s="49" t="s">
        <v>42</v>
      </c>
      <c r="L71" s="50"/>
    </row>
    <row r="72" ht="14.4" outlineLevel="1">
      <c r="A72" s="45">
        <v>15</v>
      </c>
      <c r="B72" s="101" t="s">
        <v>35</v>
      </c>
      <c r="C72" s="101" t="s">
        <v>419</v>
      </c>
      <c r="D72" s="101" t="s">
        <v>420</v>
      </c>
      <c r="E72" s="109">
        <v>2605</v>
      </c>
      <c r="F72" s="243" t="s">
        <v>421</v>
      </c>
      <c r="G72" s="252" t="s">
        <v>39</v>
      </c>
      <c r="H72" s="242" t="s">
        <v>357</v>
      </c>
      <c r="I72" s="190" t="s">
        <v>41</v>
      </c>
      <c r="J72" s="136"/>
      <c r="K72" s="49" t="s">
        <v>42</v>
      </c>
      <c r="L72" s="50"/>
    </row>
    <row r="73" ht="42.75" outlineLevel="1">
      <c r="A73" s="45">
        <v>16</v>
      </c>
      <c r="B73" s="105" t="s">
        <v>115</v>
      </c>
      <c r="C73" s="105" t="s">
        <v>116</v>
      </c>
      <c r="D73" s="105" t="s">
        <v>422</v>
      </c>
      <c r="E73" s="109">
        <v>320000</v>
      </c>
      <c r="F73" s="243" t="s">
        <v>187</v>
      </c>
      <c r="G73" s="110" t="s">
        <v>39</v>
      </c>
      <c r="H73" s="242" t="s">
        <v>357</v>
      </c>
      <c r="I73" s="40" t="s">
        <v>41</v>
      </c>
      <c r="J73" s="46"/>
      <c r="K73" s="49" t="s">
        <v>42</v>
      </c>
      <c r="L73" s="50"/>
    </row>
    <row r="74" ht="28.5" outlineLevel="1">
      <c r="A74" s="45">
        <v>17</v>
      </c>
      <c r="B74" s="105" t="s">
        <v>115</v>
      </c>
      <c r="C74" s="105" t="s">
        <v>215</v>
      </c>
      <c r="D74" s="105" t="s">
        <v>216</v>
      </c>
      <c r="E74" s="109">
        <v>12000</v>
      </c>
      <c r="F74" s="243" t="s">
        <v>217</v>
      </c>
      <c r="G74" s="110" t="s">
        <v>39</v>
      </c>
      <c r="H74" s="242" t="s">
        <v>357</v>
      </c>
      <c r="I74" s="40" t="s">
        <v>41</v>
      </c>
      <c r="J74" s="136" t="s">
        <v>219</v>
      </c>
      <c r="K74" s="49" t="s">
        <v>42</v>
      </c>
      <c r="L74" s="50"/>
    </row>
    <row r="75" ht="28.5" outlineLevel="1">
      <c r="A75" s="45">
        <v>18</v>
      </c>
      <c r="B75" s="105" t="s">
        <v>115</v>
      </c>
      <c r="C75" s="105" t="s">
        <v>123</v>
      </c>
      <c r="D75" s="105" t="s">
        <v>220</v>
      </c>
      <c r="E75" s="109">
        <v>37543.910000000003</v>
      </c>
      <c r="F75" s="243" t="s">
        <v>221</v>
      </c>
      <c r="G75" s="110" t="s">
        <v>39</v>
      </c>
      <c r="H75" s="242" t="s">
        <v>357</v>
      </c>
      <c r="I75" s="40" t="s">
        <v>41</v>
      </c>
      <c r="J75" s="46"/>
      <c r="K75" s="49" t="s">
        <v>42</v>
      </c>
      <c r="L75" s="50"/>
    </row>
    <row r="76" ht="42.75" outlineLevel="1">
      <c r="A76" s="45">
        <v>19</v>
      </c>
      <c r="B76" s="105"/>
      <c r="C76" s="105"/>
      <c r="D76" s="105"/>
      <c r="E76" s="253"/>
      <c r="F76" s="243"/>
      <c r="G76" s="110"/>
      <c r="H76" s="242"/>
      <c r="I76" s="40"/>
      <c r="J76" s="46"/>
      <c r="K76" s="49"/>
      <c r="L76" s="50"/>
    </row>
    <row r="77" ht="14.25" customHeight="1" outlineLevel="1">
      <c r="A77" s="45">
        <v>20</v>
      </c>
      <c r="B77" s="111"/>
      <c r="C77" s="111"/>
      <c r="D77" s="111"/>
      <c r="E77" s="112"/>
      <c r="F77" s="113"/>
      <c r="G77" s="113"/>
      <c r="H77" s="57"/>
      <c r="I77" s="40"/>
      <c r="J77" s="57"/>
      <c r="K77" s="60"/>
      <c r="L77" s="61"/>
    </row>
    <row r="78" s="32" customFormat="1" ht="19.5" customHeight="1" outlineLevel="1">
      <c r="A78" s="33"/>
      <c r="B78" s="34" t="s">
        <v>24</v>
      </c>
      <c r="C78" s="35"/>
      <c r="D78" s="36"/>
      <c r="E78" s="37"/>
      <c r="F78" s="34"/>
      <c r="G78" s="34"/>
      <c r="H78" s="34"/>
      <c r="I78" s="34"/>
      <c r="J78" s="34"/>
      <c r="K78" s="34"/>
      <c r="L78" s="38"/>
    </row>
    <row r="79" ht="14.25" customHeight="1" outlineLevel="1">
      <c r="A79" s="62">
        <v>1</v>
      </c>
      <c r="B79" s="52" t="s">
        <v>126</v>
      </c>
      <c r="C79" s="52" t="s">
        <v>423</v>
      </c>
      <c r="D79" s="52"/>
      <c r="E79" s="128">
        <v>40800</v>
      </c>
      <c r="F79" s="54" t="s">
        <v>424</v>
      </c>
      <c r="G79" s="48" t="s">
        <v>154</v>
      </c>
      <c r="H79" s="242" t="s">
        <v>357</v>
      </c>
      <c r="I79" s="40"/>
      <c r="J79" s="52"/>
      <c r="K79" s="55" t="s">
        <v>42</v>
      </c>
      <c r="L79" s="56"/>
    </row>
    <row r="80" ht="14.25" customHeight="1" outlineLevel="1">
      <c r="A80" s="45">
        <v>2</v>
      </c>
      <c r="B80" s="95" t="s">
        <v>135</v>
      </c>
      <c r="C80" s="95" t="s">
        <v>136</v>
      </c>
      <c r="D80" s="95" t="s">
        <v>425</v>
      </c>
      <c r="E80" s="96" t="s">
        <v>426</v>
      </c>
      <c r="F80" s="97" t="s">
        <v>427</v>
      </c>
      <c r="G80" s="97" t="s">
        <v>39</v>
      </c>
      <c r="H80" s="95" t="s">
        <v>357</v>
      </c>
      <c r="I80" s="116" t="s">
        <v>41</v>
      </c>
      <c r="J80" s="95" t="s">
        <v>428</v>
      </c>
      <c r="K80" s="49"/>
      <c r="L80" s="50"/>
    </row>
    <row r="81" ht="14.25" customHeight="1" outlineLevel="1">
      <c r="A81" s="45">
        <v>3</v>
      </c>
      <c r="B81" s="46" t="s">
        <v>248</v>
      </c>
      <c r="C81" s="46" t="s">
        <v>429</v>
      </c>
      <c r="D81" s="46" t="s">
        <v>430</v>
      </c>
      <c r="E81" s="87">
        <v>1525</v>
      </c>
      <c r="F81" s="48" t="s">
        <v>431</v>
      </c>
      <c r="G81" s="48" t="s">
        <v>154</v>
      </c>
      <c r="H81" s="242" t="s">
        <v>357</v>
      </c>
      <c r="I81" s="40" t="s">
        <v>41</v>
      </c>
      <c r="J81" s="46"/>
      <c r="K81" s="49" t="s">
        <v>42</v>
      </c>
      <c r="L81" s="50"/>
    </row>
    <row r="82" ht="14.25" customHeight="1" outlineLevel="1">
      <c r="A82" s="45">
        <v>4</v>
      </c>
      <c r="B82" s="46" t="s">
        <v>248</v>
      </c>
      <c r="C82" s="46" t="s">
        <v>429</v>
      </c>
      <c r="D82" s="46" t="s">
        <v>432</v>
      </c>
      <c r="E82" s="87">
        <v>17870.200000000001</v>
      </c>
      <c r="F82" s="48" t="s">
        <v>433</v>
      </c>
      <c r="G82" s="48" t="s">
        <v>154</v>
      </c>
      <c r="H82" s="242" t="s">
        <v>357</v>
      </c>
      <c r="I82" s="40" t="s">
        <v>41</v>
      </c>
      <c r="J82" s="46"/>
      <c r="K82" s="49" t="s">
        <v>42</v>
      </c>
      <c r="L82" s="50"/>
    </row>
    <row r="83" ht="28.5" outlineLevel="1">
      <c r="A83" s="45">
        <v>5</v>
      </c>
      <c r="B83" s="46" t="s">
        <v>248</v>
      </c>
      <c r="C83" s="46" t="s">
        <v>434</v>
      </c>
      <c r="D83" s="46" t="s">
        <v>435</v>
      </c>
      <c r="E83" s="87">
        <v>23887</v>
      </c>
      <c r="F83" s="48" t="s">
        <v>436</v>
      </c>
      <c r="G83" s="48" t="s">
        <v>154</v>
      </c>
      <c r="H83" s="242" t="s">
        <v>357</v>
      </c>
      <c r="I83" s="40" t="s">
        <v>41</v>
      </c>
      <c r="J83" s="46"/>
      <c r="K83" s="49" t="s">
        <v>42</v>
      </c>
      <c r="L83" s="50"/>
    </row>
    <row r="84" ht="14.25" customHeight="1" outlineLevel="1">
      <c r="A84" s="45">
        <v>6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7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8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9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10</v>
      </c>
      <c r="B88" s="46"/>
      <c r="C88" s="46"/>
      <c r="D88" s="46"/>
      <c r="E88" s="47"/>
      <c r="F88" s="48"/>
      <c r="G88" s="48"/>
      <c r="H88" s="46"/>
      <c r="I88" s="40"/>
      <c r="J88" s="46"/>
      <c r="K88" s="49"/>
      <c r="L88" s="50"/>
    </row>
    <row r="89" ht="14.25" customHeight="1" outlineLevel="1">
      <c r="A89" s="45">
        <v>11</v>
      </c>
      <c r="B89" s="46"/>
      <c r="C89" s="46"/>
      <c r="D89" s="46"/>
      <c r="E89" s="47"/>
      <c r="F89" s="48"/>
      <c r="G89" s="48"/>
      <c r="H89" s="46"/>
      <c r="I89" s="40"/>
      <c r="J89" s="46"/>
      <c r="K89" s="49"/>
      <c r="L89" s="50"/>
    </row>
    <row r="90" ht="14.25" customHeight="1" outlineLevel="1">
      <c r="A90" s="45">
        <v>12</v>
      </c>
      <c r="B90" s="46"/>
      <c r="C90" s="46"/>
      <c r="D90" s="46"/>
      <c r="E90" s="47"/>
      <c r="F90" s="48"/>
      <c r="G90" s="48"/>
      <c r="H90" s="46"/>
      <c r="I90" s="40"/>
      <c r="J90" s="46"/>
      <c r="K90" s="49"/>
      <c r="L90" s="50"/>
    </row>
    <row r="91" ht="14.25" customHeight="1" outlineLevel="1">
      <c r="A91" s="45">
        <v>13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14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15</v>
      </c>
      <c r="B93" s="57"/>
      <c r="C93" s="57"/>
      <c r="D93" s="57"/>
      <c r="E93" s="58"/>
      <c r="F93" s="59"/>
      <c r="G93" s="59"/>
      <c r="H93" s="57"/>
      <c r="I93" s="40"/>
      <c r="J93" s="57"/>
      <c r="K93" s="60"/>
      <c r="L93" s="61"/>
    </row>
    <row r="94" s="32" customFormat="1" ht="19.5" customHeight="1" outlineLevel="1">
      <c r="A94" s="33"/>
      <c r="B94" s="34" t="s">
        <v>25</v>
      </c>
      <c r="C94" s="35"/>
      <c r="D94" s="36"/>
      <c r="E94" s="37"/>
      <c r="F94" s="34"/>
      <c r="G94" s="34"/>
      <c r="H94" s="34"/>
      <c r="I94" s="34"/>
      <c r="J94" s="34"/>
      <c r="K94" s="34"/>
      <c r="L94" s="38"/>
    </row>
    <row r="95" ht="14.25" customHeight="1" outlineLevel="1">
      <c r="A95" s="45">
        <v>1</v>
      </c>
      <c r="B95" s="254" t="s">
        <v>437</v>
      </c>
      <c r="C95" s="255" t="s">
        <v>438</v>
      </c>
      <c r="D95" s="255" t="s">
        <v>439</v>
      </c>
      <c r="E95" s="256">
        <v>2696</v>
      </c>
      <c r="F95" s="257" t="s">
        <v>440</v>
      </c>
      <c r="G95" s="257"/>
      <c r="H95" s="247" t="s">
        <v>208</v>
      </c>
      <c r="I95" s="40"/>
      <c r="J95" s="52"/>
      <c r="K95" s="55" t="s">
        <v>42</v>
      </c>
      <c r="L95" s="56"/>
    </row>
    <row r="96" ht="28.5" customHeight="1" outlineLevel="1">
      <c r="A96" s="89">
        <v>2</v>
      </c>
      <c r="B96" s="172" t="s">
        <v>155</v>
      </c>
      <c r="C96" s="172" t="s">
        <v>441</v>
      </c>
      <c r="D96" s="172" t="s">
        <v>442</v>
      </c>
      <c r="E96" s="173">
        <v>263750</v>
      </c>
      <c r="F96" s="172" t="s">
        <v>443</v>
      </c>
      <c r="G96" s="258" t="s">
        <v>154</v>
      </c>
      <c r="H96" s="242" t="s">
        <v>357</v>
      </c>
      <c r="I96" s="40"/>
      <c r="J96" s="154" t="s">
        <v>444</v>
      </c>
      <c r="K96" s="49" t="s">
        <v>42</v>
      </c>
      <c r="L96" s="50"/>
    </row>
    <row r="97" ht="14.25" customHeight="1" outlineLevel="1">
      <c r="A97" s="45">
        <v>3</v>
      </c>
      <c r="B97" s="40"/>
      <c r="C97" s="40"/>
      <c r="D97" s="40"/>
      <c r="E97" s="41"/>
      <c r="F97" s="42"/>
      <c r="G97" s="42"/>
      <c r="H97" s="46"/>
      <c r="I97" s="40"/>
      <c r="J97" s="46"/>
      <c r="K97" s="49"/>
      <c r="L97" s="50"/>
    </row>
    <row r="98" ht="14.25" customHeight="1" outlineLevel="1">
      <c r="A98" s="45">
        <v>4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5</v>
      </c>
      <c r="B99" s="46"/>
      <c r="C99" s="46"/>
      <c r="D99" s="46"/>
      <c r="E99" s="47"/>
      <c r="F99" s="48"/>
      <c r="G99" s="48"/>
      <c r="H99" s="46"/>
      <c r="I99" s="40"/>
      <c r="J99" s="46"/>
      <c r="K99" s="49"/>
      <c r="L99" s="50"/>
    </row>
    <row r="100" ht="14.25" customHeight="1" outlineLevel="1">
      <c r="A100" s="45">
        <v>6</v>
      </c>
      <c r="B100" s="46"/>
      <c r="C100" s="46"/>
      <c r="D100" s="46"/>
      <c r="E100" s="47"/>
      <c r="F100" s="48"/>
      <c r="G100" s="48"/>
      <c r="H100" s="46"/>
      <c r="I100" s="40"/>
      <c r="J100" s="46"/>
      <c r="K100" s="49"/>
      <c r="L100" s="50"/>
    </row>
    <row r="101" ht="14.25" customHeight="1" outlineLevel="1">
      <c r="A101" s="45">
        <v>7</v>
      </c>
      <c r="B101" s="46"/>
      <c r="C101" s="46"/>
      <c r="D101" s="46"/>
      <c r="E101" s="47"/>
      <c r="F101" s="48"/>
      <c r="G101" s="48"/>
      <c r="H101" s="46"/>
      <c r="I101" s="40"/>
      <c r="J101" s="46"/>
      <c r="K101" s="49"/>
      <c r="L101" s="50"/>
    </row>
    <row r="102" ht="14.25" customHeight="1" outlineLevel="1">
      <c r="A102" s="45">
        <v>8</v>
      </c>
      <c r="B102" s="46"/>
      <c r="C102" s="46"/>
      <c r="D102" s="46"/>
      <c r="E102" s="47"/>
      <c r="F102" s="48"/>
      <c r="G102" s="48"/>
      <c r="H102" s="46"/>
      <c r="I102" s="40"/>
      <c r="J102" s="46"/>
      <c r="K102" s="49"/>
      <c r="L102" s="50"/>
    </row>
    <row r="103" ht="14.25" customHeight="1" outlineLevel="1">
      <c r="A103" s="45">
        <v>9</v>
      </c>
      <c r="B103" s="46"/>
      <c r="C103" s="46"/>
      <c r="D103" s="46"/>
      <c r="E103" s="47"/>
      <c r="F103" s="48"/>
      <c r="G103" s="48"/>
      <c r="H103" s="46"/>
      <c r="I103" s="40"/>
      <c r="J103" s="46"/>
      <c r="K103" s="49"/>
      <c r="L103" s="50"/>
    </row>
    <row r="104" ht="14.25" customHeight="1" outlineLevel="1">
      <c r="A104" s="45">
        <v>10</v>
      </c>
      <c r="B104" s="57"/>
      <c r="C104" s="57"/>
      <c r="D104" s="57"/>
      <c r="E104" s="58"/>
      <c r="F104" s="59"/>
      <c r="G104" s="59"/>
      <c r="H104" s="57"/>
      <c r="I104" s="40"/>
      <c r="J104" s="57"/>
      <c r="K104" s="60"/>
      <c r="L104" s="61"/>
    </row>
    <row r="105" s="32" customFormat="1" ht="19.5" customHeight="1" outlineLevel="1">
      <c r="A105" s="33"/>
      <c r="B105" s="34" t="s">
        <v>26</v>
      </c>
      <c r="C105" s="35"/>
      <c r="D105" s="36"/>
      <c r="E105" s="37"/>
      <c r="F105" s="34"/>
      <c r="G105" s="34"/>
      <c r="H105" s="34"/>
      <c r="I105" s="34"/>
      <c r="J105" s="34"/>
      <c r="K105" s="34"/>
      <c r="L105" s="38"/>
    </row>
    <row r="106" ht="14.25" customHeight="1" outlineLevel="1">
      <c r="A106" s="62">
        <v>1</v>
      </c>
      <c r="B106" s="52" t="s">
        <v>445</v>
      </c>
      <c r="C106" s="52" t="s">
        <v>446</v>
      </c>
      <c r="D106" s="259" t="s">
        <v>447</v>
      </c>
      <c r="E106" s="260">
        <v>1293274.97</v>
      </c>
      <c r="F106" s="261" t="s">
        <v>448</v>
      </c>
      <c r="G106" s="54"/>
      <c r="H106" s="242" t="s">
        <v>357</v>
      </c>
      <c r="I106" s="40"/>
      <c r="J106" s="52"/>
      <c r="K106" s="55"/>
      <c r="L106" s="56"/>
    </row>
    <row r="107" ht="14.25" customHeight="1" outlineLevel="1">
      <c r="A107" s="39">
        <v>2</v>
      </c>
      <c r="B107" s="46"/>
      <c r="C107" s="40"/>
      <c r="D107" s="40"/>
      <c r="E107" s="41"/>
      <c r="F107" s="42"/>
      <c r="G107" s="42"/>
      <c r="H107" s="40"/>
      <c r="I107" s="40"/>
      <c r="J107" s="40"/>
      <c r="K107" s="43"/>
      <c r="L107" s="44"/>
    </row>
    <row r="108" ht="14.25" customHeight="1" outlineLevel="1">
      <c r="A108" s="39">
        <v>3</v>
      </c>
      <c r="B108" s="40"/>
      <c r="C108" s="40"/>
      <c r="D108" s="40"/>
      <c r="E108" s="41"/>
      <c r="F108" s="42"/>
      <c r="G108" s="42"/>
      <c r="H108" s="40"/>
      <c r="I108" s="40"/>
      <c r="J108" s="40"/>
      <c r="K108" s="43"/>
      <c r="L108" s="44"/>
    </row>
    <row r="109" ht="14.25" customHeight="1" outlineLevel="1">
      <c r="A109" s="45">
        <v>4</v>
      </c>
      <c r="B109" s="46"/>
      <c r="C109" s="46"/>
      <c r="D109" s="46"/>
      <c r="E109" s="47"/>
      <c r="F109" s="48"/>
      <c r="G109" s="48"/>
      <c r="H109" s="46"/>
      <c r="I109" s="40"/>
      <c r="J109" s="46"/>
      <c r="K109" s="49"/>
      <c r="L109" s="50"/>
    </row>
    <row r="110" ht="14.25" customHeight="1" outlineLevel="1">
      <c r="A110" s="63">
        <v>5</v>
      </c>
      <c r="B110" s="57"/>
      <c r="C110" s="57"/>
      <c r="D110" s="57"/>
      <c r="E110" s="58"/>
      <c r="F110" s="59"/>
      <c r="G110" s="59"/>
      <c r="H110" s="57"/>
      <c r="I110" s="57"/>
      <c r="J110" s="57"/>
      <c r="K110" s="60"/>
      <c r="L110" s="61"/>
    </row>
    <row r="111" ht="23.100000000000001" customHeight="1">
      <c r="A111" s="64" t="s">
        <v>27</v>
      </c>
      <c r="B111" s="65"/>
      <c r="C111" s="65"/>
      <c r="D111" s="65"/>
      <c r="E111" s="66">
        <f>SUM(E15:E110)</f>
        <v>4734419.7000000002</v>
      </c>
    </row>
    <row r="112" ht="23.100000000000001" customHeight="1">
      <c r="A112" s="64" t="s">
        <v>28</v>
      </c>
      <c r="B112" s="65"/>
      <c r="C112" s="65"/>
      <c r="D112" s="65"/>
      <c r="E112" s="66">
        <f>E4-E111</f>
        <v>-3644123.4700000002</v>
      </c>
      <c r="F112" s="67"/>
      <c r="G112" s="67"/>
    </row>
    <row r="113" ht="24.75" customHeight="1">
      <c r="E113" s="1"/>
    </row>
    <row r="114" ht="30" customHeight="1">
      <c r="A114" s="68" t="s">
        <v>29</v>
      </c>
      <c r="B114" s="69"/>
      <c r="C114" s="69"/>
      <c r="D114" s="70"/>
      <c r="E114" s="71">
        <f>SUM(E115:E118)</f>
        <v>697262.62</v>
      </c>
      <c r="F114" s="12"/>
      <c r="G114" s="12"/>
      <c r="H114" s="12"/>
      <c r="I114" s="12"/>
      <c r="J114" s="12"/>
    </row>
    <row r="115" ht="15" customHeight="1">
      <c r="A115" s="13" t="s">
        <v>30</v>
      </c>
      <c r="B115" s="14"/>
      <c r="C115" s="14"/>
      <c r="D115" s="15"/>
      <c r="E115" s="16">
        <v>697262.62</v>
      </c>
      <c r="F115" s="12"/>
      <c r="G115" s="12"/>
      <c r="H115" s="12"/>
      <c r="I115" s="12"/>
      <c r="J115" s="12"/>
    </row>
    <row r="116">
      <c r="A116" s="72"/>
      <c r="B116" s="73"/>
      <c r="C116" s="73"/>
      <c r="D116" s="74"/>
      <c r="E116" s="75"/>
      <c r="F116" s="12"/>
      <c r="G116" s="12"/>
      <c r="H116" s="12"/>
      <c r="I116" s="12"/>
      <c r="J116" s="12"/>
    </row>
    <row r="117">
      <c r="A117" s="21"/>
      <c r="B117" s="18"/>
      <c r="C117" s="18"/>
      <c r="D117" s="19"/>
      <c r="E117" s="20"/>
      <c r="F117" s="12"/>
      <c r="G117" s="12"/>
      <c r="H117" s="12"/>
      <c r="I117" s="12"/>
      <c r="J117" s="12"/>
    </row>
    <row r="118" ht="15">
      <c r="A118" s="76"/>
      <c r="B118" s="24"/>
      <c r="C118" s="24"/>
      <c r="D118" s="25"/>
      <c r="E118" s="26"/>
      <c r="F118" s="27"/>
      <c r="G118" s="27"/>
      <c r="H118" s="27"/>
      <c r="I118" s="27"/>
      <c r="J118" s="27"/>
    </row>
    <row r="119" ht="6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</row>
    <row r="120" ht="28.5" outlineLevel="1">
      <c r="A120" s="28" t="s">
        <v>9</v>
      </c>
      <c r="B120" s="28" t="s">
        <v>10</v>
      </c>
      <c r="C120" s="28" t="s">
        <v>11</v>
      </c>
      <c r="D120" s="28" t="s">
        <v>12</v>
      </c>
      <c r="E120" s="29" t="s">
        <v>13</v>
      </c>
      <c r="F120" s="28" t="s">
        <v>14</v>
      </c>
      <c r="G120" s="30" t="s">
        <v>15</v>
      </c>
      <c r="H120" s="28" t="s">
        <v>16</v>
      </c>
      <c r="I120" s="31" t="s">
        <v>17</v>
      </c>
      <c r="J120" s="28" t="s">
        <v>18</v>
      </c>
      <c r="K120" s="28" t="s">
        <v>19</v>
      </c>
      <c r="L120" s="28" t="s">
        <v>20</v>
      </c>
    </row>
    <row r="121" ht="15" outlineLevel="1">
      <c r="A121" s="77"/>
      <c r="B121" s="78" t="s">
        <v>31</v>
      </c>
      <c r="C121" s="79"/>
      <c r="D121" s="80"/>
      <c r="E121" s="81"/>
      <c r="F121" s="78"/>
      <c r="G121" s="78"/>
      <c r="H121" s="78"/>
      <c r="I121" s="78"/>
      <c r="J121" s="78"/>
      <c r="K121" s="78"/>
      <c r="L121" s="78"/>
    </row>
    <row r="122" outlineLevel="1">
      <c r="A122" s="39">
        <v>1</v>
      </c>
      <c r="B122" s="40"/>
      <c r="C122" s="40"/>
      <c r="D122" s="40"/>
      <c r="E122" s="41"/>
      <c r="F122" s="42"/>
      <c r="G122" s="42"/>
      <c r="H122" s="40"/>
      <c r="I122" s="40"/>
      <c r="J122" s="40"/>
      <c r="K122" s="43"/>
      <c r="L122" s="44"/>
    </row>
    <row r="123" outlineLevel="1">
      <c r="A123" s="45">
        <v>2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3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45">
        <v>4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ht="15.75" customHeight="1" outlineLevel="1">
      <c r="A126" s="45">
        <v>5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6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7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8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39">
        <v>9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outlineLevel="1">
      <c r="A131" s="45">
        <v>10</v>
      </c>
      <c r="B131" s="46"/>
      <c r="C131" s="46"/>
      <c r="D131" s="46"/>
      <c r="E131" s="47"/>
      <c r="F131" s="48"/>
      <c r="G131" s="48"/>
      <c r="H131" s="46"/>
      <c r="I131" s="40"/>
      <c r="J131" s="46"/>
      <c r="K131" s="49"/>
      <c r="L131" s="50"/>
    </row>
    <row r="132" outlineLevel="1">
      <c r="A132" s="45">
        <v>11</v>
      </c>
      <c r="B132" s="46"/>
      <c r="C132" s="46"/>
      <c r="D132" s="46"/>
      <c r="E132" s="47"/>
      <c r="F132" s="48"/>
      <c r="G132" s="48"/>
      <c r="H132" s="46"/>
      <c r="I132" s="40"/>
      <c r="J132" s="46"/>
      <c r="K132" s="49"/>
      <c r="L132" s="50"/>
    </row>
    <row r="133" outlineLevel="1">
      <c r="A133" s="45">
        <v>12</v>
      </c>
      <c r="B133" s="46"/>
      <c r="C133" s="46"/>
      <c r="D133" s="46"/>
      <c r="E133" s="47"/>
      <c r="F133" s="48"/>
      <c r="G133" s="48"/>
      <c r="H133" s="46"/>
      <c r="I133" s="40"/>
      <c r="J133" s="46"/>
      <c r="K133" s="49"/>
      <c r="L133" s="50"/>
    </row>
    <row r="134" outlineLevel="1">
      <c r="A134" s="45">
        <v>13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14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ht="15" outlineLevel="1">
      <c r="A136" s="45">
        <v>15</v>
      </c>
      <c r="B136" s="57"/>
      <c r="C136" s="57"/>
      <c r="D136" s="57"/>
      <c r="E136" s="58"/>
      <c r="F136" s="59"/>
      <c r="G136" s="59"/>
      <c r="H136" s="57"/>
      <c r="I136" s="40"/>
      <c r="J136" s="57"/>
      <c r="K136" s="60"/>
      <c r="L136" s="61"/>
    </row>
    <row r="137" ht="15" outlineLevel="1">
      <c r="A137" s="77"/>
      <c r="B137" s="78" t="s">
        <v>32</v>
      </c>
      <c r="C137" s="79"/>
      <c r="D137" s="80"/>
      <c r="E137" s="81"/>
      <c r="F137" s="78"/>
      <c r="G137" s="78"/>
      <c r="H137" s="78"/>
      <c r="I137" s="78"/>
      <c r="J137" s="78"/>
      <c r="K137" s="78"/>
      <c r="L137" s="78"/>
    </row>
    <row r="138" outlineLevel="1">
      <c r="A138" s="62">
        <v>1</v>
      </c>
      <c r="B138" s="52"/>
      <c r="C138" s="52"/>
      <c r="D138" s="52"/>
      <c r="E138" s="53"/>
      <c r="F138" s="54"/>
      <c r="G138" s="54"/>
      <c r="H138" s="52"/>
      <c r="I138" s="40"/>
      <c r="J138" s="52"/>
      <c r="K138" s="55"/>
      <c r="L138" s="56"/>
    </row>
    <row r="139" outlineLevel="1">
      <c r="A139" s="45">
        <v>2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3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4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5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6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7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8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9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outlineLevel="1">
      <c r="A147" s="45">
        <v>10</v>
      </c>
      <c r="B147" s="46"/>
      <c r="C147" s="46"/>
      <c r="D147" s="46"/>
      <c r="E147" s="47"/>
      <c r="F147" s="48"/>
      <c r="G147" s="48"/>
      <c r="H147" s="46"/>
      <c r="I147" s="40"/>
      <c r="J147" s="46"/>
      <c r="K147" s="49"/>
      <c r="L147" s="50"/>
    </row>
    <row r="148" outlineLevel="1">
      <c r="A148" s="45">
        <v>11</v>
      </c>
      <c r="B148" s="46"/>
      <c r="C148" s="46"/>
      <c r="D148" s="46"/>
      <c r="E148" s="47"/>
      <c r="F148" s="48"/>
      <c r="G148" s="48"/>
      <c r="H148" s="46"/>
      <c r="I148" s="40"/>
      <c r="J148" s="46"/>
      <c r="K148" s="49"/>
      <c r="L148" s="50"/>
    </row>
    <row r="149" outlineLevel="1">
      <c r="A149" s="45">
        <v>12</v>
      </c>
      <c r="B149" s="46"/>
      <c r="C149" s="46"/>
      <c r="D149" s="46"/>
      <c r="E149" s="47"/>
      <c r="F149" s="48"/>
      <c r="G149" s="48"/>
      <c r="H149" s="46"/>
      <c r="I149" s="40"/>
      <c r="J149" s="46"/>
      <c r="K149" s="49"/>
      <c r="L149" s="50"/>
    </row>
    <row r="150" outlineLevel="1">
      <c r="A150" s="45">
        <v>13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14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ht="15" outlineLevel="1">
      <c r="A152" s="45">
        <v>15</v>
      </c>
      <c r="B152" s="57"/>
      <c r="C152" s="57"/>
      <c r="D152" s="57"/>
      <c r="E152" s="58"/>
      <c r="F152" s="59"/>
      <c r="G152" s="59"/>
      <c r="H152" s="57"/>
      <c r="I152" s="40"/>
      <c r="J152" s="57"/>
      <c r="K152" s="60"/>
      <c r="L152" s="61"/>
    </row>
    <row r="153" ht="15" outlineLevel="1">
      <c r="A153" s="77"/>
      <c r="B153" s="78" t="s">
        <v>25</v>
      </c>
      <c r="C153" s="79"/>
      <c r="D153" s="80"/>
      <c r="E153" s="81"/>
      <c r="F153" s="78"/>
      <c r="G153" s="78"/>
      <c r="H153" s="78"/>
      <c r="I153" s="78"/>
      <c r="J153" s="78"/>
      <c r="K153" s="78"/>
      <c r="L153" s="78"/>
    </row>
    <row r="154" outlineLevel="1">
      <c r="A154" s="45">
        <v>1</v>
      </c>
      <c r="B154" s="52"/>
      <c r="C154" s="52"/>
      <c r="D154" s="52"/>
      <c r="E154" s="53"/>
      <c r="F154" s="54"/>
      <c r="G154" s="54"/>
      <c r="H154" s="52"/>
      <c r="I154" s="40"/>
      <c r="J154" s="52"/>
      <c r="K154" s="55"/>
      <c r="L154" s="56"/>
    </row>
    <row r="155" outlineLevel="1">
      <c r="A155" s="45">
        <v>2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3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4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outlineLevel="1">
      <c r="A158" s="45">
        <v>5</v>
      </c>
      <c r="B158" s="46"/>
      <c r="C158" s="46"/>
      <c r="D158" s="46"/>
      <c r="E158" s="47"/>
      <c r="F158" s="48"/>
      <c r="G158" s="48"/>
      <c r="H158" s="46"/>
      <c r="I158" s="40"/>
      <c r="J158" s="46"/>
      <c r="K158" s="49"/>
      <c r="L158" s="50"/>
    </row>
    <row r="159" outlineLevel="1">
      <c r="A159" s="45">
        <v>6</v>
      </c>
      <c r="B159" s="46"/>
      <c r="C159" s="46"/>
      <c r="D159" s="46"/>
      <c r="E159" s="47"/>
      <c r="F159" s="48"/>
      <c r="G159" s="48"/>
      <c r="H159" s="46"/>
      <c r="I159" s="40"/>
      <c r="J159" s="46"/>
      <c r="K159" s="49"/>
      <c r="L159" s="50"/>
    </row>
    <row r="160" outlineLevel="1">
      <c r="A160" s="45">
        <v>7</v>
      </c>
      <c r="B160" s="46"/>
      <c r="C160" s="46"/>
      <c r="D160" s="46"/>
      <c r="E160" s="47"/>
      <c r="F160" s="48"/>
      <c r="G160" s="48"/>
      <c r="H160" s="46"/>
      <c r="I160" s="40"/>
      <c r="J160" s="46"/>
      <c r="K160" s="49"/>
      <c r="L160" s="50"/>
    </row>
    <row r="161" outlineLevel="1">
      <c r="A161" s="45">
        <v>8</v>
      </c>
      <c r="B161" s="46"/>
      <c r="C161" s="46"/>
      <c r="D161" s="46"/>
      <c r="E161" s="47"/>
      <c r="F161" s="48"/>
      <c r="G161" s="48"/>
      <c r="H161" s="46"/>
      <c r="I161" s="40"/>
      <c r="J161" s="46"/>
      <c r="K161" s="49"/>
      <c r="L161" s="50"/>
    </row>
    <row r="162" outlineLevel="1">
      <c r="A162" s="45">
        <v>9</v>
      </c>
      <c r="B162" s="46"/>
      <c r="C162" s="46"/>
      <c r="D162" s="46"/>
      <c r="E162" s="47"/>
      <c r="F162" s="48"/>
      <c r="G162" s="48"/>
      <c r="H162" s="46"/>
      <c r="I162" s="40"/>
      <c r="J162" s="46"/>
      <c r="K162" s="49"/>
      <c r="L162" s="50"/>
    </row>
    <row r="163" ht="15" outlineLevel="1">
      <c r="A163" s="45">
        <v>10</v>
      </c>
      <c r="B163" s="57"/>
      <c r="C163" s="57"/>
      <c r="D163" s="57"/>
      <c r="E163" s="58"/>
      <c r="F163" s="59"/>
      <c r="G163" s="59"/>
      <c r="H163" s="57"/>
      <c r="I163" s="40"/>
      <c r="J163" s="57"/>
      <c r="K163" s="60"/>
      <c r="L163" s="61"/>
    </row>
    <row r="164" ht="15" outlineLevel="1">
      <c r="A164" s="77"/>
      <c r="B164" s="78" t="s">
        <v>26</v>
      </c>
      <c r="C164" s="79"/>
      <c r="D164" s="80"/>
      <c r="E164" s="81"/>
      <c r="F164" s="78"/>
      <c r="G164" s="78"/>
      <c r="H164" s="78"/>
      <c r="I164" s="78"/>
      <c r="J164" s="78"/>
      <c r="K164" s="78"/>
      <c r="L164" s="78"/>
    </row>
    <row r="165" outlineLevel="1">
      <c r="A165" s="62">
        <v>1</v>
      </c>
      <c r="B165" s="52"/>
      <c r="C165" s="52"/>
      <c r="D165" s="52"/>
      <c r="E165" s="53"/>
      <c r="F165" s="54"/>
      <c r="G165" s="54"/>
      <c r="H165" s="52"/>
      <c r="I165" s="40"/>
      <c r="J165" s="52"/>
      <c r="K165" s="55"/>
      <c r="L165" s="56"/>
    </row>
    <row r="166" outlineLevel="1">
      <c r="A166" s="39">
        <v>2</v>
      </c>
      <c r="B166" s="40"/>
      <c r="C166" s="40"/>
      <c r="D166" s="40"/>
      <c r="E166" s="41"/>
      <c r="F166" s="42"/>
      <c r="G166" s="42"/>
      <c r="H166" s="40"/>
      <c r="I166" s="40"/>
      <c r="J166" s="40"/>
      <c r="K166" s="43"/>
      <c r="L166" s="44"/>
    </row>
    <row r="167" outlineLevel="1">
      <c r="A167" s="39">
        <v>3</v>
      </c>
      <c r="B167" s="40"/>
      <c r="C167" s="40"/>
      <c r="D167" s="40"/>
      <c r="E167" s="41"/>
      <c r="F167" s="42"/>
      <c r="G167" s="42"/>
      <c r="H167" s="40"/>
      <c r="I167" s="40"/>
      <c r="J167" s="40"/>
      <c r="K167" s="43"/>
      <c r="L167" s="44"/>
    </row>
    <row r="168" outlineLevel="1">
      <c r="A168" s="45">
        <v>4</v>
      </c>
      <c r="B168" s="46"/>
      <c r="C168" s="46"/>
      <c r="D168" s="46"/>
      <c r="E168" s="47"/>
      <c r="F168" s="48"/>
      <c r="G168" s="48"/>
      <c r="H168" s="46"/>
      <c r="I168" s="40"/>
      <c r="J168" s="46"/>
      <c r="K168" s="49"/>
      <c r="L168" s="50"/>
    </row>
    <row r="169" ht="15" outlineLevel="1">
      <c r="A169" s="63">
        <v>5</v>
      </c>
      <c r="B169" s="57"/>
      <c r="C169" s="57"/>
      <c r="D169" s="57"/>
      <c r="E169" s="58"/>
      <c r="F169" s="59"/>
      <c r="G169" s="59"/>
      <c r="H169" s="57"/>
      <c r="I169" s="57"/>
      <c r="J169" s="57"/>
      <c r="K169" s="60"/>
      <c r="L169" s="61"/>
    </row>
    <row r="170" ht="23.100000000000001" customHeight="1">
      <c r="A170" s="82" t="s">
        <v>33</v>
      </c>
      <c r="B170" s="83"/>
      <c r="C170" s="83"/>
      <c r="D170" s="84"/>
      <c r="E170" s="85">
        <f>SUM(E122:E169)</f>
        <v>0</v>
      </c>
    </row>
    <row r="171" ht="23.100000000000001" customHeight="1">
      <c r="A171" s="82" t="s">
        <v>28</v>
      </c>
      <c r="B171" s="83"/>
      <c r="C171" s="83"/>
      <c r="D171" s="84"/>
      <c r="E171" s="85">
        <f>E114-E170</f>
        <v>697262.62</v>
      </c>
      <c r="F171" s="67"/>
      <c r="G171" s="67"/>
    </row>
    <row r="172" ht="14.25">
      <c r="E172" s="1"/>
    </row>
    <row r="173" ht="14.25">
      <c r="E173" s="1"/>
    </row>
    <row r="174" ht="14.25">
      <c r="E174" s="1"/>
    </row>
    <row r="175" ht="14.25">
      <c r="E175" s="1"/>
    </row>
    <row r="176" ht="14.25">
      <c r="E176" s="1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11:D111"/>
    <mergeCell ref="A112:D112"/>
    <mergeCell ref="A114:D114"/>
    <mergeCell ref="A115:D115"/>
    <mergeCell ref="A116:D116"/>
    <mergeCell ref="A117:D117"/>
    <mergeCell ref="A118:D118"/>
    <mergeCell ref="A170:D170"/>
    <mergeCell ref="A171:D171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0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E900DF-00E7-4A35-9E79-002F0071000A}" type="list" allowBlank="1" errorStyle="stop" imeMode="noControl" operator="between" showDropDown="0" showErrorMessage="1" showInputMessage="1">
          <x14:formula1>
            <xm:f>ДаНет</xm:f>
          </x14:formula1>
          <xm:sqref>I37:I56 I59 I60 I70:I71 I73:I77 I79:I82 I84:I93 I95:I104 I106:I110 I122:I136 I138:I152 I154:I163 I165:I169 I16:I35 I72 I83</xm:sqref>
        </x14:dataValidation>
        <x14:dataValidation xr:uid="{00A50037-00E2-4388-B893-008B009700F1}" type="list" allowBlank="1" errorStyle="stop" imeMode="noControl" operator="between" showDropDown="0" showErrorMessage="1" showInputMessage="1">
          <x14:formula1>
            <xm:f>ДаНет</xm:f>
          </x14:formula1>
          <xm:sqref>I58</xm:sqref>
        </x14:dataValidation>
        <x14:dataValidation xr:uid="{00BE0070-004E-4E90-8AFD-000C00B80028}" type="list" allowBlank="1" errorStyle="stop" imeMode="noControl" operator="between" showDropDown="0" showErrorMessage="1" showInputMessage="1">
          <x14:formula1>
            <xm:f>ДаНет</xm:f>
          </x14:formula1>
          <xm:sqref>I61 I62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'11'!C2+1</f>
        <v>46093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23890460.850000001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15778008.32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19755.66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0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4585965.3399999999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3448909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42000.93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262" t="s">
        <v>449</v>
      </c>
      <c r="C16" s="263" t="s">
        <v>450</v>
      </c>
      <c r="D16" s="244" t="s">
        <v>451</v>
      </c>
      <c r="E16" s="94">
        <v>157343.23999999999</v>
      </c>
      <c r="F16" s="264" t="s">
        <v>452</v>
      </c>
      <c r="G16" s="263"/>
      <c r="H16" s="244"/>
      <c r="I16" s="244" t="s">
        <v>41</v>
      </c>
      <c r="J16" s="40"/>
      <c r="K16" s="43" t="s">
        <v>42</v>
      </c>
      <c r="L16" s="44"/>
    </row>
    <row r="17" ht="14.25" customHeight="1" outlineLevel="1">
      <c r="A17" s="89">
        <v>2</v>
      </c>
      <c r="B17" s="130" t="s">
        <v>44</v>
      </c>
      <c r="C17" s="46" t="s">
        <v>45</v>
      </c>
      <c r="D17" s="46" t="s">
        <v>46</v>
      </c>
      <c r="E17" s="174" t="s">
        <v>47</v>
      </c>
      <c r="F17" s="48" t="s">
        <v>48</v>
      </c>
      <c r="G17" s="48"/>
      <c r="H17" s="46"/>
      <c r="I17" s="40" t="s">
        <v>41</v>
      </c>
      <c r="J17" s="46"/>
      <c r="K17" s="49"/>
      <c r="L17" s="50"/>
    </row>
    <row r="18" ht="14.25" customHeight="1" outlineLevel="1">
      <c r="A18" s="89">
        <v>3</v>
      </c>
      <c r="B18" s="155" t="s">
        <v>44</v>
      </c>
      <c r="C18" s="46" t="s">
        <v>150</v>
      </c>
      <c r="D18" s="46" t="s">
        <v>453</v>
      </c>
      <c r="E18" s="87">
        <v>6000000</v>
      </c>
      <c r="F18" s="48" t="s">
        <v>48</v>
      </c>
      <c r="G18" s="48"/>
      <c r="H18" s="46"/>
      <c r="I18" s="40" t="s">
        <v>41</v>
      </c>
      <c r="J18" s="46"/>
      <c r="K18" s="49" t="s">
        <v>42</v>
      </c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89">
        <v>1</v>
      </c>
      <c r="B90" s="157" t="s">
        <v>155</v>
      </c>
      <c r="C90" s="158" t="s">
        <v>156</v>
      </c>
      <c r="D90" s="158" t="s">
        <v>157</v>
      </c>
      <c r="E90" s="159">
        <v>4270.8000000000002</v>
      </c>
      <c r="F90" s="160" t="s">
        <v>158</v>
      </c>
      <c r="G90" s="161" t="s">
        <v>39</v>
      </c>
      <c r="H90" s="162" t="s">
        <v>357</v>
      </c>
      <c r="I90" s="40"/>
      <c r="J90" s="52"/>
      <c r="K90" s="55" t="s">
        <v>42</v>
      </c>
      <c r="L90" s="56"/>
    </row>
    <row r="91" ht="14.25" customHeight="1" outlineLevel="1">
      <c r="A91" s="89">
        <v>2</v>
      </c>
      <c r="B91" s="157" t="s">
        <v>155</v>
      </c>
      <c r="C91" s="158" t="s">
        <v>156</v>
      </c>
      <c r="D91" s="158" t="s">
        <v>157</v>
      </c>
      <c r="E91" s="159">
        <v>176247.95999999999</v>
      </c>
      <c r="F91" s="160" t="s">
        <v>272</v>
      </c>
      <c r="G91" s="161" t="s">
        <v>39</v>
      </c>
      <c r="H91" s="121" t="s">
        <v>357</v>
      </c>
      <c r="I91" s="40"/>
      <c r="J91" s="46"/>
      <c r="K91" s="49" t="s">
        <v>42</v>
      </c>
      <c r="L91" s="50"/>
    </row>
    <row r="92" ht="14.25" customHeight="1" outlineLevel="1">
      <c r="A92" s="45">
        <v>3</v>
      </c>
      <c r="B92" s="265" t="s">
        <v>155</v>
      </c>
      <c r="C92" s="265" t="s">
        <v>275</v>
      </c>
      <c r="D92" s="265" t="s">
        <v>157</v>
      </c>
      <c r="E92" s="266">
        <v>53761.580000000002</v>
      </c>
      <c r="F92" s="267" t="s">
        <v>272</v>
      </c>
      <c r="G92" s="267" t="s">
        <v>154</v>
      </c>
      <c r="H92" s="46" t="s">
        <v>357</v>
      </c>
      <c r="I92" s="40"/>
      <c r="J92" s="46"/>
      <c r="K92" s="49" t="s">
        <v>42</v>
      </c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46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6391623.5800000001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17498837.270000003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697262.62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>
        <v>697262.62</v>
      </c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5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697262.62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200D3-0080-41A8-9379-000C00DA00F0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-0.499984740745262"/>
    <outlinePr applyStyles="0" summaryBelow="1" summaryRight="1" showOutlineSymbols="1"/>
    <pageSetUpPr autoPageBreaks="1" fitToPage="0"/>
  </sheetPr>
  <sheetViews>
    <sheetView showGridLines="0" showRuler="1" topLeftCell="A87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'12'!C2+1</f>
        <v>46094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3301667.8799999999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3080006.3999999999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4429.9200000000001</v>
      </c>
      <c r="F6" s="12"/>
      <c r="G6" s="12"/>
      <c r="H6" s="12"/>
      <c r="I6" s="12"/>
      <c r="J6" s="12"/>
    </row>
    <row r="7">
      <c r="A7" s="21"/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49366.839999999997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78553.100000000006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31489.09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42000.93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262"/>
      <c r="C16" s="263"/>
      <c r="D16" s="244"/>
      <c r="E16" s="268"/>
      <c r="F16" s="264"/>
      <c r="G16" s="263"/>
      <c r="H16" s="244"/>
      <c r="I16" s="244"/>
      <c r="J16" s="40"/>
      <c r="K16" s="43"/>
      <c r="L16" s="44"/>
    </row>
    <row r="17" ht="14.25" customHeight="1" outlineLevel="1">
      <c r="A17" s="89">
        <v>2</v>
      </c>
      <c r="B17" s="155" t="s">
        <v>44</v>
      </c>
      <c r="C17" s="46" t="s">
        <v>45</v>
      </c>
      <c r="D17" s="46" t="s">
        <v>46</v>
      </c>
      <c r="E17" s="174" t="s">
        <v>454</v>
      </c>
      <c r="F17" s="48" t="s">
        <v>48</v>
      </c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/>
      <c r="C90" s="52"/>
      <c r="D90" s="52"/>
      <c r="E90" s="53"/>
      <c r="F90" s="54"/>
      <c r="G90" s="54"/>
      <c r="H90" s="52"/>
      <c r="I90" s="40"/>
      <c r="J90" s="52"/>
      <c r="K90" s="55"/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171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46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3301667.8799999999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697254.14000000001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>
        <v>697254.14000000001</v>
      </c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5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697254.14000000001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B000F-00FB-4CEA-8AEC-001C000300F1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I17:I35</xm:sqref>
        </x14:dataValidation>
        <x14:dataValidation xr:uid="{00A500C0-0005-467D-8441-00CE009B0093}" type="list" allowBlank="1" errorStyle="stop" imeMode="noControl" operator="between" showDropDown="0" showErrorMessage="1" showInputMessage="1">
          <x14:formula1>
            <xm:f>ДаНет</xm:f>
          </x14:formula1>
          <xm:sqref>I16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'13'!C2+1</f>
        <v>46095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0</v>
      </c>
      <c r="F4" s="12"/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/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/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/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/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/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/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/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45">
        <v>2</v>
      </c>
      <c r="B17" s="46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/>
      <c r="C90" s="52"/>
      <c r="D90" s="52"/>
      <c r="E90" s="53"/>
      <c r="F90" s="54"/>
      <c r="G90" s="54"/>
      <c r="H90" s="52"/>
      <c r="I90" s="40"/>
      <c r="J90" s="52"/>
      <c r="K90" s="55"/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0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0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/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199999999999999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0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B000C-00E7-431B-99D2-007700CD00BE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'14'!C2+1</f>
        <v>46096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0</v>
      </c>
      <c r="F4" s="12"/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/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/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/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/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/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/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/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45">
        <v>2</v>
      </c>
      <c r="B17" s="46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/>
      <c r="C90" s="52"/>
      <c r="D90" s="52"/>
      <c r="E90" s="53"/>
      <c r="F90" s="54"/>
      <c r="G90" s="54"/>
      <c r="H90" s="52"/>
      <c r="I90" s="40"/>
      <c r="J90" s="52"/>
      <c r="K90" s="55"/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0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0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/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199999999999999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0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A001C-0076-4F98-885E-00A3001800C1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B25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7.7109375"/>
    <col customWidth="1" min="4" max="4" style="1" width="32.7109375"/>
    <col customWidth="1" min="5" max="5" style="1" width="26"/>
    <col customWidth="1" min="6" max="6" style="1" width="58.8515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'15'!C2+1</f>
        <v>46097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35745077.780000009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35026273.299999997</v>
      </c>
      <c r="F5" s="129">
        <f>E19+E20+E37+E39+E40+E41+E42+E43+E44+E45+E46+E47+E48+E49+E50+E58+E59+E60+E61+E62+E63+E64+E65+E66+E67+E68+E69+E70+E71+E72+E73+E74+E75+E76+E77+E78+E79+E87+E88+E89+E90+E91+E114</f>
        <v>2549995.9199999999</v>
      </c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4429.9200000000001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49366.839999999997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574893.09999999998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31489.09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42803.93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122" t="s">
        <v>455</v>
      </c>
      <c r="C16" s="40" t="s">
        <v>456</v>
      </c>
      <c r="D16" s="40"/>
      <c r="E16" s="94">
        <v>3000000</v>
      </c>
      <c r="F16" s="42"/>
      <c r="G16" s="42"/>
      <c r="H16" s="40"/>
      <c r="I16" s="40" t="s">
        <v>41</v>
      </c>
      <c r="J16" s="40" t="s">
        <v>457</v>
      </c>
      <c r="K16" s="43" t="s">
        <v>42</v>
      </c>
      <c r="L16" s="44"/>
    </row>
    <row r="17" ht="14.25" customHeight="1" outlineLevel="1">
      <c r="A17" s="89">
        <v>2</v>
      </c>
      <c r="B17" s="130" t="s">
        <v>44</v>
      </c>
      <c r="C17" s="46" t="s">
        <v>45</v>
      </c>
      <c r="D17" s="46" t="s">
        <v>46</v>
      </c>
      <c r="E17" s="174" t="s">
        <v>454</v>
      </c>
      <c r="F17" s="48" t="s">
        <v>48</v>
      </c>
      <c r="G17" s="48"/>
      <c r="H17" s="46"/>
      <c r="I17" s="40" t="s">
        <v>41</v>
      </c>
      <c r="J17" s="46"/>
      <c r="K17" s="49"/>
      <c r="L17" s="50"/>
    </row>
    <row r="18" ht="14.25" customHeight="1" outlineLevel="1">
      <c r="A18" s="89">
        <v>3</v>
      </c>
      <c r="B18" s="155" t="s">
        <v>44</v>
      </c>
      <c r="C18" s="46" t="s">
        <v>150</v>
      </c>
      <c r="D18" s="46" t="s">
        <v>453</v>
      </c>
      <c r="E18" s="96">
        <v>3000000</v>
      </c>
      <c r="F18" s="48" t="s">
        <v>48</v>
      </c>
      <c r="G18" s="48"/>
      <c r="H18" s="46"/>
      <c r="I18" s="40" t="s">
        <v>41</v>
      </c>
      <c r="J18" s="46"/>
      <c r="K18" s="49"/>
      <c r="L18" s="50"/>
    </row>
    <row r="19" ht="14.25" customHeight="1" outlineLevel="1">
      <c r="A19" s="45">
        <v>4</v>
      </c>
      <c r="B19" s="46" t="s">
        <v>49</v>
      </c>
      <c r="C19" s="46" t="s">
        <v>458</v>
      </c>
      <c r="D19" s="46" t="s">
        <v>459</v>
      </c>
      <c r="E19" s="87">
        <v>333474.29999999999</v>
      </c>
      <c r="F19" s="92" t="s">
        <v>460</v>
      </c>
      <c r="G19" s="48" t="s">
        <v>461</v>
      </c>
      <c r="H19" s="46"/>
      <c r="I19" s="40" t="s">
        <v>41</v>
      </c>
      <c r="J19" s="46" t="s">
        <v>462</v>
      </c>
      <c r="K19" s="49" t="s">
        <v>42</v>
      </c>
      <c r="L19" s="50"/>
    </row>
    <row r="20" ht="14.25" customHeight="1" outlineLevel="1">
      <c r="A20" s="45">
        <v>5</v>
      </c>
      <c r="B20" s="46" t="s">
        <v>35</v>
      </c>
      <c r="C20" s="46" t="s">
        <v>36</v>
      </c>
      <c r="D20" s="46" t="s">
        <v>463</v>
      </c>
      <c r="E20" s="87">
        <v>35592.599999999999</v>
      </c>
      <c r="F20" s="48" t="s">
        <v>464</v>
      </c>
      <c r="G20" s="48" t="s">
        <v>461</v>
      </c>
      <c r="H20" s="46"/>
      <c r="I20" s="40" t="s">
        <v>41</v>
      </c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269" t="s">
        <v>465</v>
      </c>
      <c r="C22" s="269" t="s">
        <v>466</v>
      </c>
      <c r="D22" s="269" t="s">
        <v>467</v>
      </c>
      <c r="E22" s="96">
        <v>671152.5</v>
      </c>
      <c r="F22" s="270" t="s">
        <v>48</v>
      </c>
      <c r="G22" s="48"/>
      <c r="H22" s="46"/>
      <c r="I22" s="40" t="s">
        <v>41</v>
      </c>
      <c r="J22" s="46"/>
      <c r="K22" s="49"/>
      <c r="L22" s="50"/>
    </row>
    <row r="23" ht="14.25" customHeight="1" outlineLevel="1">
      <c r="A23" s="45">
        <v>8</v>
      </c>
      <c r="B23" s="269" t="s">
        <v>465</v>
      </c>
      <c r="C23" s="269" t="s">
        <v>468</v>
      </c>
      <c r="D23" s="269" t="s">
        <v>469</v>
      </c>
      <c r="E23" s="96">
        <v>263219.22999999998</v>
      </c>
      <c r="F23" s="270" t="s">
        <v>48</v>
      </c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 t="s">
        <v>54</v>
      </c>
      <c r="C37" s="40" t="s">
        <v>68</v>
      </c>
      <c r="D37" s="40" t="s">
        <v>470</v>
      </c>
      <c r="E37" s="94">
        <v>80000</v>
      </c>
      <c r="F37" s="42" t="s">
        <v>57</v>
      </c>
      <c r="G37" s="42" t="s">
        <v>39</v>
      </c>
      <c r="H37" s="40" t="s">
        <v>357</v>
      </c>
      <c r="I37" s="40"/>
      <c r="J37" s="40"/>
      <c r="K37" s="43" t="s">
        <v>42</v>
      </c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 t="s">
        <v>54</v>
      </c>
      <c r="C39" s="46" t="s">
        <v>471</v>
      </c>
      <c r="D39" s="46" t="s">
        <v>472</v>
      </c>
      <c r="E39" s="87">
        <v>60000</v>
      </c>
      <c r="F39" s="48" t="s">
        <v>57</v>
      </c>
      <c r="G39" s="48" t="s">
        <v>39</v>
      </c>
      <c r="H39" s="46" t="s">
        <v>357</v>
      </c>
      <c r="I39" s="40"/>
      <c r="J39" s="46"/>
      <c r="K39" s="49" t="s">
        <v>42</v>
      </c>
      <c r="L39" s="50"/>
    </row>
    <row r="40" ht="14.25" customHeight="1" outlineLevel="1">
      <c r="A40" s="45">
        <v>4</v>
      </c>
      <c r="B40" s="46" t="s">
        <v>54</v>
      </c>
      <c r="C40" s="46" t="s">
        <v>161</v>
      </c>
      <c r="D40" s="46" t="s">
        <v>473</v>
      </c>
      <c r="E40" s="87">
        <v>8500</v>
      </c>
      <c r="F40" s="48" t="s">
        <v>57</v>
      </c>
      <c r="G40" s="48" t="s">
        <v>39</v>
      </c>
      <c r="H40" s="46" t="s">
        <v>357</v>
      </c>
      <c r="I40" s="40"/>
      <c r="J40" s="46"/>
      <c r="K40" s="49" t="s">
        <v>42</v>
      </c>
      <c r="L40" s="50"/>
    </row>
    <row r="41" ht="14.25" customHeight="1" outlineLevel="1">
      <c r="A41" s="45">
        <v>5</v>
      </c>
      <c r="B41" s="46" t="s">
        <v>54</v>
      </c>
      <c r="C41" s="46" t="s">
        <v>474</v>
      </c>
      <c r="D41" s="46" t="s">
        <v>475</v>
      </c>
      <c r="E41" s="87">
        <v>55000</v>
      </c>
      <c r="F41" s="48" t="s">
        <v>57</v>
      </c>
      <c r="G41" s="48" t="s">
        <v>39</v>
      </c>
      <c r="H41" s="46" t="s">
        <v>357</v>
      </c>
      <c r="I41" s="40"/>
      <c r="J41" s="46"/>
      <c r="K41" s="49" t="s">
        <v>42</v>
      </c>
      <c r="L41" s="50"/>
    </row>
    <row r="42" ht="14.25" customHeight="1" outlineLevel="1">
      <c r="A42" s="45">
        <v>6</v>
      </c>
      <c r="B42" s="46" t="s">
        <v>54</v>
      </c>
      <c r="C42" s="46" t="s">
        <v>476</v>
      </c>
      <c r="D42" s="46" t="s">
        <v>477</v>
      </c>
      <c r="E42" s="87">
        <v>70000</v>
      </c>
      <c r="F42" s="48" t="s">
        <v>57</v>
      </c>
      <c r="G42" s="48" t="s">
        <v>39</v>
      </c>
      <c r="H42" s="46" t="s">
        <v>357</v>
      </c>
      <c r="I42" s="40"/>
      <c r="J42" s="46"/>
      <c r="K42" s="49" t="s">
        <v>42</v>
      </c>
      <c r="L42" s="50"/>
    </row>
    <row r="43" ht="14.25" customHeight="1" outlineLevel="1">
      <c r="A43" s="45">
        <v>7</v>
      </c>
      <c r="B43" s="46" t="s">
        <v>54</v>
      </c>
      <c r="C43" s="46" t="s">
        <v>478</v>
      </c>
      <c r="D43" s="46" t="s">
        <v>479</v>
      </c>
      <c r="E43" s="87">
        <v>45000</v>
      </c>
      <c r="F43" s="48" t="s">
        <v>57</v>
      </c>
      <c r="G43" s="48" t="s">
        <v>39</v>
      </c>
      <c r="H43" s="46" t="s">
        <v>357</v>
      </c>
      <c r="I43" s="40"/>
      <c r="J43" s="46"/>
      <c r="K43" s="49" t="s">
        <v>42</v>
      </c>
      <c r="L43" s="50"/>
    </row>
    <row r="44" ht="14.25" customHeight="1" outlineLevel="1">
      <c r="A44" s="45">
        <v>8</v>
      </c>
      <c r="B44" s="46" t="s">
        <v>54</v>
      </c>
      <c r="C44" s="46" t="s">
        <v>480</v>
      </c>
      <c r="D44" s="46" t="s">
        <v>481</v>
      </c>
      <c r="E44" s="87">
        <v>45000</v>
      </c>
      <c r="F44" s="48" t="s">
        <v>57</v>
      </c>
      <c r="G44" s="48" t="s">
        <v>39</v>
      </c>
      <c r="H44" s="46" t="s">
        <v>357</v>
      </c>
      <c r="I44" s="40"/>
      <c r="J44" s="46"/>
      <c r="K44" s="49" t="s">
        <v>42</v>
      </c>
      <c r="L44" s="50"/>
    </row>
    <row r="45" ht="14.25" customHeight="1" outlineLevel="1">
      <c r="A45" s="39">
        <v>9</v>
      </c>
      <c r="B45" s="46" t="s">
        <v>54</v>
      </c>
      <c r="C45" s="46" t="s">
        <v>369</v>
      </c>
      <c r="D45" s="46" t="s">
        <v>482</v>
      </c>
      <c r="E45" s="87">
        <v>36000</v>
      </c>
      <c r="F45" s="48" t="s">
        <v>57</v>
      </c>
      <c r="G45" s="48" t="s">
        <v>39</v>
      </c>
      <c r="H45" s="46" t="s">
        <v>357</v>
      </c>
      <c r="I45" s="40"/>
      <c r="J45" s="46"/>
      <c r="K45" s="49" t="s">
        <v>42</v>
      </c>
      <c r="L45" s="50"/>
    </row>
    <row r="46" ht="14.25" customHeight="1" outlineLevel="1">
      <c r="A46" s="45">
        <v>10</v>
      </c>
      <c r="B46" s="46" t="s">
        <v>54</v>
      </c>
      <c r="C46" s="46" t="s">
        <v>361</v>
      </c>
      <c r="D46" s="46" t="s">
        <v>483</v>
      </c>
      <c r="E46" s="87">
        <v>65000</v>
      </c>
      <c r="F46" s="48" t="s">
        <v>57</v>
      </c>
      <c r="G46" s="48" t="s">
        <v>39</v>
      </c>
      <c r="H46" s="46" t="s">
        <v>357</v>
      </c>
      <c r="I46" s="40"/>
      <c r="J46" s="46"/>
      <c r="K46" s="49" t="s">
        <v>42</v>
      </c>
      <c r="L46" s="50"/>
    </row>
    <row r="47" ht="14.25" customHeight="1" outlineLevel="1">
      <c r="A47" s="45">
        <v>11</v>
      </c>
      <c r="B47" s="46" t="s">
        <v>54</v>
      </c>
      <c r="C47" s="46" t="s">
        <v>484</v>
      </c>
      <c r="D47" s="46" t="s">
        <v>485</v>
      </c>
      <c r="E47" s="87">
        <v>85000</v>
      </c>
      <c r="F47" s="48" t="s">
        <v>57</v>
      </c>
      <c r="G47" s="48" t="s">
        <v>39</v>
      </c>
      <c r="H47" s="46" t="s">
        <v>357</v>
      </c>
      <c r="I47" s="40"/>
      <c r="J47" s="46"/>
      <c r="K47" s="49" t="s">
        <v>42</v>
      </c>
      <c r="L47" s="50"/>
    </row>
    <row r="48" ht="14.25" customHeight="1" outlineLevel="1">
      <c r="A48" s="39">
        <v>12</v>
      </c>
      <c r="B48" s="46" t="s">
        <v>54</v>
      </c>
      <c r="C48" s="46" t="s">
        <v>159</v>
      </c>
      <c r="D48" s="46" t="s">
        <v>486</v>
      </c>
      <c r="E48" s="87">
        <v>80000</v>
      </c>
      <c r="F48" s="48" t="s">
        <v>57</v>
      </c>
      <c r="G48" s="48" t="s">
        <v>39</v>
      </c>
      <c r="H48" s="46" t="s">
        <v>357</v>
      </c>
      <c r="I48" s="40"/>
      <c r="J48" s="46"/>
      <c r="K48" s="49" t="s">
        <v>42</v>
      </c>
      <c r="L48" s="50"/>
    </row>
    <row r="49" ht="14.25" customHeight="1" outlineLevel="1">
      <c r="A49" s="45">
        <v>13</v>
      </c>
      <c r="B49" s="124" t="s">
        <v>380</v>
      </c>
      <c r="C49" s="125" t="s">
        <v>487</v>
      </c>
      <c r="D49" s="125" t="s">
        <v>488</v>
      </c>
      <c r="E49" s="238">
        <v>8400</v>
      </c>
      <c r="F49" s="127" t="s">
        <v>489</v>
      </c>
      <c r="G49" s="48"/>
      <c r="H49" s="46" t="s">
        <v>357</v>
      </c>
      <c r="I49" s="40"/>
      <c r="J49" s="46"/>
      <c r="K49" s="49" t="s">
        <v>42</v>
      </c>
      <c r="L49" s="50"/>
    </row>
    <row r="50" ht="14.25" customHeight="1" outlineLevel="1">
      <c r="A50" s="45">
        <v>14</v>
      </c>
      <c r="B50" s="271" t="s">
        <v>380</v>
      </c>
      <c r="C50" s="272" t="s">
        <v>490</v>
      </c>
      <c r="D50" s="272" t="s">
        <v>491</v>
      </c>
      <c r="E50" s="273">
        <v>16000</v>
      </c>
      <c r="F50" s="274" t="s">
        <v>489</v>
      </c>
      <c r="G50" s="48"/>
      <c r="H50" s="46" t="s">
        <v>357</v>
      </c>
      <c r="I50" s="40"/>
      <c r="J50" s="46"/>
      <c r="K50" s="49" t="s">
        <v>42</v>
      </c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171"/>
      <c r="L57" s="38"/>
    </row>
    <row r="58" ht="28.5" outlineLevel="1">
      <c r="A58" s="224">
        <v>1</v>
      </c>
      <c r="B58" s="105" t="s">
        <v>115</v>
      </c>
      <c r="C58" s="105" t="s">
        <v>492</v>
      </c>
      <c r="D58" s="105" t="s">
        <v>493</v>
      </c>
      <c r="E58" s="109">
        <v>250000</v>
      </c>
      <c r="F58" s="48" t="s">
        <v>494</v>
      </c>
      <c r="G58" s="105" t="s">
        <v>39</v>
      </c>
      <c r="H58" s="162" t="s">
        <v>357</v>
      </c>
      <c r="I58" s="40" t="s">
        <v>41</v>
      </c>
      <c r="J58" s="52"/>
      <c r="K58" s="49" t="s">
        <v>42</v>
      </c>
      <c r="L58" s="56"/>
    </row>
    <row r="59" ht="14.4" outlineLevel="1">
      <c r="A59" s="89">
        <v>2</v>
      </c>
      <c r="B59" s="105" t="s">
        <v>115</v>
      </c>
      <c r="C59" s="105" t="s">
        <v>495</v>
      </c>
      <c r="D59" s="105" t="s">
        <v>496</v>
      </c>
      <c r="E59" s="109">
        <v>36812.889999999999</v>
      </c>
      <c r="F59" s="48" t="s">
        <v>497</v>
      </c>
      <c r="G59" s="105" t="s">
        <v>39</v>
      </c>
      <c r="H59" s="121" t="s">
        <v>357</v>
      </c>
      <c r="I59" s="40" t="s">
        <v>41</v>
      </c>
      <c r="J59" s="46"/>
      <c r="K59" s="49" t="s">
        <v>42</v>
      </c>
      <c r="L59" s="50"/>
    </row>
    <row r="60" ht="14.4" outlineLevel="1">
      <c r="A60" s="89">
        <v>3</v>
      </c>
      <c r="B60" s="105" t="s">
        <v>115</v>
      </c>
      <c r="C60" s="105" t="s">
        <v>498</v>
      </c>
      <c r="D60" s="105" t="s">
        <v>499</v>
      </c>
      <c r="E60" s="109">
        <v>10578.620000000001</v>
      </c>
      <c r="F60" s="48" t="s">
        <v>500</v>
      </c>
      <c r="G60" s="105" t="s">
        <v>39</v>
      </c>
      <c r="H60" s="121" t="s">
        <v>357</v>
      </c>
      <c r="I60" s="40" t="s">
        <v>41</v>
      </c>
      <c r="J60" s="46"/>
      <c r="K60" s="49" t="s">
        <v>42</v>
      </c>
      <c r="L60" s="50"/>
    </row>
    <row r="61" ht="71.25" outlineLevel="1">
      <c r="A61" s="89">
        <v>4</v>
      </c>
      <c r="B61" s="105" t="s">
        <v>115</v>
      </c>
      <c r="C61" s="105" t="s">
        <v>501</v>
      </c>
      <c r="D61" s="105" t="s">
        <v>502</v>
      </c>
      <c r="E61" s="109">
        <v>6943</v>
      </c>
      <c r="F61" s="48" t="s">
        <v>503</v>
      </c>
      <c r="G61" s="105" t="s">
        <v>39</v>
      </c>
      <c r="H61" s="121" t="s">
        <v>357</v>
      </c>
      <c r="I61" s="40" t="s">
        <v>41</v>
      </c>
      <c r="J61" s="46"/>
      <c r="K61" s="49" t="s">
        <v>42</v>
      </c>
      <c r="L61" s="50"/>
    </row>
    <row r="62" ht="85.5" outlineLevel="1">
      <c r="A62" s="89">
        <v>5</v>
      </c>
      <c r="B62" s="105" t="s">
        <v>115</v>
      </c>
      <c r="C62" s="105" t="s">
        <v>501</v>
      </c>
      <c r="D62" s="105" t="s">
        <v>504</v>
      </c>
      <c r="E62" s="109">
        <v>10845</v>
      </c>
      <c r="F62" s="48" t="s">
        <v>505</v>
      </c>
      <c r="G62" s="105" t="s">
        <v>39</v>
      </c>
      <c r="H62" s="121" t="s">
        <v>357</v>
      </c>
      <c r="I62" s="40" t="s">
        <v>41</v>
      </c>
      <c r="J62" s="46"/>
      <c r="K62" s="49" t="s">
        <v>42</v>
      </c>
      <c r="L62" s="50"/>
    </row>
    <row r="63" ht="28.5" outlineLevel="1">
      <c r="A63" s="89">
        <v>6</v>
      </c>
      <c r="B63" s="105" t="s">
        <v>115</v>
      </c>
      <c r="C63" s="105" t="s">
        <v>506</v>
      </c>
      <c r="D63" s="105" t="s">
        <v>507</v>
      </c>
      <c r="E63" s="109">
        <v>28290.040000000001</v>
      </c>
      <c r="F63" s="48" t="s">
        <v>508</v>
      </c>
      <c r="G63" s="105" t="s">
        <v>39</v>
      </c>
      <c r="H63" s="121" t="s">
        <v>357</v>
      </c>
      <c r="I63" s="40" t="s">
        <v>41</v>
      </c>
      <c r="J63" s="46"/>
      <c r="K63" s="49" t="s">
        <v>42</v>
      </c>
      <c r="L63" s="50"/>
    </row>
    <row r="64" ht="28.5" outlineLevel="1">
      <c r="A64" s="89">
        <v>7</v>
      </c>
      <c r="B64" s="105" t="s">
        <v>115</v>
      </c>
      <c r="C64" s="105" t="s">
        <v>506</v>
      </c>
      <c r="D64" s="105" t="s">
        <v>509</v>
      </c>
      <c r="E64" s="109">
        <v>28987.200000000001</v>
      </c>
      <c r="F64" s="48" t="s">
        <v>510</v>
      </c>
      <c r="G64" s="105" t="s">
        <v>39</v>
      </c>
      <c r="H64" s="121" t="s">
        <v>357</v>
      </c>
      <c r="I64" s="40" t="s">
        <v>41</v>
      </c>
      <c r="J64" s="46"/>
      <c r="K64" s="49" t="s">
        <v>42</v>
      </c>
      <c r="L64" s="50"/>
    </row>
    <row r="65" ht="28.5" outlineLevel="1">
      <c r="A65" s="89">
        <v>8</v>
      </c>
      <c r="B65" s="105" t="s">
        <v>115</v>
      </c>
      <c r="C65" s="105" t="s">
        <v>506</v>
      </c>
      <c r="D65" s="105" t="s">
        <v>511</v>
      </c>
      <c r="E65" s="109">
        <v>1952</v>
      </c>
      <c r="F65" s="48" t="s">
        <v>512</v>
      </c>
      <c r="G65" s="105" t="s">
        <v>39</v>
      </c>
      <c r="H65" s="121" t="s">
        <v>357</v>
      </c>
      <c r="I65" s="40" t="s">
        <v>41</v>
      </c>
      <c r="J65" s="46"/>
      <c r="K65" s="49" t="s">
        <v>42</v>
      </c>
      <c r="L65" s="50"/>
    </row>
    <row r="66" ht="28.5" outlineLevel="1">
      <c r="A66" s="224">
        <v>9</v>
      </c>
      <c r="B66" s="105" t="s">
        <v>115</v>
      </c>
      <c r="C66" s="105" t="s">
        <v>513</v>
      </c>
      <c r="D66" s="105" t="s">
        <v>514</v>
      </c>
      <c r="E66" s="109">
        <v>194040</v>
      </c>
      <c r="F66" s="48" t="s">
        <v>515</v>
      </c>
      <c r="G66" s="105" t="s">
        <v>39</v>
      </c>
      <c r="H66" s="121" t="s">
        <v>357</v>
      </c>
      <c r="I66" s="40" t="s">
        <v>60</v>
      </c>
      <c r="J66" s="46" t="s">
        <v>516</v>
      </c>
      <c r="K66" s="49" t="s">
        <v>42</v>
      </c>
      <c r="L66" s="50"/>
    </row>
    <row r="67" ht="28.5" outlineLevel="1">
      <c r="A67" s="89">
        <v>10</v>
      </c>
      <c r="B67" s="275" t="s">
        <v>115</v>
      </c>
      <c r="C67" s="275" t="s">
        <v>222</v>
      </c>
      <c r="D67" s="275" t="s">
        <v>223</v>
      </c>
      <c r="E67" s="276">
        <v>288164</v>
      </c>
      <c r="F67" s="241" t="s">
        <v>224</v>
      </c>
      <c r="G67" s="237" t="s">
        <v>39</v>
      </c>
      <c r="H67" s="121" t="s">
        <v>357</v>
      </c>
      <c r="I67" s="40" t="s">
        <v>41</v>
      </c>
      <c r="J67" s="46"/>
      <c r="K67" s="49" t="s">
        <v>42</v>
      </c>
      <c r="L67" s="50"/>
    </row>
    <row r="68" ht="28.5" outlineLevel="1">
      <c r="A68" s="89">
        <v>11</v>
      </c>
      <c r="B68" s="46" t="s">
        <v>72</v>
      </c>
      <c r="C68" s="46" t="s">
        <v>386</v>
      </c>
      <c r="D68" s="46" t="s">
        <v>517</v>
      </c>
      <c r="E68" s="138">
        <v>85000</v>
      </c>
      <c r="F68" s="48" t="s">
        <v>518</v>
      </c>
      <c r="G68" s="267" t="s">
        <v>39</v>
      </c>
      <c r="H68" s="121" t="s">
        <v>357</v>
      </c>
      <c r="I68" s="40" t="s">
        <v>41</v>
      </c>
      <c r="J68" s="46" t="s">
        <v>519</v>
      </c>
      <c r="K68" s="49" t="s">
        <v>42</v>
      </c>
      <c r="L68" s="50"/>
    </row>
    <row r="69" ht="28.5" outlineLevel="1">
      <c r="A69" s="89">
        <v>12</v>
      </c>
      <c r="B69" s="242" t="s">
        <v>72</v>
      </c>
      <c r="C69" s="242" t="s">
        <v>202</v>
      </c>
      <c r="D69" s="242" t="s">
        <v>203</v>
      </c>
      <c r="E69" s="138">
        <v>7000</v>
      </c>
      <c r="F69" s="48" t="s">
        <v>204</v>
      </c>
      <c r="G69" s="243" t="s">
        <v>39</v>
      </c>
      <c r="H69" s="46" t="s">
        <v>357</v>
      </c>
      <c r="I69" s="244" t="s">
        <v>41</v>
      </c>
      <c r="J69" s="242"/>
      <c r="K69" s="49" t="s">
        <v>42</v>
      </c>
      <c r="L69" s="245"/>
    </row>
    <row r="70" ht="14.4" outlineLevel="1">
      <c r="A70" s="89">
        <v>13</v>
      </c>
      <c r="B70" s="242" t="s">
        <v>72</v>
      </c>
      <c r="C70" s="242" t="s">
        <v>196</v>
      </c>
      <c r="D70" s="242" t="s">
        <v>197</v>
      </c>
      <c r="E70" s="138">
        <v>4200</v>
      </c>
      <c r="F70" s="48" t="s">
        <v>198</v>
      </c>
      <c r="G70" s="263" t="s">
        <v>39</v>
      </c>
      <c r="H70" s="46" t="s">
        <v>357</v>
      </c>
      <c r="I70" s="244"/>
      <c r="J70" s="242"/>
      <c r="K70" s="49" t="s">
        <v>42</v>
      </c>
      <c r="L70" s="245"/>
    </row>
    <row r="71" ht="14.4" outlineLevel="1">
      <c r="A71" s="89">
        <v>14</v>
      </c>
      <c r="B71" s="242" t="s">
        <v>72</v>
      </c>
      <c r="C71" s="242" t="s">
        <v>199</v>
      </c>
      <c r="D71" s="242" t="s">
        <v>200</v>
      </c>
      <c r="E71" s="138">
        <v>8653.8400000000001</v>
      </c>
      <c r="F71" s="48" t="s">
        <v>201</v>
      </c>
      <c r="G71" s="243" t="s">
        <v>39</v>
      </c>
      <c r="H71" s="46" t="s">
        <v>357</v>
      </c>
      <c r="I71" s="244" t="s">
        <v>41</v>
      </c>
      <c r="J71" s="242"/>
      <c r="K71" s="49" t="s">
        <v>42</v>
      </c>
      <c r="L71" s="245"/>
    </row>
    <row r="72" s="277" customFormat="1" ht="14.4" outlineLevel="1">
      <c r="A72" s="89">
        <v>15</v>
      </c>
      <c r="B72" s="242" t="s">
        <v>72</v>
      </c>
      <c r="C72" s="242" t="s">
        <v>520</v>
      </c>
      <c r="D72" s="242" t="s">
        <v>521</v>
      </c>
      <c r="E72" s="138">
        <v>11890</v>
      </c>
      <c r="F72" s="48" t="s">
        <v>522</v>
      </c>
      <c r="G72" s="243" t="s">
        <v>39</v>
      </c>
      <c r="H72" s="46" t="s">
        <v>357</v>
      </c>
      <c r="I72" s="244" t="s">
        <v>41</v>
      </c>
      <c r="J72" s="242"/>
      <c r="K72" s="49" t="s">
        <v>42</v>
      </c>
      <c r="L72" s="245"/>
    </row>
    <row r="73" ht="14.4" outlineLevel="1">
      <c r="A73" s="89">
        <v>16</v>
      </c>
      <c r="B73" s="46" t="s">
        <v>72</v>
      </c>
      <c r="C73" s="242" t="s">
        <v>523</v>
      </c>
      <c r="D73" s="242" t="s">
        <v>524</v>
      </c>
      <c r="E73" s="278">
        <v>40000</v>
      </c>
      <c r="F73" s="243" t="s">
        <v>525</v>
      </c>
      <c r="G73" s="243" t="s">
        <v>39</v>
      </c>
      <c r="H73" s="279" t="s">
        <v>526</v>
      </c>
      <c r="I73" s="40" t="s">
        <v>60</v>
      </c>
      <c r="J73" s="46" t="s">
        <v>65</v>
      </c>
      <c r="K73" s="49" t="s">
        <v>42</v>
      </c>
      <c r="L73" s="50"/>
    </row>
    <row r="74" ht="14.4" outlineLevel="1">
      <c r="A74" s="89">
        <v>17</v>
      </c>
      <c r="B74" s="46" t="s">
        <v>72</v>
      </c>
      <c r="C74" s="46" t="s">
        <v>527</v>
      </c>
      <c r="D74" s="46" t="s">
        <v>528</v>
      </c>
      <c r="E74" s="138">
        <v>2226.9099999999999</v>
      </c>
      <c r="F74" s="48" t="s">
        <v>529</v>
      </c>
      <c r="G74" s="243" t="s">
        <v>39</v>
      </c>
      <c r="H74" s="46" t="s">
        <v>357</v>
      </c>
      <c r="I74" s="40" t="s">
        <v>41</v>
      </c>
      <c r="J74" s="46" t="s">
        <v>519</v>
      </c>
      <c r="K74" s="49" t="s">
        <v>42</v>
      </c>
      <c r="L74" s="50"/>
    </row>
    <row r="75" ht="14.4" outlineLevel="1">
      <c r="A75" s="89">
        <v>18</v>
      </c>
      <c r="B75" s="242" t="s">
        <v>72</v>
      </c>
      <c r="C75" s="242" t="s">
        <v>530</v>
      </c>
      <c r="D75" s="242" t="s">
        <v>531</v>
      </c>
      <c r="E75" s="138">
        <v>16448.860000000001</v>
      </c>
      <c r="F75" s="48" t="s">
        <v>532</v>
      </c>
      <c r="G75" s="243" t="s">
        <v>39</v>
      </c>
      <c r="H75" s="46" t="s">
        <v>357</v>
      </c>
      <c r="I75" s="244" t="s">
        <v>60</v>
      </c>
      <c r="J75" s="242" t="s">
        <v>516</v>
      </c>
      <c r="K75" s="49" t="s">
        <v>42</v>
      </c>
      <c r="L75" s="245"/>
    </row>
    <row r="76" ht="14.4" outlineLevel="1">
      <c r="A76" s="89">
        <v>19</v>
      </c>
      <c r="B76" s="280" t="s">
        <v>35</v>
      </c>
      <c r="C76" s="280" t="s">
        <v>225</v>
      </c>
      <c r="D76" s="280" t="s">
        <v>533</v>
      </c>
      <c r="E76" s="141">
        <v>10610.34</v>
      </c>
      <c r="F76" s="48" t="s">
        <v>534</v>
      </c>
      <c r="G76" s="243" t="s">
        <v>39</v>
      </c>
      <c r="H76" s="46" t="s">
        <v>357</v>
      </c>
      <c r="I76" s="244" t="s">
        <v>41</v>
      </c>
      <c r="J76" s="280"/>
      <c r="K76" s="103" t="s">
        <v>42</v>
      </c>
      <c r="L76" s="281"/>
    </row>
    <row r="77" ht="14.4" outlineLevel="1">
      <c r="A77" s="89">
        <v>20</v>
      </c>
      <c r="B77" s="280" t="s">
        <v>35</v>
      </c>
      <c r="C77" s="280" t="s">
        <v>535</v>
      </c>
      <c r="D77" s="280" t="s">
        <v>536</v>
      </c>
      <c r="E77" s="141">
        <v>6952</v>
      </c>
      <c r="F77" s="99" t="s">
        <v>537</v>
      </c>
      <c r="G77" s="249" t="s">
        <v>39</v>
      </c>
      <c r="H77" s="46" t="s">
        <v>357</v>
      </c>
      <c r="I77" s="244" t="s">
        <v>41</v>
      </c>
      <c r="J77" s="242"/>
      <c r="K77" s="49" t="s">
        <v>42</v>
      </c>
      <c r="L77" s="245"/>
    </row>
    <row r="78" ht="14.4" outlineLevel="1">
      <c r="A78" s="89">
        <v>21</v>
      </c>
      <c r="B78" s="282" t="s">
        <v>35</v>
      </c>
      <c r="C78" s="283" t="s">
        <v>108</v>
      </c>
      <c r="D78" s="283" t="s">
        <v>538</v>
      </c>
      <c r="E78" s="284">
        <v>29585</v>
      </c>
      <c r="F78" s="251" t="s">
        <v>110</v>
      </c>
      <c r="G78" s="285" t="s">
        <v>39</v>
      </c>
      <c r="H78" s="46" t="s">
        <v>357</v>
      </c>
      <c r="I78" s="244" t="s">
        <v>41</v>
      </c>
      <c r="J78" s="242" t="s">
        <v>519</v>
      </c>
      <c r="K78" s="49" t="s">
        <v>42</v>
      </c>
      <c r="L78" s="245"/>
    </row>
    <row r="79" ht="28.5" outlineLevel="1">
      <c r="A79" s="89">
        <v>22</v>
      </c>
      <c r="B79" s="286" t="s">
        <v>35</v>
      </c>
      <c r="C79" s="283" t="s">
        <v>539</v>
      </c>
      <c r="D79" s="283" t="s">
        <v>540</v>
      </c>
      <c r="E79" s="250">
        <v>100000</v>
      </c>
      <c r="F79" s="251" t="s">
        <v>541</v>
      </c>
      <c r="G79" s="285" t="s">
        <v>39</v>
      </c>
      <c r="H79" s="46" t="s">
        <v>357</v>
      </c>
      <c r="I79" s="262" t="s">
        <v>41</v>
      </c>
      <c r="J79" s="287" t="s">
        <v>412</v>
      </c>
      <c r="K79" s="49" t="s">
        <v>42</v>
      </c>
      <c r="L79" s="245"/>
    </row>
    <row r="80" ht="14.4" outlineLevel="1">
      <c r="A80" s="89">
        <v>23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9"/>
      <c r="L80" s="245"/>
    </row>
    <row r="81" ht="14.4" outlineLevel="1">
      <c r="A81" s="89">
        <v>24</v>
      </c>
      <c r="B81" s="288"/>
      <c r="C81" s="288"/>
      <c r="D81" s="288"/>
      <c r="E81" s="288"/>
      <c r="F81" s="288"/>
      <c r="G81" s="288"/>
      <c r="H81" s="288"/>
      <c r="I81" s="288"/>
      <c r="J81" s="288"/>
      <c r="K81" s="289"/>
      <c r="L81" s="245"/>
    </row>
    <row r="82" ht="14.4" outlineLevel="1">
      <c r="A82" s="89">
        <v>25</v>
      </c>
      <c r="B82" s="283"/>
      <c r="C82" s="283"/>
      <c r="D82" s="283"/>
      <c r="E82" s="290"/>
      <c r="F82" s="251"/>
      <c r="G82" s="291"/>
      <c r="H82" s="283"/>
      <c r="I82" s="283"/>
      <c r="J82" s="283"/>
      <c r="K82" s="289"/>
      <c r="L82" s="245"/>
    </row>
    <row r="83" ht="14.4" outlineLevel="1">
      <c r="A83" s="89">
        <v>26</v>
      </c>
      <c r="B83" s="244"/>
      <c r="C83" s="244"/>
      <c r="D83" s="244"/>
      <c r="E83" s="292"/>
      <c r="F83" s="42"/>
      <c r="G83" s="263"/>
      <c r="H83" s="244"/>
      <c r="I83" s="244"/>
      <c r="J83" s="244"/>
      <c r="K83" s="293"/>
      <c r="L83" s="245"/>
    </row>
    <row r="84" ht="14.4" outlineLevel="1">
      <c r="A84" s="89">
        <v>27</v>
      </c>
      <c r="B84" s="242"/>
      <c r="C84" s="242"/>
      <c r="D84" s="242"/>
      <c r="E84" s="294"/>
      <c r="F84" s="48"/>
      <c r="G84" s="243"/>
      <c r="H84" s="242"/>
      <c r="I84" s="244"/>
      <c r="J84" s="242"/>
      <c r="K84" s="293"/>
      <c r="L84" s="245"/>
    </row>
    <row r="85" ht="14.4" outlineLevel="1">
      <c r="A85" s="89">
        <v>28</v>
      </c>
      <c r="B85" s="242"/>
      <c r="C85" s="242"/>
      <c r="D85" s="242"/>
      <c r="E85" s="294"/>
      <c r="F85" s="48"/>
      <c r="G85" s="243"/>
      <c r="H85" s="242"/>
      <c r="I85" s="244"/>
      <c r="J85" s="242"/>
      <c r="K85" s="293"/>
      <c r="L85" s="245"/>
    </row>
    <row r="86" s="32" customFormat="1" ht="19.5" customHeight="1" outlineLevel="1">
      <c r="A86" s="33"/>
      <c r="B86" s="34" t="s">
        <v>24</v>
      </c>
      <c r="C86" s="35"/>
      <c r="D86" s="36"/>
      <c r="E86" s="37"/>
      <c r="F86" s="34"/>
      <c r="G86" s="34"/>
      <c r="H86" s="34"/>
      <c r="I86" s="34"/>
      <c r="J86" s="34"/>
      <c r="K86" s="34"/>
      <c r="L86" s="38"/>
    </row>
    <row r="87" ht="14.25" customHeight="1" outlineLevel="1">
      <c r="A87" s="62">
        <v>1</v>
      </c>
      <c r="B87" s="52" t="s">
        <v>135</v>
      </c>
      <c r="C87" s="52" t="s">
        <v>542</v>
      </c>
      <c r="D87" s="52"/>
      <c r="E87" s="128">
        <v>6000</v>
      </c>
      <c r="F87" s="54" t="s">
        <v>543</v>
      </c>
      <c r="G87" s="54" t="s">
        <v>39</v>
      </c>
      <c r="H87" s="46" t="s">
        <v>357</v>
      </c>
      <c r="I87" s="40"/>
      <c r="J87" s="52" t="s">
        <v>544</v>
      </c>
      <c r="K87" s="55" t="s">
        <v>42</v>
      </c>
      <c r="L87" s="56"/>
    </row>
    <row r="88" ht="14.25" customHeight="1" outlineLevel="1">
      <c r="A88" s="45">
        <v>2</v>
      </c>
      <c r="B88" s="46" t="s">
        <v>135</v>
      </c>
      <c r="C88" s="46" t="s">
        <v>542</v>
      </c>
      <c r="D88" s="46"/>
      <c r="E88" s="87">
        <v>12000</v>
      </c>
      <c r="F88" s="48" t="s">
        <v>545</v>
      </c>
      <c r="G88" s="48" t="s">
        <v>39</v>
      </c>
      <c r="H88" s="46" t="s">
        <v>357</v>
      </c>
      <c r="I88" s="40"/>
      <c r="J88" s="46" t="s">
        <v>546</v>
      </c>
      <c r="K88" s="49" t="s">
        <v>42</v>
      </c>
      <c r="L88" s="50"/>
    </row>
    <row r="89" ht="14.25" customHeight="1" outlineLevel="1">
      <c r="A89" s="45">
        <v>3</v>
      </c>
      <c r="B89" s="46" t="s">
        <v>135</v>
      </c>
      <c r="C89" s="46" t="s">
        <v>542</v>
      </c>
      <c r="D89" s="46"/>
      <c r="E89" s="87">
        <v>22000</v>
      </c>
      <c r="F89" s="48" t="s">
        <v>547</v>
      </c>
      <c r="G89" s="48" t="s">
        <v>39</v>
      </c>
      <c r="H89" s="46" t="s">
        <v>357</v>
      </c>
      <c r="I89" s="40"/>
      <c r="J89" s="46" t="s">
        <v>548</v>
      </c>
      <c r="K89" s="49" t="s">
        <v>42</v>
      </c>
      <c r="L89" s="50"/>
    </row>
    <row r="90" ht="14.25" customHeight="1" outlineLevel="1">
      <c r="A90" s="45">
        <v>4</v>
      </c>
      <c r="B90" s="46" t="s">
        <v>248</v>
      </c>
      <c r="C90" s="46" t="s">
        <v>549</v>
      </c>
      <c r="D90" s="46" t="s">
        <v>550</v>
      </c>
      <c r="E90" s="87">
        <v>1000</v>
      </c>
      <c r="F90" s="48" t="s">
        <v>433</v>
      </c>
      <c r="G90" s="48"/>
      <c r="H90" s="46" t="s">
        <v>357</v>
      </c>
      <c r="I90" s="40"/>
      <c r="J90" s="46"/>
      <c r="K90" s="49" t="s">
        <v>42</v>
      </c>
      <c r="L90" s="50"/>
    </row>
    <row r="91" ht="14.25" customHeight="1" outlineLevel="1">
      <c r="A91" s="45">
        <v>5</v>
      </c>
      <c r="B91" s="46"/>
      <c r="C91" s="46"/>
      <c r="D91" s="46"/>
      <c r="E91" s="295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6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7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8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9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10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11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12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13</v>
      </c>
      <c r="B99" s="46"/>
      <c r="C99" s="46"/>
      <c r="D99" s="46"/>
      <c r="E99" s="47"/>
      <c r="F99" s="48"/>
      <c r="G99" s="48"/>
      <c r="H99" s="46"/>
      <c r="I99" s="40"/>
      <c r="J99" s="46"/>
      <c r="K99" s="49"/>
      <c r="L99" s="50"/>
    </row>
    <row r="100" ht="14.25" customHeight="1" outlineLevel="1">
      <c r="A100" s="45">
        <v>14</v>
      </c>
      <c r="B100" s="46"/>
      <c r="C100" s="46"/>
      <c r="D100" s="46"/>
      <c r="E100" s="47"/>
      <c r="F100" s="48"/>
      <c r="G100" s="48"/>
      <c r="H100" s="46"/>
      <c r="I100" s="40"/>
      <c r="J100" s="46"/>
      <c r="K100" s="49"/>
      <c r="L100" s="50"/>
    </row>
    <row r="101" ht="14.25" customHeight="1" outlineLevel="1">
      <c r="A101" s="45">
        <v>15</v>
      </c>
      <c r="B101" s="57"/>
      <c r="C101" s="57"/>
      <c r="D101" s="57"/>
      <c r="E101" s="58"/>
      <c r="F101" s="59"/>
      <c r="G101" s="59"/>
      <c r="H101" s="57"/>
      <c r="I101" s="40"/>
      <c r="J101" s="57"/>
      <c r="K101" s="60"/>
      <c r="L101" s="61"/>
    </row>
    <row r="102" s="32" customFormat="1" ht="19.5" customHeight="1" outlineLevel="1">
      <c r="A102" s="33"/>
      <c r="B102" s="34" t="s">
        <v>25</v>
      </c>
      <c r="C102" s="35"/>
      <c r="D102" s="36"/>
      <c r="E102" s="37"/>
      <c r="F102" s="34"/>
      <c r="G102" s="34"/>
      <c r="H102" s="34"/>
      <c r="I102" s="34"/>
      <c r="J102" s="34"/>
      <c r="K102" s="34"/>
      <c r="L102" s="38"/>
    </row>
    <row r="103" ht="14.25" customHeight="1" outlineLevel="1">
      <c r="A103" s="45">
        <v>1</v>
      </c>
      <c r="B103" s="52"/>
      <c r="C103" s="52"/>
      <c r="D103" s="52"/>
      <c r="E103" s="53"/>
      <c r="F103" s="54"/>
      <c r="G103" s="54"/>
      <c r="H103" s="52"/>
      <c r="I103" s="40"/>
      <c r="J103" s="52"/>
      <c r="K103" s="55"/>
      <c r="L103" s="56"/>
    </row>
    <row r="104" ht="14.25" customHeight="1" outlineLevel="1">
      <c r="A104" s="45">
        <v>2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45">
        <v>3</v>
      </c>
      <c r="B105" s="46"/>
      <c r="C105" s="46"/>
      <c r="D105" s="46"/>
      <c r="E105" s="47"/>
      <c r="F105" s="48"/>
      <c r="G105" s="48"/>
      <c r="H105" s="46"/>
      <c r="I105" s="40"/>
      <c r="J105" s="46"/>
      <c r="K105" s="49"/>
      <c r="L105" s="50"/>
    </row>
    <row r="106" ht="14.25" customHeight="1" outlineLevel="1">
      <c r="A106" s="45">
        <v>4</v>
      </c>
      <c r="B106" s="46"/>
      <c r="C106" s="46"/>
      <c r="D106" s="46"/>
      <c r="E106" s="47"/>
      <c r="F106" s="48"/>
      <c r="G106" s="48"/>
      <c r="H106" s="46"/>
      <c r="I106" s="40"/>
      <c r="J106" s="46"/>
      <c r="K106" s="49"/>
      <c r="L106" s="50"/>
    </row>
    <row r="107" ht="14.25" customHeight="1" outlineLevel="1">
      <c r="A107" s="45">
        <v>5</v>
      </c>
      <c r="B107" s="46"/>
      <c r="C107" s="46"/>
      <c r="D107" s="46"/>
      <c r="E107" s="47"/>
      <c r="F107" s="48"/>
      <c r="G107" s="48"/>
      <c r="H107" s="46"/>
      <c r="I107" s="40"/>
      <c r="J107" s="46"/>
      <c r="K107" s="49"/>
      <c r="L107" s="50"/>
    </row>
    <row r="108" ht="14.25" customHeight="1" outlineLevel="1">
      <c r="A108" s="45">
        <v>6</v>
      </c>
      <c r="B108" s="46"/>
      <c r="C108" s="46"/>
      <c r="D108" s="46"/>
      <c r="E108" s="47"/>
      <c r="F108" s="48"/>
      <c r="G108" s="48"/>
      <c r="H108" s="46"/>
      <c r="I108" s="40"/>
      <c r="J108" s="46"/>
      <c r="K108" s="49"/>
      <c r="L108" s="50"/>
    </row>
    <row r="109" ht="14.25" customHeight="1" outlineLevel="1">
      <c r="A109" s="45">
        <v>7</v>
      </c>
      <c r="B109" s="46"/>
      <c r="C109" s="46"/>
      <c r="D109" s="46"/>
      <c r="E109" s="47"/>
      <c r="F109" s="48"/>
      <c r="G109" s="48"/>
      <c r="H109" s="46"/>
      <c r="I109" s="40"/>
      <c r="J109" s="46"/>
      <c r="K109" s="49"/>
      <c r="L109" s="50"/>
    </row>
    <row r="110" ht="14.25" customHeight="1" outlineLevel="1">
      <c r="A110" s="45">
        <v>8</v>
      </c>
      <c r="B110" s="46"/>
      <c r="C110" s="46"/>
      <c r="D110" s="46"/>
      <c r="E110" s="47"/>
      <c r="F110" s="48"/>
      <c r="G110" s="48"/>
      <c r="H110" s="46"/>
      <c r="I110" s="40"/>
      <c r="J110" s="46"/>
      <c r="K110" s="49"/>
      <c r="L110" s="50"/>
    </row>
    <row r="111" ht="14.25" customHeight="1" outlineLevel="1">
      <c r="A111" s="45">
        <v>9</v>
      </c>
      <c r="B111" s="46"/>
      <c r="C111" s="46"/>
      <c r="D111" s="46"/>
      <c r="E111" s="47"/>
      <c r="F111" s="48"/>
      <c r="G111" s="48"/>
      <c r="H111" s="46"/>
      <c r="I111" s="40"/>
      <c r="J111" s="46"/>
      <c r="K111" s="49"/>
      <c r="L111" s="50"/>
    </row>
    <row r="112" ht="14.25" customHeight="1" outlineLevel="1">
      <c r="A112" s="45">
        <v>10</v>
      </c>
      <c r="B112" s="57"/>
      <c r="C112" s="57"/>
      <c r="D112" s="57"/>
      <c r="E112" s="58"/>
      <c r="F112" s="59"/>
      <c r="G112" s="59"/>
      <c r="H112" s="57"/>
      <c r="I112" s="40"/>
      <c r="J112" s="57"/>
      <c r="K112" s="60"/>
      <c r="L112" s="61"/>
    </row>
    <row r="113" s="32" customFormat="1" ht="19.5" customHeight="1" outlineLevel="1">
      <c r="A113" s="33"/>
      <c r="B113" s="171" t="s">
        <v>26</v>
      </c>
      <c r="C113" s="35"/>
      <c r="D113" s="36"/>
      <c r="E113" s="37"/>
      <c r="F113" s="34"/>
      <c r="G113" s="34"/>
      <c r="H113" s="34"/>
      <c r="I113" s="34"/>
      <c r="J113" s="34"/>
      <c r="K113" s="34"/>
      <c r="L113" s="38"/>
    </row>
    <row r="114" ht="14.25" customHeight="1" outlineLevel="1">
      <c r="A114" s="62">
        <v>1</v>
      </c>
      <c r="B114" s="46" t="s">
        <v>445</v>
      </c>
      <c r="C114" s="52" t="s">
        <v>446</v>
      </c>
      <c r="D114" s="52" t="s">
        <v>551</v>
      </c>
      <c r="E114" s="296">
        <v>306849.32000000001</v>
      </c>
      <c r="F114" s="54" t="s">
        <v>552</v>
      </c>
      <c r="G114" s="54"/>
      <c r="H114" s="52" t="s">
        <v>357</v>
      </c>
      <c r="I114" s="40"/>
      <c r="J114" s="52"/>
      <c r="K114" s="55"/>
      <c r="L114" s="56"/>
    </row>
    <row r="115" ht="14.25" customHeight="1" outlineLevel="1">
      <c r="A115" s="39">
        <v>2</v>
      </c>
      <c r="B115" s="40"/>
      <c r="C115" s="40"/>
      <c r="D115" s="40"/>
      <c r="E115" s="41"/>
      <c r="F115" s="42"/>
      <c r="G115" s="42"/>
      <c r="H115" s="40"/>
      <c r="I115" s="40"/>
      <c r="J115" s="40"/>
      <c r="K115" s="43"/>
      <c r="L115" s="44"/>
    </row>
    <row r="116" ht="14.25" customHeight="1" outlineLevel="1">
      <c r="A116" s="39">
        <v>3</v>
      </c>
      <c r="B116" s="40"/>
      <c r="C116" s="40"/>
      <c r="D116" s="40"/>
      <c r="E116" s="41"/>
      <c r="F116" s="42"/>
      <c r="G116" s="42"/>
      <c r="H116" s="40"/>
      <c r="I116" s="40"/>
      <c r="J116" s="40"/>
      <c r="K116" s="43"/>
      <c r="L116" s="44"/>
    </row>
    <row r="117" ht="14.25" customHeight="1" outlineLevel="1">
      <c r="A117" s="45">
        <v>4</v>
      </c>
      <c r="B117" s="46"/>
      <c r="C117" s="46"/>
      <c r="D117" s="46"/>
      <c r="E117" s="47"/>
      <c r="F117" s="48"/>
      <c r="G117" s="48"/>
      <c r="H117" s="46"/>
      <c r="I117" s="40"/>
      <c r="J117" s="46"/>
      <c r="K117" s="49"/>
      <c r="L117" s="50"/>
    </row>
    <row r="118" ht="14.25" customHeight="1" outlineLevel="1">
      <c r="A118" s="63">
        <v>5</v>
      </c>
      <c r="B118" s="57"/>
      <c r="C118" s="57"/>
      <c r="D118" s="57"/>
      <c r="E118" s="58"/>
      <c r="F118" s="59"/>
      <c r="G118" s="59"/>
      <c r="H118" s="57"/>
      <c r="I118" s="57"/>
      <c r="J118" s="57"/>
      <c r="K118" s="60"/>
      <c r="L118" s="61"/>
    </row>
    <row r="119" ht="23.100000000000001" customHeight="1">
      <c r="A119" s="64" t="s">
        <v>27</v>
      </c>
      <c r="B119" s="65"/>
      <c r="C119" s="65"/>
      <c r="D119" s="65"/>
      <c r="E119" s="66">
        <f>SUM(E15:E118)</f>
        <v>9484367.6499999985</v>
      </c>
    </row>
    <row r="120" ht="23.100000000000001" customHeight="1">
      <c r="A120" s="64" t="s">
        <v>28</v>
      </c>
      <c r="B120" s="65"/>
      <c r="C120" s="65"/>
      <c r="D120" s="65"/>
      <c r="E120" s="66">
        <f>E4-E119</f>
        <v>26260710.13000001</v>
      </c>
      <c r="F120" s="67"/>
      <c r="G120" s="67"/>
    </row>
    <row r="121" ht="24.75" customHeight="1">
      <c r="E121" s="1"/>
    </row>
    <row r="122" ht="30" customHeight="1">
      <c r="A122" s="68" t="s">
        <v>29</v>
      </c>
      <c r="B122" s="69"/>
      <c r="C122" s="69"/>
      <c r="D122" s="70"/>
      <c r="E122" s="71">
        <f>SUM(E123:E126)</f>
        <v>697254.14000000001</v>
      </c>
      <c r="F122" s="12"/>
      <c r="G122" s="12"/>
      <c r="H122" s="12"/>
      <c r="I122" s="12"/>
      <c r="J122" s="12"/>
    </row>
    <row r="123" ht="15" customHeight="1">
      <c r="A123" s="13" t="s">
        <v>30</v>
      </c>
      <c r="B123" s="14"/>
      <c r="C123" s="14"/>
      <c r="D123" s="15"/>
      <c r="E123" s="16">
        <v>697254.14000000001</v>
      </c>
      <c r="F123" s="12"/>
      <c r="G123" s="12"/>
      <c r="H123" s="12"/>
      <c r="I123" s="12"/>
      <c r="J123" s="12"/>
    </row>
    <row r="124">
      <c r="A124" s="72"/>
      <c r="B124" s="73"/>
      <c r="C124" s="73"/>
      <c r="D124" s="74"/>
      <c r="E124" s="75"/>
      <c r="F124" s="12"/>
      <c r="G124" s="12"/>
      <c r="H124" s="12"/>
      <c r="I124" s="12"/>
      <c r="J124" s="12"/>
    </row>
    <row r="125">
      <c r="A125" s="21"/>
      <c r="B125" s="18"/>
      <c r="C125" s="18"/>
      <c r="D125" s="19"/>
      <c r="E125" s="20"/>
      <c r="F125" s="12"/>
      <c r="G125" s="12"/>
      <c r="H125" s="12"/>
      <c r="I125" s="12"/>
      <c r="J125" s="12"/>
    </row>
    <row r="126" ht="15">
      <c r="A126" s="76"/>
      <c r="B126" s="24"/>
      <c r="C126" s="24"/>
      <c r="D126" s="25"/>
      <c r="E126" s="26"/>
      <c r="F126" s="27"/>
      <c r="G126" s="27"/>
      <c r="H126" s="27"/>
      <c r="I126" s="27"/>
      <c r="J126" s="27"/>
    </row>
    <row r="127" ht="6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</row>
    <row r="128" ht="28.5" outlineLevel="1">
      <c r="A128" s="28" t="s">
        <v>9</v>
      </c>
      <c r="B128" s="28" t="s">
        <v>10</v>
      </c>
      <c r="C128" s="28" t="s">
        <v>11</v>
      </c>
      <c r="D128" s="28" t="s">
        <v>12</v>
      </c>
      <c r="E128" s="29" t="s">
        <v>13</v>
      </c>
      <c r="F128" s="28" t="s">
        <v>14</v>
      </c>
      <c r="G128" s="30" t="s">
        <v>15</v>
      </c>
      <c r="H128" s="28" t="s">
        <v>16</v>
      </c>
      <c r="I128" s="31" t="s">
        <v>17</v>
      </c>
      <c r="J128" s="28" t="s">
        <v>18</v>
      </c>
      <c r="K128" s="28" t="s">
        <v>19</v>
      </c>
      <c r="L128" s="28" t="s">
        <v>20</v>
      </c>
    </row>
    <row r="129" ht="15" outlineLevel="1">
      <c r="A129" s="77"/>
      <c r="B129" s="78" t="s">
        <v>31</v>
      </c>
      <c r="C129" s="79"/>
      <c r="D129" s="80"/>
      <c r="E129" s="81"/>
      <c r="F129" s="78"/>
      <c r="G129" s="78"/>
      <c r="H129" s="78"/>
      <c r="I129" s="78"/>
      <c r="J129" s="78"/>
      <c r="K129" s="78"/>
      <c r="L129" s="78"/>
    </row>
    <row r="130" outlineLevel="1">
      <c r="A130" s="39">
        <v>1</v>
      </c>
      <c r="B130" s="40"/>
      <c r="C130" s="40"/>
      <c r="D130" s="40"/>
      <c r="E130" s="41"/>
      <c r="F130" s="42"/>
      <c r="G130" s="42"/>
      <c r="H130" s="40"/>
      <c r="I130" s="40"/>
      <c r="J130" s="40"/>
      <c r="K130" s="43"/>
      <c r="L130" s="44"/>
    </row>
    <row r="131" outlineLevel="1">
      <c r="A131" s="45">
        <v>2</v>
      </c>
      <c r="B131" s="46"/>
      <c r="C131" s="46"/>
      <c r="D131" s="46"/>
      <c r="E131" s="47"/>
      <c r="F131" s="48"/>
      <c r="G131" s="48"/>
      <c r="H131" s="46"/>
      <c r="I131" s="40"/>
      <c r="J131" s="46"/>
      <c r="K131" s="49"/>
      <c r="L131" s="50"/>
    </row>
    <row r="132" outlineLevel="1">
      <c r="A132" s="45">
        <v>3</v>
      </c>
      <c r="B132" s="46"/>
      <c r="C132" s="46"/>
      <c r="D132" s="46"/>
      <c r="E132" s="47"/>
      <c r="F132" s="48"/>
      <c r="G132" s="48"/>
      <c r="H132" s="46"/>
      <c r="I132" s="40"/>
      <c r="J132" s="46"/>
      <c r="K132" s="49"/>
      <c r="L132" s="50"/>
    </row>
    <row r="133" outlineLevel="1">
      <c r="A133" s="45">
        <v>4</v>
      </c>
      <c r="B133" s="46"/>
      <c r="C133" s="46"/>
      <c r="D133" s="46"/>
      <c r="E133" s="47"/>
      <c r="F133" s="48"/>
      <c r="G133" s="48"/>
      <c r="H133" s="46"/>
      <c r="I133" s="40"/>
      <c r="J133" s="46"/>
      <c r="K133" s="49"/>
      <c r="L133" s="50"/>
    </row>
    <row r="134" ht="15.75" customHeight="1" outlineLevel="1">
      <c r="A134" s="45">
        <v>5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6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7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8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39">
        <v>9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10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11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12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13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14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ht="15" outlineLevel="1">
      <c r="A144" s="45">
        <v>15</v>
      </c>
      <c r="B144" s="57"/>
      <c r="C144" s="57"/>
      <c r="D144" s="57"/>
      <c r="E144" s="58"/>
      <c r="F144" s="59"/>
      <c r="G144" s="59"/>
      <c r="H144" s="57"/>
      <c r="I144" s="40"/>
      <c r="J144" s="57"/>
      <c r="K144" s="60"/>
      <c r="L144" s="61"/>
    </row>
    <row r="145" ht="15" outlineLevel="1">
      <c r="A145" s="77"/>
      <c r="B145" s="78" t="s">
        <v>32</v>
      </c>
      <c r="C145" s="79"/>
      <c r="D145" s="80"/>
      <c r="E145" s="81"/>
      <c r="F145" s="78"/>
      <c r="G145" s="78"/>
      <c r="H145" s="78"/>
      <c r="I145" s="78"/>
      <c r="J145" s="78"/>
      <c r="K145" s="78"/>
      <c r="L145" s="78"/>
    </row>
    <row r="146" outlineLevel="1">
      <c r="A146" s="62">
        <v>1</v>
      </c>
      <c r="B146" s="52"/>
      <c r="C146" s="52"/>
      <c r="D146" s="52"/>
      <c r="E146" s="53"/>
      <c r="F146" s="54"/>
      <c r="G146" s="54"/>
      <c r="H146" s="52"/>
      <c r="I146" s="40"/>
      <c r="J146" s="52"/>
      <c r="K146" s="55"/>
      <c r="L146" s="56"/>
    </row>
    <row r="147" outlineLevel="1">
      <c r="A147" s="45">
        <v>2</v>
      </c>
      <c r="B147" s="46"/>
      <c r="C147" s="46"/>
      <c r="D147" s="46"/>
      <c r="E147" s="47"/>
      <c r="F147" s="48"/>
      <c r="G147" s="48"/>
      <c r="H147" s="46"/>
      <c r="I147" s="40"/>
      <c r="J147" s="46"/>
      <c r="K147" s="49"/>
      <c r="L147" s="50"/>
    </row>
    <row r="148" outlineLevel="1">
      <c r="A148" s="45">
        <v>3</v>
      </c>
      <c r="B148" s="46"/>
      <c r="C148" s="46"/>
      <c r="D148" s="46"/>
      <c r="E148" s="47"/>
      <c r="F148" s="48"/>
      <c r="G148" s="48"/>
      <c r="H148" s="46"/>
      <c r="I148" s="40"/>
      <c r="J148" s="46"/>
      <c r="K148" s="49"/>
      <c r="L148" s="50"/>
    </row>
    <row r="149" outlineLevel="1">
      <c r="A149" s="45">
        <v>4</v>
      </c>
      <c r="B149" s="46"/>
      <c r="C149" s="46"/>
      <c r="D149" s="46"/>
      <c r="E149" s="47"/>
      <c r="F149" s="48"/>
      <c r="G149" s="48"/>
      <c r="H149" s="46"/>
      <c r="I149" s="40"/>
      <c r="J149" s="46"/>
      <c r="K149" s="49"/>
      <c r="L149" s="50"/>
    </row>
    <row r="150" outlineLevel="1">
      <c r="A150" s="45">
        <v>5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6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7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8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9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10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11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12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outlineLevel="1">
      <c r="A158" s="45">
        <v>13</v>
      </c>
      <c r="B158" s="46"/>
      <c r="C158" s="46"/>
      <c r="D158" s="46"/>
      <c r="E158" s="47"/>
      <c r="F158" s="48"/>
      <c r="G158" s="48"/>
      <c r="H158" s="46"/>
      <c r="I158" s="40"/>
      <c r="J158" s="46"/>
      <c r="K158" s="49"/>
      <c r="L158" s="50"/>
    </row>
    <row r="159" outlineLevel="1">
      <c r="A159" s="45">
        <v>14</v>
      </c>
      <c r="B159" s="46"/>
      <c r="C159" s="46"/>
      <c r="D159" s="46"/>
      <c r="E159" s="47"/>
      <c r="F159" s="48"/>
      <c r="G159" s="48"/>
      <c r="H159" s="46"/>
      <c r="I159" s="40"/>
      <c r="J159" s="46"/>
      <c r="K159" s="49"/>
      <c r="L159" s="50"/>
    </row>
    <row r="160" ht="15" outlineLevel="1">
      <c r="A160" s="45">
        <v>15</v>
      </c>
      <c r="B160" s="57"/>
      <c r="C160" s="57"/>
      <c r="D160" s="57"/>
      <c r="E160" s="58"/>
      <c r="F160" s="59"/>
      <c r="G160" s="59"/>
      <c r="H160" s="57"/>
      <c r="I160" s="40"/>
      <c r="J160" s="57"/>
      <c r="K160" s="60"/>
      <c r="L160" s="61"/>
    </row>
    <row r="161" ht="15" outlineLevel="1">
      <c r="A161" s="77"/>
      <c r="B161" s="78" t="s">
        <v>25</v>
      </c>
      <c r="C161" s="79"/>
      <c r="D161" s="80"/>
      <c r="E161" s="81"/>
      <c r="F161" s="78"/>
      <c r="G161" s="78"/>
      <c r="H161" s="78"/>
      <c r="I161" s="78"/>
      <c r="J161" s="78"/>
      <c r="K161" s="78"/>
      <c r="L161" s="78"/>
    </row>
    <row r="162" outlineLevel="1">
      <c r="A162" s="45">
        <v>1</v>
      </c>
      <c r="B162" s="52"/>
      <c r="C162" s="52"/>
      <c r="D162" s="52"/>
      <c r="E162" s="53"/>
      <c r="F162" s="54"/>
      <c r="G162" s="54"/>
      <c r="H162" s="52"/>
      <c r="I162" s="40"/>
      <c r="J162" s="52"/>
      <c r="K162" s="55"/>
      <c r="L162" s="56"/>
    </row>
    <row r="163" outlineLevel="1">
      <c r="A163" s="45">
        <v>2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outlineLevel="1">
      <c r="A164" s="45">
        <v>3</v>
      </c>
      <c r="B164" s="46"/>
      <c r="C164" s="46"/>
      <c r="D164" s="46"/>
      <c r="E164" s="47"/>
      <c r="F164" s="48"/>
      <c r="G164" s="48"/>
      <c r="H164" s="46"/>
      <c r="I164" s="40"/>
      <c r="J164" s="46"/>
      <c r="K164" s="49"/>
      <c r="L164" s="50"/>
    </row>
    <row r="165" outlineLevel="1">
      <c r="A165" s="45">
        <v>4</v>
      </c>
      <c r="B165" s="46"/>
      <c r="C165" s="46"/>
      <c r="D165" s="46"/>
      <c r="E165" s="47"/>
      <c r="F165" s="48"/>
      <c r="G165" s="48"/>
      <c r="H165" s="46"/>
      <c r="I165" s="40"/>
      <c r="J165" s="46"/>
      <c r="K165" s="49"/>
      <c r="L165" s="50"/>
    </row>
    <row r="166" outlineLevel="1">
      <c r="A166" s="45">
        <v>5</v>
      </c>
      <c r="B166" s="46"/>
      <c r="C166" s="46"/>
      <c r="D166" s="46"/>
      <c r="E166" s="47"/>
      <c r="F166" s="48"/>
      <c r="G166" s="48"/>
      <c r="H166" s="46"/>
      <c r="I166" s="40"/>
      <c r="J166" s="46"/>
      <c r="K166" s="49"/>
      <c r="L166" s="50"/>
    </row>
    <row r="167" outlineLevel="1">
      <c r="A167" s="45">
        <v>6</v>
      </c>
      <c r="B167" s="46"/>
      <c r="C167" s="46"/>
      <c r="D167" s="46"/>
      <c r="E167" s="47"/>
      <c r="F167" s="48"/>
      <c r="G167" s="48"/>
      <c r="H167" s="46"/>
      <c r="I167" s="40"/>
      <c r="J167" s="46"/>
      <c r="K167" s="49"/>
      <c r="L167" s="50"/>
    </row>
    <row r="168" outlineLevel="1">
      <c r="A168" s="45">
        <v>7</v>
      </c>
      <c r="B168" s="46"/>
      <c r="C168" s="46"/>
      <c r="D168" s="46"/>
      <c r="E168" s="47"/>
      <c r="F168" s="48"/>
      <c r="G168" s="48"/>
      <c r="H168" s="46"/>
      <c r="I168" s="40"/>
      <c r="J168" s="46"/>
      <c r="K168" s="49"/>
      <c r="L168" s="50"/>
    </row>
    <row r="169" outlineLevel="1">
      <c r="A169" s="45">
        <v>8</v>
      </c>
      <c r="B169" s="46"/>
      <c r="C169" s="46"/>
      <c r="D169" s="46"/>
      <c r="E169" s="47"/>
      <c r="F169" s="48"/>
      <c r="G169" s="48"/>
      <c r="H169" s="46"/>
      <c r="I169" s="40"/>
      <c r="J169" s="46"/>
      <c r="K169" s="49"/>
      <c r="L169" s="50"/>
    </row>
    <row r="170" outlineLevel="1">
      <c r="A170" s="45">
        <v>9</v>
      </c>
      <c r="B170" s="46"/>
      <c r="C170" s="46"/>
      <c r="D170" s="46"/>
      <c r="E170" s="47"/>
      <c r="F170" s="48"/>
      <c r="G170" s="48"/>
      <c r="H170" s="46"/>
      <c r="I170" s="40"/>
      <c r="J170" s="46"/>
      <c r="K170" s="49"/>
      <c r="L170" s="50"/>
    </row>
    <row r="171" ht="15" outlineLevel="1">
      <c r="A171" s="45">
        <v>10</v>
      </c>
      <c r="B171" s="57"/>
      <c r="C171" s="57"/>
      <c r="D171" s="57"/>
      <c r="E171" s="58"/>
      <c r="F171" s="59"/>
      <c r="G171" s="59"/>
      <c r="H171" s="57"/>
      <c r="I171" s="40"/>
      <c r="J171" s="57"/>
      <c r="K171" s="60"/>
      <c r="L171" s="61"/>
    </row>
    <row r="172" ht="15" outlineLevel="1">
      <c r="A172" s="77"/>
      <c r="B172" s="78" t="s">
        <v>26</v>
      </c>
      <c r="C172" s="79"/>
      <c r="D172" s="80"/>
      <c r="E172" s="81"/>
      <c r="F172" s="78"/>
      <c r="G172" s="78"/>
      <c r="H172" s="78"/>
      <c r="I172" s="78"/>
      <c r="J172" s="78"/>
      <c r="K172" s="78"/>
      <c r="L172" s="78"/>
    </row>
    <row r="173" outlineLevel="1">
      <c r="A173" s="62">
        <v>1</v>
      </c>
      <c r="B173" s="52"/>
      <c r="C173" s="52"/>
      <c r="D173" s="52"/>
      <c r="E173" s="53"/>
      <c r="F173" s="54"/>
      <c r="G173" s="54"/>
      <c r="H173" s="52"/>
      <c r="I173" s="40"/>
      <c r="J173" s="52"/>
      <c r="K173" s="55"/>
      <c r="L173" s="56"/>
    </row>
    <row r="174" outlineLevel="1">
      <c r="A174" s="39">
        <v>2</v>
      </c>
      <c r="B174" s="40"/>
      <c r="C174" s="40"/>
      <c r="D174" s="40"/>
      <c r="E174" s="41"/>
      <c r="F174" s="42"/>
      <c r="G174" s="42"/>
      <c r="H174" s="40"/>
      <c r="I174" s="40"/>
      <c r="J174" s="40"/>
      <c r="K174" s="43"/>
      <c r="L174" s="44"/>
    </row>
    <row r="175" outlineLevel="1">
      <c r="A175" s="39">
        <v>3</v>
      </c>
      <c r="B175" s="40"/>
      <c r="C175" s="40"/>
      <c r="D175" s="40"/>
      <c r="E175" s="41"/>
      <c r="F175" s="42"/>
      <c r="G175" s="42"/>
      <c r="H175" s="40"/>
      <c r="I175" s="40"/>
      <c r="J175" s="40"/>
      <c r="K175" s="43"/>
      <c r="L175" s="44"/>
    </row>
    <row r="176" outlineLevel="1">
      <c r="A176" s="45">
        <v>4</v>
      </c>
      <c r="B176" s="46"/>
      <c r="C176" s="46"/>
      <c r="D176" s="46"/>
      <c r="E176" s="47"/>
      <c r="F176" s="48"/>
      <c r="G176" s="48"/>
      <c r="H176" s="46"/>
      <c r="I176" s="40"/>
      <c r="J176" s="46"/>
      <c r="K176" s="49"/>
      <c r="L176" s="50"/>
    </row>
    <row r="177" ht="15" outlineLevel="1">
      <c r="A177" s="63">
        <v>5</v>
      </c>
      <c r="B177" s="57"/>
      <c r="C177" s="57"/>
      <c r="D177" s="57"/>
      <c r="E177" s="58"/>
      <c r="F177" s="59"/>
      <c r="G177" s="59"/>
      <c r="H177" s="57"/>
      <c r="I177" s="57"/>
      <c r="J177" s="57"/>
      <c r="K177" s="60"/>
      <c r="L177" s="61"/>
    </row>
    <row r="178" ht="23.100000000000001" customHeight="1">
      <c r="A178" s="82" t="s">
        <v>33</v>
      </c>
      <c r="B178" s="83"/>
      <c r="C178" s="83"/>
      <c r="D178" s="84"/>
      <c r="E178" s="85">
        <f>SUM(E130:E177)</f>
        <v>0</v>
      </c>
    </row>
    <row r="179" ht="23.100000000000001" customHeight="1">
      <c r="A179" s="82" t="s">
        <v>28</v>
      </c>
      <c r="B179" s="83"/>
      <c r="C179" s="83"/>
      <c r="D179" s="84"/>
      <c r="E179" s="85">
        <f>E122-E178</f>
        <v>697254.14000000001</v>
      </c>
      <c r="F179" s="67"/>
      <c r="G179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19:D119"/>
    <mergeCell ref="A120:D120"/>
    <mergeCell ref="A122:D122"/>
    <mergeCell ref="A123:D123"/>
    <mergeCell ref="A124:D124"/>
    <mergeCell ref="A125:D125"/>
    <mergeCell ref="A126:D126"/>
    <mergeCell ref="A178:D178"/>
    <mergeCell ref="A179:D179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7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8" disablePrompts="0">
        <x14:dataValidation xr:uid="{00C6003E-00C0-4B33-A8A0-00B000380079}" type="list" allowBlank="1" errorStyle="stop" imeMode="noControl" operator="between" showDropDown="0" showErrorMessage="1" showInputMessage="1">
          <x14:formula1>
            <xm:f>ДаНет</xm:f>
          </x14:formula1>
          <xm:sqref>I37:I56 I58:I62 I87:I101 I103:I112 I114:I118 I130:I144 I146:I160 I162:I171 I173:I177 I16:I35</xm:sqref>
        </x14:dataValidation>
        <x14:dataValidation xr:uid="{00D0007D-00A2-4A12-992D-00E1000C005B}" type="list" allowBlank="1" errorStyle="stop" imeMode="noControl" operator="between" showDropDown="0" showErrorMessage="1" showInputMessage="1">
          <x14:formula1>
            <xm:f>ДаНет</xm:f>
          </x14:formula1>
          <xm:sqref>I63:I66 I73:I75</xm:sqref>
        </x14:dataValidation>
        <x14:dataValidation xr:uid="{009C0095-002A-4DDB-AACC-001E00F4006F}" type="list" allowBlank="1" errorStyle="stop" imeMode="noControl" operator="between" showDropDown="0" showErrorMessage="1" showInputMessage="1">
          <x14:formula1>
            <xm:f>ДаНет</xm:f>
          </x14:formula1>
          <xm:sqref>I67</xm:sqref>
        </x14:dataValidation>
        <x14:dataValidation xr:uid="{00280065-0021-44AF-BFCD-000500380043}" type="list" allowBlank="1" errorStyle="stop" imeMode="noControl" operator="between" showDropDown="0" showErrorMessage="1" showInputMessage="1">
          <x14:formula1>
            <xm:f>ДаНет</xm:f>
          </x14:formula1>
          <xm:sqref>I68</xm:sqref>
        </x14:dataValidation>
        <x14:dataValidation xr:uid="{00310053-00CA-4BD6-9197-008C00160059}" type="list" allowBlank="1" errorStyle="stop" imeMode="noControl" operator="between" showDropDown="0" showErrorMessage="1" showInputMessage="1">
          <x14:formula1>
            <xm:f>ДаНет</xm:f>
          </x14:formula1>
          <xm:sqref>I69</xm:sqref>
        </x14:dataValidation>
        <x14:dataValidation xr:uid="{004600B9-0086-4CD7-9B60-0009003500D7}" type="list" allowBlank="1" errorStyle="stop" imeMode="noControl" operator="between" showDropDown="0" showErrorMessage="1" showInputMessage="1">
          <x14:formula1>
            <xm:f>ДаНет</xm:f>
          </x14:formula1>
          <xm:sqref>I70</xm:sqref>
        </x14:dataValidation>
        <x14:dataValidation xr:uid="{004400F1-0065-4C01-8982-00D000D7007A}" type="list" allowBlank="1" errorStyle="stop" imeMode="noControl" operator="between" showDropDown="0" showErrorMessage="1" showInputMessage="1">
          <x14:formula1>
            <xm:f>ДаНет</xm:f>
          </x14:formula1>
          <xm:sqref>I71</xm:sqref>
        </x14:dataValidation>
        <x14:dataValidation xr:uid="{00710075-0085-4718-9F21-002000F6009E}" type="list" allowBlank="1" errorStyle="stop" imeMode="noControl" operator="between" showDropDown="0" showErrorMessage="1" showInputMessage="1">
          <x14:formula1>
            <xm:f>ДаНет</xm:f>
          </x14:formula1>
          <xm:sqref>I72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'16'!C2+1</f>
        <v>46098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2760254.1899999999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2481477.2000000002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4429.9200000000001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49366.839999999997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134865.60999999999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31489.09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42803.93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89">
        <v>2</v>
      </c>
      <c r="B16" s="90" t="s">
        <v>44</v>
      </c>
      <c r="C16" s="46" t="s">
        <v>45</v>
      </c>
      <c r="D16" s="46" t="s">
        <v>46</v>
      </c>
      <c r="E16" s="174" t="s">
        <v>454</v>
      </c>
      <c r="F16" s="48" t="s">
        <v>48</v>
      </c>
      <c r="G16" s="48"/>
      <c r="H16" s="46"/>
      <c r="I16" s="40"/>
      <c r="J16" s="46"/>
      <c r="K16" s="49"/>
      <c r="L16" s="50"/>
    </row>
    <row r="17" ht="14.25" customHeight="1" outlineLevel="1">
      <c r="A17" s="89">
        <v>3</v>
      </c>
      <c r="B17" s="155" t="s">
        <v>44</v>
      </c>
      <c r="C17" s="46" t="s">
        <v>150</v>
      </c>
      <c r="D17" s="46" t="s">
        <v>453</v>
      </c>
      <c r="E17" s="87">
        <v>2000000</v>
      </c>
      <c r="F17" s="48" t="s">
        <v>48</v>
      </c>
      <c r="G17" s="48"/>
      <c r="H17" s="46"/>
      <c r="I17" s="40"/>
      <c r="J17" s="46"/>
      <c r="K17" s="49" t="s">
        <v>42</v>
      </c>
      <c r="L17" s="50"/>
    </row>
    <row r="18" ht="14.25" customHeight="1" outlineLevel="1">
      <c r="A18" s="45">
        <v>6</v>
      </c>
      <c r="B18" s="242"/>
      <c r="C18" s="242"/>
      <c r="D18" s="242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7</v>
      </c>
      <c r="B19" s="242" t="s">
        <v>465</v>
      </c>
      <c r="C19" s="242" t="s">
        <v>466</v>
      </c>
      <c r="D19" s="242" t="s">
        <v>467</v>
      </c>
      <c r="E19" s="87">
        <v>671152.5</v>
      </c>
      <c r="F19" s="243" t="s">
        <v>48</v>
      </c>
      <c r="G19" s="48"/>
      <c r="H19" s="46"/>
      <c r="I19" s="40"/>
      <c r="J19" s="46"/>
      <c r="K19" s="49" t="s">
        <v>42</v>
      </c>
      <c r="L19" s="50"/>
    </row>
    <row r="20" ht="14.25" customHeight="1" outlineLevel="1">
      <c r="A20" s="45">
        <v>8</v>
      </c>
      <c r="B20" s="242" t="s">
        <v>465</v>
      </c>
      <c r="C20" s="242" t="s">
        <v>468</v>
      </c>
      <c r="D20" s="242" t="s">
        <v>469</v>
      </c>
      <c r="E20" s="87">
        <v>263219.22999999998</v>
      </c>
      <c r="F20" s="243" t="s">
        <v>48</v>
      </c>
      <c r="G20" s="48"/>
      <c r="H20" s="46"/>
      <c r="I20" s="40"/>
      <c r="J20" s="46"/>
      <c r="K20" s="49" t="s">
        <v>42</v>
      </c>
      <c r="L20" s="50"/>
    </row>
    <row r="21" ht="14.25" customHeight="1" outlineLevel="1">
      <c r="A21" s="39">
        <v>9</v>
      </c>
      <c r="B21" s="242"/>
      <c r="C21" s="242"/>
      <c r="D21" s="242"/>
      <c r="E21" s="47"/>
      <c r="F21" s="243"/>
      <c r="G21" s="48"/>
      <c r="H21" s="46"/>
      <c r="I21" s="40"/>
      <c r="J21" s="46"/>
      <c r="K21" s="49"/>
      <c r="L21" s="50"/>
    </row>
    <row r="22" ht="14.25" customHeight="1" outlineLevel="1">
      <c r="A22" s="45">
        <v>10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11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12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13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14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45">
        <v>15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16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17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18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19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39">
        <v>20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s="32" customFormat="1" ht="19.5" customHeight="1" outlineLevel="1">
      <c r="A33" s="33"/>
      <c r="B33" s="34" t="s">
        <v>22</v>
      </c>
      <c r="C33" s="35"/>
      <c r="D33" s="36"/>
      <c r="E33" s="37"/>
      <c r="F33" s="34"/>
      <c r="G33" s="34"/>
      <c r="H33" s="34"/>
      <c r="I33" s="34"/>
      <c r="J33" s="34"/>
      <c r="K33" s="34"/>
      <c r="L33" s="38"/>
    </row>
    <row r="34" ht="14.25" customHeight="1" outlineLevel="1">
      <c r="A34" s="39">
        <v>1</v>
      </c>
      <c r="B34" s="40"/>
      <c r="C34" s="40"/>
      <c r="D34" s="40"/>
      <c r="E34" s="41"/>
      <c r="F34" s="42"/>
      <c r="G34" s="42"/>
      <c r="H34" s="40"/>
      <c r="I34" s="40"/>
      <c r="J34" s="40"/>
      <c r="K34" s="43"/>
      <c r="L34" s="44"/>
    </row>
    <row r="35" ht="14.25" customHeight="1" outlineLevel="1">
      <c r="A35" s="45">
        <v>2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ht="14.25" customHeight="1" outlineLevel="1">
      <c r="A36" s="45">
        <v>3</v>
      </c>
      <c r="B36" s="46"/>
      <c r="C36" s="46"/>
      <c r="D36" s="46"/>
      <c r="E36" s="47"/>
      <c r="F36" s="48"/>
      <c r="G36" s="48"/>
      <c r="H36" s="46"/>
      <c r="I36" s="40"/>
      <c r="J36" s="46"/>
      <c r="K36" s="49"/>
      <c r="L36" s="50"/>
    </row>
    <row r="37" ht="14.25" customHeight="1" outlineLevel="1">
      <c r="A37" s="45">
        <v>4</v>
      </c>
      <c r="B37" s="46"/>
      <c r="C37" s="46"/>
      <c r="D37" s="46"/>
      <c r="E37" s="47"/>
      <c r="F37" s="48"/>
      <c r="G37" s="48"/>
      <c r="H37" s="46"/>
      <c r="I37" s="40"/>
      <c r="J37" s="46"/>
      <c r="K37" s="49"/>
      <c r="L37" s="50"/>
    </row>
    <row r="38" ht="14.25" customHeight="1" outlineLevel="1">
      <c r="A38" s="45">
        <v>5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6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7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8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39">
        <v>9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10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11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12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13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14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45">
        <v>15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16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17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18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19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39">
        <v>20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s="32" customFormat="1" ht="19.5" customHeight="1" outlineLevel="1">
      <c r="A54" s="33"/>
      <c r="B54" s="51" t="s">
        <v>23</v>
      </c>
      <c r="C54" s="35"/>
      <c r="D54" s="36"/>
      <c r="E54" s="37"/>
      <c r="F54" s="34"/>
      <c r="G54" s="34"/>
      <c r="H54" s="34"/>
      <c r="I54" s="34"/>
      <c r="J54" s="34"/>
      <c r="K54" s="34"/>
      <c r="L54" s="38"/>
    </row>
    <row r="55" ht="14.25" customHeight="1" outlineLevel="1">
      <c r="A55" s="39">
        <v>1</v>
      </c>
      <c r="B55" s="52"/>
      <c r="C55" s="52"/>
      <c r="D55" s="52"/>
      <c r="E55" s="53"/>
      <c r="F55" s="54"/>
      <c r="G55" s="54"/>
      <c r="H55" s="52"/>
      <c r="I55" s="40"/>
      <c r="J55" s="52"/>
      <c r="K55" s="55"/>
      <c r="L55" s="56"/>
    </row>
    <row r="56" ht="14.25" customHeight="1" outlineLevel="1">
      <c r="A56" s="45">
        <v>2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ht="14.25" customHeight="1" outlineLevel="1">
      <c r="A57" s="45">
        <v>3</v>
      </c>
      <c r="B57" s="46"/>
      <c r="C57" s="46"/>
      <c r="D57" s="46"/>
      <c r="E57" s="47"/>
      <c r="F57" s="48"/>
      <c r="G57" s="48"/>
      <c r="H57" s="46"/>
      <c r="I57" s="40"/>
      <c r="J57" s="46"/>
      <c r="K57" s="49"/>
      <c r="L57" s="50"/>
    </row>
    <row r="58" ht="14.25" customHeight="1" outlineLevel="1">
      <c r="A58" s="45">
        <v>4</v>
      </c>
      <c r="B58" s="46"/>
      <c r="C58" s="46"/>
      <c r="D58" s="46"/>
      <c r="E58" s="47"/>
      <c r="F58" s="48"/>
      <c r="G58" s="48"/>
      <c r="H58" s="46"/>
      <c r="I58" s="40"/>
      <c r="J58" s="46"/>
      <c r="K58" s="49"/>
      <c r="L58" s="50"/>
    </row>
    <row r="59" ht="14.25" customHeight="1" outlineLevel="1">
      <c r="A59" s="45">
        <v>5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6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7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8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39">
        <v>9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10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11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45">
        <v>12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13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14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15</v>
      </c>
      <c r="B69" s="57"/>
      <c r="C69" s="57"/>
      <c r="D69" s="57"/>
      <c r="E69" s="58"/>
      <c r="F69" s="59"/>
      <c r="G69" s="59"/>
      <c r="H69" s="57"/>
      <c r="I69" s="40"/>
      <c r="J69" s="57"/>
      <c r="K69" s="60"/>
      <c r="L69" s="61"/>
    </row>
    <row r="70" s="32" customFormat="1" ht="19.5" customHeight="1" outlineLevel="1">
      <c r="A70" s="33"/>
      <c r="B70" s="34" t="s">
        <v>24</v>
      </c>
      <c r="C70" s="35"/>
      <c r="D70" s="36"/>
      <c r="E70" s="37"/>
      <c r="F70" s="34"/>
      <c r="G70" s="34"/>
      <c r="H70" s="34"/>
      <c r="I70" s="34"/>
      <c r="J70" s="34"/>
      <c r="K70" s="34"/>
      <c r="L70" s="38"/>
    </row>
    <row r="71" ht="14.4" outlineLevel="1">
      <c r="A71" s="62">
        <v>1</v>
      </c>
      <c r="B71" s="52" t="s">
        <v>553</v>
      </c>
      <c r="C71" s="52" t="s">
        <v>554</v>
      </c>
      <c r="D71" s="52" t="s">
        <v>555</v>
      </c>
      <c r="E71" s="128">
        <v>1000</v>
      </c>
      <c r="F71" s="297" t="s">
        <v>556</v>
      </c>
      <c r="G71" s="54" t="s">
        <v>557</v>
      </c>
      <c r="H71" s="52" t="s">
        <v>357</v>
      </c>
      <c r="I71" s="40"/>
      <c r="J71" s="52" t="s">
        <v>558</v>
      </c>
      <c r="K71" s="55" t="s">
        <v>42</v>
      </c>
      <c r="L71" s="56"/>
    </row>
    <row r="72" ht="14.25" customHeight="1" outlineLevel="1">
      <c r="A72" s="45">
        <v>2</v>
      </c>
      <c r="B72" s="46"/>
      <c r="C72" s="46"/>
      <c r="D72" s="46"/>
      <c r="E72" s="47"/>
      <c r="F72" s="48"/>
      <c r="G72" s="48"/>
      <c r="H72" s="46"/>
      <c r="I72" s="40"/>
      <c r="J72" s="46"/>
      <c r="K72" s="49"/>
      <c r="L72" s="50"/>
    </row>
    <row r="73" ht="14.25" customHeight="1" outlineLevel="1">
      <c r="A73" s="45">
        <v>3</v>
      </c>
      <c r="B73" s="46"/>
      <c r="C73" s="46"/>
      <c r="D73" s="46"/>
      <c r="E73" s="47"/>
      <c r="F73" s="48"/>
      <c r="G73" s="48"/>
      <c r="H73" s="46"/>
      <c r="I73" s="40"/>
      <c r="J73" s="46"/>
      <c r="K73" s="49"/>
      <c r="L73" s="50"/>
    </row>
    <row r="74" ht="14.25" customHeight="1" outlineLevel="1">
      <c r="A74" s="45">
        <v>4</v>
      </c>
      <c r="B74" s="46"/>
      <c r="C74" s="46"/>
      <c r="D74" s="46"/>
      <c r="E74" s="47"/>
      <c r="F74" s="48"/>
      <c r="G74" s="48"/>
      <c r="H74" s="46"/>
      <c r="I74" s="40"/>
      <c r="J74" s="46"/>
      <c r="K74" s="49"/>
      <c r="L74" s="50"/>
    </row>
    <row r="75" ht="14.25" customHeight="1" outlineLevel="1">
      <c r="A75" s="45">
        <v>5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6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7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8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9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10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11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12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13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14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15</v>
      </c>
      <c r="B85" s="57"/>
      <c r="C85" s="57"/>
      <c r="D85" s="57"/>
      <c r="E85" s="58"/>
      <c r="F85" s="59"/>
      <c r="G85" s="59"/>
      <c r="H85" s="57"/>
      <c r="I85" s="40"/>
      <c r="J85" s="57"/>
      <c r="K85" s="60"/>
      <c r="L85" s="61"/>
    </row>
    <row r="86" s="32" customFormat="1" ht="19.5" customHeight="1" outlineLevel="1">
      <c r="A86" s="33"/>
      <c r="B86" s="34" t="s">
        <v>25</v>
      </c>
      <c r="C86" s="35"/>
      <c r="D86" s="36"/>
      <c r="E86" s="37"/>
      <c r="F86" s="34"/>
      <c r="G86" s="34"/>
      <c r="H86" s="34"/>
      <c r="I86" s="34"/>
      <c r="J86" s="34"/>
      <c r="K86" s="34"/>
      <c r="L86" s="38"/>
    </row>
    <row r="87" ht="14.25" customHeight="1" outlineLevel="1">
      <c r="A87" s="45">
        <v>1</v>
      </c>
      <c r="B87" s="52"/>
      <c r="C87" s="52"/>
      <c r="D87" s="52"/>
      <c r="E87" s="53"/>
      <c r="F87" s="54"/>
      <c r="G87" s="54"/>
      <c r="H87" s="52"/>
      <c r="I87" s="40"/>
      <c r="J87" s="52"/>
      <c r="K87" s="55"/>
      <c r="L87" s="56"/>
    </row>
    <row r="88" ht="14.25" customHeight="1" outlineLevel="1">
      <c r="A88" s="45">
        <v>2</v>
      </c>
      <c r="B88" s="46"/>
      <c r="C88" s="46"/>
      <c r="D88" s="46"/>
      <c r="E88" s="47"/>
      <c r="F88" s="48"/>
      <c r="G88" s="48"/>
      <c r="H88" s="46"/>
      <c r="I88" s="40"/>
      <c r="J88" s="46"/>
      <c r="K88" s="49"/>
      <c r="L88" s="50"/>
    </row>
    <row r="89" ht="14.25" customHeight="1" outlineLevel="1">
      <c r="A89" s="45">
        <v>3</v>
      </c>
      <c r="B89" s="46"/>
      <c r="C89" s="46"/>
      <c r="D89" s="46"/>
      <c r="E89" s="47"/>
      <c r="F89" s="48"/>
      <c r="G89" s="48"/>
      <c r="H89" s="46"/>
      <c r="I89" s="40"/>
      <c r="J89" s="46"/>
      <c r="K89" s="49"/>
      <c r="L89" s="50"/>
    </row>
    <row r="90" ht="14.25" customHeight="1" outlineLevel="1">
      <c r="A90" s="45">
        <v>4</v>
      </c>
      <c r="B90" s="46"/>
      <c r="C90" s="46"/>
      <c r="D90" s="46"/>
      <c r="E90" s="47"/>
      <c r="F90" s="48"/>
      <c r="G90" s="48"/>
      <c r="H90" s="46"/>
      <c r="I90" s="40"/>
      <c r="J90" s="46"/>
      <c r="K90" s="49"/>
      <c r="L90" s="50"/>
    </row>
    <row r="91" ht="14.25" customHeight="1" outlineLevel="1">
      <c r="A91" s="45">
        <v>5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6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7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8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9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10</v>
      </c>
      <c r="B96" s="57"/>
      <c r="C96" s="57"/>
      <c r="D96" s="57"/>
      <c r="E96" s="58"/>
      <c r="F96" s="59"/>
      <c r="G96" s="59"/>
      <c r="H96" s="57"/>
      <c r="I96" s="40"/>
      <c r="J96" s="57"/>
      <c r="K96" s="60"/>
      <c r="L96" s="61"/>
    </row>
    <row r="97" s="32" customFormat="1" ht="19.5" customHeight="1" outlineLevel="1">
      <c r="A97" s="33"/>
      <c r="B97" s="171" t="s">
        <v>26</v>
      </c>
      <c r="C97" s="35"/>
      <c r="D97" s="36"/>
      <c r="E97" s="37"/>
      <c r="F97" s="34"/>
      <c r="G97" s="34"/>
      <c r="H97" s="34"/>
      <c r="I97" s="34"/>
      <c r="J97" s="34"/>
      <c r="K97" s="34"/>
      <c r="L97" s="38"/>
    </row>
    <row r="98" ht="14.25" customHeight="1" outlineLevel="1">
      <c r="A98" s="62">
        <v>1</v>
      </c>
      <c r="B98" s="46"/>
      <c r="C98" s="52"/>
      <c r="D98" s="52"/>
      <c r="E98" s="53"/>
      <c r="F98" s="54"/>
      <c r="G98" s="54"/>
      <c r="H98" s="52"/>
      <c r="I98" s="40"/>
      <c r="J98" s="52"/>
      <c r="K98" s="55"/>
      <c r="L98" s="56"/>
    </row>
    <row r="99" ht="14.25" customHeight="1" outlineLevel="1">
      <c r="A99" s="39">
        <v>2</v>
      </c>
      <c r="B99" s="40"/>
      <c r="C99" s="40"/>
      <c r="D99" s="40"/>
      <c r="E99" s="41"/>
      <c r="F99" s="42"/>
      <c r="G99" s="42"/>
      <c r="H99" s="40"/>
      <c r="I99" s="40"/>
      <c r="J99" s="40"/>
      <c r="K99" s="43"/>
      <c r="L99" s="44"/>
    </row>
    <row r="100" ht="14.25" customHeight="1" outlineLevel="1">
      <c r="A100" s="39">
        <v>3</v>
      </c>
      <c r="B100" s="40"/>
      <c r="C100" s="40"/>
      <c r="D100" s="40"/>
      <c r="E100" s="41"/>
      <c r="F100" s="42"/>
      <c r="G100" s="42"/>
      <c r="H100" s="40"/>
      <c r="I100" s="40"/>
      <c r="J100" s="40"/>
      <c r="K100" s="43"/>
      <c r="L100" s="44"/>
    </row>
    <row r="101" ht="14.25" customHeight="1" outlineLevel="1">
      <c r="A101" s="45">
        <v>4</v>
      </c>
      <c r="B101" s="46"/>
      <c r="C101" s="46"/>
      <c r="D101" s="46"/>
      <c r="E101" s="47"/>
      <c r="F101" s="48"/>
      <c r="G101" s="48"/>
      <c r="H101" s="46"/>
      <c r="I101" s="40"/>
      <c r="J101" s="46"/>
      <c r="K101" s="49"/>
      <c r="L101" s="50"/>
    </row>
    <row r="102" ht="14.25" customHeight="1" outlineLevel="1">
      <c r="A102" s="63">
        <v>5</v>
      </c>
      <c r="B102" s="57"/>
      <c r="C102" s="57"/>
      <c r="D102" s="57"/>
      <c r="E102" s="58"/>
      <c r="F102" s="59"/>
      <c r="G102" s="59"/>
      <c r="H102" s="57"/>
      <c r="I102" s="57"/>
      <c r="J102" s="57"/>
      <c r="K102" s="60"/>
      <c r="L102" s="61"/>
    </row>
    <row r="103" ht="23.100000000000001" customHeight="1">
      <c r="A103" s="64" t="s">
        <v>27</v>
      </c>
      <c r="B103" s="65"/>
      <c r="C103" s="65"/>
      <c r="D103" s="65"/>
      <c r="E103" s="66">
        <f>SUM(E15:E102)</f>
        <v>2935371.73</v>
      </c>
    </row>
    <row r="104" ht="23.100000000000001" customHeight="1">
      <c r="A104" s="64" t="s">
        <v>28</v>
      </c>
      <c r="B104" s="65"/>
      <c r="C104" s="65"/>
      <c r="D104" s="65"/>
      <c r="E104" s="66">
        <f>E4-E103</f>
        <v>-175117.54000000004</v>
      </c>
      <c r="F104" s="67"/>
      <c r="G104" s="67"/>
    </row>
    <row r="105" ht="24.75" customHeight="1">
      <c r="E105" s="1"/>
    </row>
    <row r="106" ht="30" customHeight="1">
      <c r="A106" s="68" t="s">
        <v>29</v>
      </c>
      <c r="B106" s="69"/>
      <c r="C106" s="69"/>
      <c r="D106" s="70"/>
      <c r="E106" s="71">
        <f>SUM(E107:E110)</f>
        <v>697254.14000000001</v>
      </c>
      <c r="F106" s="12"/>
      <c r="G106" s="12"/>
      <c r="H106" s="12"/>
      <c r="I106" s="12"/>
      <c r="J106" s="12"/>
    </row>
    <row r="107" ht="15" customHeight="1">
      <c r="A107" s="13" t="s">
        <v>30</v>
      </c>
      <c r="B107" s="14"/>
      <c r="C107" s="14"/>
      <c r="D107" s="15"/>
      <c r="E107" s="16">
        <v>697254.14000000001</v>
      </c>
      <c r="F107" s="12"/>
      <c r="G107" s="12"/>
      <c r="H107" s="12"/>
      <c r="I107" s="12"/>
      <c r="J107" s="12"/>
    </row>
    <row r="108">
      <c r="A108" s="72"/>
      <c r="B108" s="73"/>
      <c r="C108" s="73"/>
      <c r="D108" s="74"/>
      <c r="E108" s="75"/>
      <c r="F108" s="12"/>
      <c r="G108" s="12"/>
      <c r="H108" s="12"/>
      <c r="I108" s="12"/>
      <c r="J108" s="12"/>
    </row>
    <row r="109">
      <c r="A109" s="21"/>
      <c r="B109" s="18"/>
      <c r="C109" s="18"/>
      <c r="D109" s="19"/>
      <c r="E109" s="20"/>
      <c r="F109" s="12"/>
      <c r="G109" s="12"/>
      <c r="H109" s="12"/>
      <c r="I109" s="12"/>
      <c r="J109" s="12"/>
    </row>
    <row r="110" ht="15">
      <c r="A110" s="76"/>
      <c r="B110" s="24"/>
      <c r="C110" s="24"/>
      <c r="D110" s="25"/>
      <c r="E110" s="26"/>
      <c r="F110" s="27"/>
      <c r="G110" s="27"/>
      <c r="H110" s="27"/>
      <c r="I110" s="27"/>
      <c r="J110" s="27"/>
    </row>
    <row r="111" ht="6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</row>
    <row r="112" ht="28.5" outlineLevel="1">
      <c r="A112" s="28" t="s">
        <v>9</v>
      </c>
      <c r="B112" s="28" t="s">
        <v>10</v>
      </c>
      <c r="C112" s="28" t="s">
        <v>11</v>
      </c>
      <c r="D112" s="28" t="s">
        <v>12</v>
      </c>
      <c r="E112" s="29" t="s">
        <v>13</v>
      </c>
      <c r="F112" s="28" t="s">
        <v>14</v>
      </c>
      <c r="G112" s="30" t="s">
        <v>15</v>
      </c>
      <c r="H112" s="28" t="s">
        <v>16</v>
      </c>
      <c r="I112" s="31" t="s">
        <v>17</v>
      </c>
      <c r="J112" s="28" t="s">
        <v>18</v>
      </c>
      <c r="K112" s="28" t="s">
        <v>19</v>
      </c>
      <c r="L112" s="28" t="s">
        <v>20</v>
      </c>
    </row>
    <row r="113" ht="15" outlineLevel="1">
      <c r="A113" s="77"/>
      <c r="B113" s="78" t="s">
        <v>31</v>
      </c>
      <c r="C113" s="79"/>
      <c r="D113" s="80"/>
      <c r="E113" s="81"/>
      <c r="F113" s="78"/>
      <c r="G113" s="78"/>
      <c r="H113" s="78"/>
      <c r="I113" s="78"/>
      <c r="J113" s="78"/>
      <c r="K113" s="78"/>
      <c r="L113" s="78"/>
    </row>
    <row r="114" outlineLevel="1">
      <c r="A114" s="39">
        <v>1</v>
      </c>
      <c r="B114" s="40"/>
      <c r="C114" s="40"/>
      <c r="D114" s="40"/>
      <c r="E114" s="41"/>
      <c r="F114" s="42"/>
      <c r="G114" s="42"/>
      <c r="H114" s="40"/>
      <c r="I114" s="40"/>
      <c r="J114" s="40"/>
      <c r="K114" s="43"/>
      <c r="L114" s="44"/>
    </row>
    <row r="115" outlineLevel="1">
      <c r="A115" s="45">
        <v>2</v>
      </c>
      <c r="B115" s="46"/>
      <c r="C115" s="46"/>
      <c r="D115" s="46"/>
      <c r="E115" s="47"/>
      <c r="F115" s="48"/>
      <c r="G115" s="48"/>
      <c r="H115" s="46"/>
      <c r="I115" s="40"/>
      <c r="J115" s="46"/>
      <c r="K115" s="49"/>
      <c r="L115" s="50"/>
    </row>
    <row r="116" outlineLevel="1">
      <c r="A116" s="45">
        <v>3</v>
      </c>
      <c r="B116" s="46"/>
      <c r="C116" s="46"/>
      <c r="D116" s="46"/>
      <c r="E116" s="47"/>
      <c r="F116" s="48"/>
      <c r="G116" s="48"/>
      <c r="H116" s="46"/>
      <c r="I116" s="40"/>
      <c r="J116" s="46"/>
      <c r="K116" s="49"/>
      <c r="L116" s="50"/>
    </row>
    <row r="117" outlineLevel="1">
      <c r="A117" s="45">
        <v>4</v>
      </c>
      <c r="B117" s="46"/>
      <c r="C117" s="46"/>
      <c r="D117" s="46"/>
      <c r="E117" s="47"/>
      <c r="F117" s="48"/>
      <c r="G117" s="48"/>
      <c r="H117" s="46"/>
      <c r="I117" s="40"/>
      <c r="J117" s="46"/>
      <c r="K117" s="49"/>
      <c r="L117" s="50"/>
    </row>
    <row r="118" ht="15.75" customHeight="1" outlineLevel="1">
      <c r="A118" s="45">
        <v>5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6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7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outlineLevel="1">
      <c r="A121" s="45">
        <v>8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39">
        <v>9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10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11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45">
        <v>12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13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14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ht="15" outlineLevel="1">
      <c r="A128" s="45">
        <v>15</v>
      </c>
      <c r="B128" s="57"/>
      <c r="C128" s="57"/>
      <c r="D128" s="57"/>
      <c r="E128" s="58"/>
      <c r="F128" s="59"/>
      <c r="G128" s="59"/>
      <c r="H128" s="57"/>
      <c r="I128" s="40"/>
      <c r="J128" s="57"/>
      <c r="K128" s="60"/>
      <c r="L128" s="61"/>
    </row>
    <row r="129" ht="15" outlineLevel="1">
      <c r="A129" s="77"/>
      <c r="B129" s="78" t="s">
        <v>32</v>
      </c>
      <c r="C129" s="79"/>
      <c r="D129" s="80"/>
      <c r="E129" s="81"/>
      <c r="F129" s="78"/>
      <c r="G129" s="78"/>
      <c r="H129" s="78"/>
      <c r="I129" s="78"/>
      <c r="J129" s="78"/>
      <c r="K129" s="78"/>
      <c r="L129" s="78"/>
    </row>
    <row r="130" outlineLevel="1">
      <c r="A130" s="62">
        <v>1</v>
      </c>
      <c r="B130" s="52"/>
      <c r="C130" s="52"/>
      <c r="D130" s="52"/>
      <c r="E130" s="53"/>
      <c r="F130" s="54"/>
      <c r="G130" s="54"/>
      <c r="H130" s="52"/>
      <c r="I130" s="40"/>
      <c r="J130" s="52"/>
      <c r="K130" s="55"/>
      <c r="L130" s="56"/>
    </row>
    <row r="131" outlineLevel="1">
      <c r="A131" s="45">
        <v>2</v>
      </c>
      <c r="B131" s="46"/>
      <c r="C131" s="46"/>
      <c r="D131" s="46"/>
      <c r="E131" s="47"/>
      <c r="F131" s="48"/>
      <c r="G131" s="48"/>
      <c r="H131" s="46"/>
      <c r="I131" s="40"/>
      <c r="J131" s="46"/>
      <c r="K131" s="49"/>
      <c r="L131" s="50"/>
    </row>
    <row r="132" outlineLevel="1">
      <c r="A132" s="45">
        <v>3</v>
      </c>
      <c r="B132" s="46"/>
      <c r="C132" s="46"/>
      <c r="D132" s="46"/>
      <c r="E132" s="47"/>
      <c r="F132" s="48"/>
      <c r="G132" s="48"/>
      <c r="H132" s="46"/>
      <c r="I132" s="40"/>
      <c r="J132" s="46"/>
      <c r="K132" s="49"/>
      <c r="L132" s="50"/>
    </row>
    <row r="133" outlineLevel="1">
      <c r="A133" s="45">
        <v>4</v>
      </c>
      <c r="B133" s="46"/>
      <c r="C133" s="46"/>
      <c r="D133" s="46"/>
      <c r="E133" s="47"/>
      <c r="F133" s="48"/>
      <c r="G133" s="48"/>
      <c r="H133" s="46"/>
      <c r="I133" s="40"/>
      <c r="J133" s="46"/>
      <c r="K133" s="49"/>
      <c r="L133" s="50"/>
    </row>
    <row r="134" outlineLevel="1">
      <c r="A134" s="45">
        <v>5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6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7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8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9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10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11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12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13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14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ht="15" outlineLevel="1">
      <c r="A144" s="45">
        <v>15</v>
      </c>
      <c r="B144" s="57"/>
      <c r="C144" s="57"/>
      <c r="D144" s="57"/>
      <c r="E144" s="58"/>
      <c r="F144" s="59"/>
      <c r="G144" s="59"/>
      <c r="H144" s="57"/>
      <c r="I144" s="40"/>
      <c r="J144" s="57"/>
      <c r="K144" s="60"/>
      <c r="L144" s="61"/>
    </row>
    <row r="145" ht="15" outlineLevel="1">
      <c r="A145" s="77"/>
      <c r="B145" s="78" t="s">
        <v>25</v>
      </c>
      <c r="C145" s="79"/>
      <c r="D145" s="80"/>
      <c r="E145" s="81"/>
      <c r="F145" s="78"/>
      <c r="G145" s="78"/>
      <c r="H145" s="78"/>
      <c r="I145" s="78"/>
      <c r="J145" s="78"/>
      <c r="K145" s="78"/>
      <c r="L145" s="78"/>
    </row>
    <row r="146" outlineLevel="1">
      <c r="A146" s="45">
        <v>1</v>
      </c>
      <c r="B146" s="52"/>
      <c r="C146" s="52"/>
      <c r="D146" s="52"/>
      <c r="E146" s="53"/>
      <c r="F146" s="54"/>
      <c r="G146" s="54"/>
      <c r="H146" s="52"/>
      <c r="I146" s="40"/>
      <c r="J146" s="52"/>
      <c r="K146" s="55"/>
      <c r="L146" s="56"/>
    </row>
    <row r="147" outlineLevel="1">
      <c r="A147" s="45">
        <v>2</v>
      </c>
      <c r="B147" s="46"/>
      <c r="C147" s="46"/>
      <c r="D147" s="46"/>
      <c r="E147" s="47"/>
      <c r="F147" s="48"/>
      <c r="G147" s="48"/>
      <c r="H147" s="46"/>
      <c r="I147" s="40"/>
      <c r="J147" s="46"/>
      <c r="K147" s="49"/>
      <c r="L147" s="50"/>
    </row>
    <row r="148" outlineLevel="1">
      <c r="A148" s="45">
        <v>3</v>
      </c>
      <c r="B148" s="46"/>
      <c r="C148" s="46"/>
      <c r="D148" s="46"/>
      <c r="E148" s="47"/>
      <c r="F148" s="48"/>
      <c r="G148" s="48"/>
      <c r="H148" s="46"/>
      <c r="I148" s="40"/>
      <c r="J148" s="46"/>
      <c r="K148" s="49"/>
      <c r="L148" s="50"/>
    </row>
    <row r="149" outlineLevel="1">
      <c r="A149" s="45">
        <v>4</v>
      </c>
      <c r="B149" s="46"/>
      <c r="C149" s="46"/>
      <c r="D149" s="46"/>
      <c r="E149" s="47"/>
      <c r="F149" s="48"/>
      <c r="G149" s="48"/>
      <c r="H149" s="46"/>
      <c r="I149" s="40"/>
      <c r="J149" s="46"/>
      <c r="K149" s="49"/>
      <c r="L149" s="50"/>
    </row>
    <row r="150" outlineLevel="1">
      <c r="A150" s="45">
        <v>5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6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7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8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9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ht="15" outlineLevel="1">
      <c r="A155" s="45">
        <v>10</v>
      </c>
      <c r="B155" s="57"/>
      <c r="C155" s="57"/>
      <c r="D155" s="57"/>
      <c r="E155" s="58"/>
      <c r="F155" s="59"/>
      <c r="G155" s="59"/>
      <c r="H155" s="57"/>
      <c r="I155" s="40"/>
      <c r="J155" s="57"/>
      <c r="K155" s="60"/>
      <c r="L155" s="61"/>
    </row>
    <row r="156" ht="15" outlineLevel="1">
      <c r="A156" s="77"/>
      <c r="B156" s="78" t="s">
        <v>26</v>
      </c>
      <c r="C156" s="79"/>
      <c r="D156" s="80"/>
      <c r="E156" s="81"/>
      <c r="F156" s="78"/>
      <c r="G156" s="78"/>
      <c r="H156" s="78"/>
      <c r="I156" s="78"/>
      <c r="J156" s="78"/>
      <c r="K156" s="78"/>
      <c r="L156" s="78"/>
    </row>
    <row r="157" outlineLevel="1">
      <c r="A157" s="62">
        <v>1</v>
      </c>
      <c r="B157" s="52"/>
      <c r="C157" s="52"/>
      <c r="D157" s="52"/>
      <c r="E157" s="53"/>
      <c r="F157" s="54"/>
      <c r="G157" s="54"/>
      <c r="H157" s="52"/>
      <c r="I157" s="40"/>
      <c r="J157" s="52"/>
      <c r="K157" s="55"/>
      <c r="L157" s="56"/>
    </row>
    <row r="158" outlineLevel="1">
      <c r="A158" s="39">
        <v>2</v>
      </c>
      <c r="B158" s="40"/>
      <c r="C158" s="40"/>
      <c r="D158" s="40"/>
      <c r="E158" s="41"/>
      <c r="F158" s="42"/>
      <c r="G158" s="42"/>
      <c r="H158" s="40"/>
      <c r="I158" s="40"/>
      <c r="J158" s="40"/>
      <c r="K158" s="43"/>
      <c r="L158" s="44"/>
    </row>
    <row r="159" outlineLevel="1">
      <c r="A159" s="39">
        <v>3</v>
      </c>
      <c r="B159" s="40"/>
      <c r="C159" s="40"/>
      <c r="D159" s="40"/>
      <c r="E159" s="41"/>
      <c r="F159" s="42"/>
      <c r="G159" s="42"/>
      <c r="H159" s="40"/>
      <c r="I159" s="40"/>
      <c r="J159" s="40"/>
      <c r="K159" s="43"/>
      <c r="L159" s="44"/>
    </row>
    <row r="160" outlineLevel="1">
      <c r="A160" s="45">
        <v>4</v>
      </c>
      <c r="B160" s="46"/>
      <c r="C160" s="46"/>
      <c r="D160" s="46"/>
      <c r="E160" s="47"/>
      <c r="F160" s="48"/>
      <c r="G160" s="48"/>
      <c r="H160" s="46"/>
      <c r="I160" s="40"/>
      <c r="J160" s="46"/>
      <c r="K160" s="49"/>
      <c r="L160" s="50"/>
    </row>
    <row r="161" ht="15" outlineLevel="1">
      <c r="A161" s="63">
        <v>5</v>
      </c>
      <c r="B161" s="57"/>
      <c r="C161" s="57"/>
      <c r="D161" s="57"/>
      <c r="E161" s="58"/>
      <c r="F161" s="59"/>
      <c r="G161" s="59"/>
      <c r="H161" s="57"/>
      <c r="I161" s="57"/>
      <c r="J161" s="57"/>
      <c r="K161" s="60"/>
      <c r="L161" s="61"/>
    </row>
    <row r="162" ht="23.100000000000001" customHeight="1">
      <c r="A162" s="82" t="s">
        <v>33</v>
      </c>
      <c r="B162" s="83"/>
      <c r="C162" s="83"/>
      <c r="D162" s="84"/>
      <c r="E162" s="85">
        <f>SUM(E114:E161)</f>
        <v>0</v>
      </c>
    </row>
    <row r="163" ht="23.100000000000001" customHeight="1">
      <c r="A163" s="82" t="s">
        <v>28</v>
      </c>
      <c r="B163" s="83"/>
      <c r="C163" s="83"/>
      <c r="D163" s="84"/>
      <c r="E163" s="85">
        <f>E106-E162</f>
        <v>697254.14000000001</v>
      </c>
      <c r="F163" s="67"/>
      <c r="G163" s="67"/>
    </row>
    <row r="164" ht="14.25">
      <c r="E164" s="1"/>
    </row>
    <row r="165" ht="14.25">
      <c r="E165" s="1"/>
    </row>
    <row r="166" ht="14.25">
      <c r="E166" s="1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3:D103"/>
    <mergeCell ref="A104:D104"/>
    <mergeCell ref="A106:D106"/>
    <mergeCell ref="A107:D107"/>
    <mergeCell ref="A108:D108"/>
    <mergeCell ref="A109:D109"/>
    <mergeCell ref="A110:D110"/>
    <mergeCell ref="A162:D162"/>
    <mergeCell ref="A163:D16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300A2-0052-45CC-B41C-00FE0001009B}" type="list" allowBlank="1" errorStyle="stop" imeMode="noControl" operator="between" showDropDown="0" showErrorMessage="1" showInputMessage="1">
          <x14:formula1>
            <xm:f>ДаНет</xm:f>
          </x14:formula1>
          <xm:sqref>I34:I53 I55:I69 I71:I85 I87:I96 I98:I102 I114:I128 I130:I144 I146:I155 I157:I161 I16:I32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A3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31.421875"/>
    <col customWidth="1" min="5" max="5" style="1" width="26"/>
    <col customWidth="1" min="6" max="6" style="1" width="39.0039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'17'!C2+1</f>
        <v>46099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11353586.459999999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9061924.0899999999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27855.299999999999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47366.839999999997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126325.61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2031489.0900000001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42803.93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171" t="s">
        <v>21</v>
      </c>
      <c r="C15" s="34"/>
      <c r="D15" s="34"/>
      <c r="E15" s="34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6" t="s">
        <v>465</v>
      </c>
      <c r="C16" s="46" t="s">
        <v>466</v>
      </c>
      <c r="D16" s="46" t="s">
        <v>467</v>
      </c>
      <c r="E16" s="278">
        <v>725760</v>
      </c>
      <c r="F16" s="48" t="s">
        <v>48</v>
      </c>
      <c r="G16" s="42"/>
      <c r="H16" s="40"/>
      <c r="I16" s="40"/>
      <c r="J16" s="40"/>
      <c r="K16" s="43" t="s">
        <v>42</v>
      </c>
      <c r="L16" s="44"/>
    </row>
    <row r="17" ht="14.25" customHeight="1" outlineLevel="1">
      <c r="A17" s="45">
        <v>2</v>
      </c>
      <c r="B17" s="88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89">
        <v>3</v>
      </c>
      <c r="B18" s="90" t="s">
        <v>44</v>
      </c>
      <c r="C18" s="46" t="s">
        <v>45</v>
      </c>
      <c r="D18" s="46" t="s">
        <v>46</v>
      </c>
      <c r="E18" s="174" t="s">
        <v>454</v>
      </c>
      <c r="F18" s="48" t="s">
        <v>48</v>
      </c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0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559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6" t="s">
        <v>54</v>
      </c>
      <c r="C37" s="46" t="s">
        <v>560</v>
      </c>
      <c r="D37" s="46" t="s">
        <v>561</v>
      </c>
      <c r="E37" s="87">
        <f>65000+78000+85000</f>
        <v>228000</v>
      </c>
      <c r="F37" s="48" t="s">
        <v>57</v>
      </c>
      <c r="G37" s="48" t="s">
        <v>39</v>
      </c>
      <c r="H37" s="46" t="s">
        <v>357</v>
      </c>
      <c r="I37" s="40" t="s">
        <v>41</v>
      </c>
      <c r="J37" s="40"/>
      <c r="K37" s="43" t="s">
        <v>42</v>
      </c>
      <c r="L37" s="44"/>
    </row>
    <row r="38" ht="14.25" customHeight="1" outlineLevel="1">
      <c r="A38" s="45">
        <v>2</v>
      </c>
      <c r="B38" s="46" t="s">
        <v>54</v>
      </c>
      <c r="C38" s="46" t="s">
        <v>562</v>
      </c>
      <c r="D38" s="46" t="s">
        <v>563</v>
      </c>
      <c r="E38" s="87">
        <v>55000</v>
      </c>
      <c r="F38" s="48" t="s">
        <v>57</v>
      </c>
      <c r="G38" s="48" t="s">
        <v>39</v>
      </c>
      <c r="H38" s="46" t="s">
        <v>357</v>
      </c>
      <c r="I38" s="40" t="s">
        <v>41</v>
      </c>
      <c r="J38" s="46"/>
      <c r="K38" s="49" t="s">
        <v>42</v>
      </c>
      <c r="L38" s="50"/>
    </row>
    <row r="39" ht="14.25" customHeight="1" outlineLevel="1">
      <c r="A39" s="45">
        <v>3</v>
      </c>
      <c r="B39" s="46" t="s">
        <v>54</v>
      </c>
      <c r="C39" s="46" t="s">
        <v>564</v>
      </c>
      <c r="D39" s="46" t="s">
        <v>565</v>
      </c>
      <c r="E39" s="87">
        <v>52000</v>
      </c>
      <c r="F39" s="48" t="s">
        <v>57</v>
      </c>
      <c r="G39" s="48" t="s">
        <v>39</v>
      </c>
      <c r="H39" s="46" t="s">
        <v>357</v>
      </c>
      <c r="I39" s="40" t="s">
        <v>41</v>
      </c>
      <c r="J39" s="46"/>
      <c r="K39" s="49" t="s">
        <v>42</v>
      </c>
      <c r="L39" s="50"/>
    </row>
    <row r="40" ht="14.25" customHeight="1" outlineLevel="1">
      <c r="A40" s="45">
        <v>4</v>
      </c>
      <c r="B40" s="46"/>
      <c r="C40" s="242"/>
      <c r="D40" s="242"/>
      <c r="E40" s="298"/>
      <c r="F40" s="243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 t="s">
        <v>54</v>
      </c>
      <c r="C41" s="46" t="s">
        <v>566</v>
      </c>
      <c r="D41" s="46" t="s">
        <v>567</v>
      </c>
      <c r="E41" s="87">
        <v>80000</v>
      </c>
      <c r="F41" s="48" t="s">
        <v>57</v>
      </c>
      <c r="G41" s="48" t="s">
        <v>39</v>
      </c>
      <c r="H41" s="46" t="s">
        <v>357</v>
      </c>
      <c r="I41" s="40" t="s">
        <v>41</v>
      </c>
      <c r="J41" s="46" t="s">
        <v>516</v>
      </c>
      <c r="K41" s="49" t="s">
        <v>42</v>
      </c>
      <c r="L41" s="50"/>
    </row>
    <row r="42" ht="14.25" customHeight="1" outlineLevel="1">
      <c r="A42" s="45">
        <v>6</v>
      </c>
      <c r="B42" s="46" t="s">
        <v>54</v>
      </c>
      <c r="C42" s="46" t="s">
        <v>474</v>
      </c>
      <c r="D42" s="46" t="s">
        <v>568</v>
      </c>
      <c r="E42" s="87">
        <v>55000</v>
      </c>
      <c r="F42" s="48" t="s">
        <v>57</v>
      </c>
      <c r="G42" s="48" t="s">
        <v>39</v>
      </c>
      <c r="H42" s="46" t="s">
        <v>357</v>
      </c>
      <c r="I42" s="40" t="s">
        <v>41</v>
      </c>
      <c r="J42" s="46"/>
      <c r="K42" s="49" t="s">
        <v>42</v>
      </c>
      <c r="L42" s="50"/>
    </row>
    <row r="43" ht="14.25" customHeight="1" outlineLevel="1">
      <c r="A43" s="45">
        <v>7</v>
      </c>
      <c r="B43" s="46" t="s">
        <v>54</v>
      </c>
      <c r="C43" s="242" t="s">
        <v>569</v>
      </c>
      <c r="D43" s="242" t="s">
        <v>570</v>
      </c>
      <c r="E43" s="87">
        <v>33000</v>
      </c>
      <c r="F43" s="243" t="s">
        <v>57</v>
      </c>
      <c r="G43" s="48" t="s">
        <v>39</v>
      </c>
      <c r="H43" s="46" t="s">
        <v>357</v>
      </c>
      <c r="I43" s="40" t="s">
        <v>41</v>
      </c>
      <c r="J43" s="46"/>
      <c r="K43" s="49" t="s">
        <v>42</v>
      </c>
      <c r="L43" s="50"/>
    </row>
    <row r="44" ht="14.25" customHeight="1" outlineLevel="1">
      <c r="A44" s="45">
        <v>8</v>
      </c>
      <c r="B44" s="46" t="s">
        <v>54</v>
      </c>
      <c r="C44" s="46" t="s">
        <v>369</v>
      </c>
      <c r="D44" s="46" t="s">
        <v>571</v>
      </c>
      <c r="E44" s="87">
        <v>37000</v>
      </c>
      <c r="F44" s="48" t="s">
        <v>57</v>
      </c>
      <c r="G44" s="48" t="s">
        <v>39</v>
      </c>
      <c r="H44" s="46" t="s">
        <v>357</v>
      </c>
      <c r="I44" s="40" t="s">
        <v>41</v>
      </c>
      <c r="J44" s="46"/>
      <c r="K44" s="49" t="s">
        <v>42</v>
      </c>
      <c r="L44" s="50"/>
    </row>
    <row r="45" ht="14.25" customHeight="1" outlineLevel="1">
      <c r="A45" s="39">
        <v>9</v>
      </c>
      <c r="B45" s="46" t="s">
        <v>54</v>
      </c>
      <c r="C45" s="46" t="s">
        <v>62</v>
      </c>
      <c r="D45" s="46" t="s">
        <v>572</v>
      </c>
      <c r="E45" s="87">
        <f>80000+62000+62000</f>
        <v>204000</v>
      </c>
      <c r="F45" s="48" t="s">
        <v>57</v>
      </c>
      <c r="G45" s="48" t="s">
        <v>39</v>
      </c>
      <c r="H45" s="46" t="s">
        <v>357</v>
      </c>
      <c r="I45" s="40" t="s">
        <v>41</v>
      </c>
      <c r="J45" s="46"/>
      <c r="K45" s="1" t="s">
        <v>42</v>
      </c>
      <c r="L45" s="50"/>
    </row>
    <row r="46" ht="14.25" customHeight="1" outlineLevel="1">
      <c r="A46" s="45">
        <v>10</v>
      </c>
      <c r="B46" s="46" t="s">
        <v>54</v>
      </c>
      <c r="C46" s="46" t="s">
        <v>64</v>
      </c>
      <c r="D46" s="46" t="s">
        <v>573</v>
      </c>
      <c r="E46" s="87">
        <f>40000+70000+40000+85000+40000+48000+60000</f>
        <v>383000</v>
      </c>
      <c r="F46" s="48" t="s">
        <v>57</v>
      </c>
      <c r="G46" s="48" t="s">
        <v>39</v>
      </c>
      <c r="H46" s="46" t="s">
        <v>357</v>
      </c>
      <c r="I46" s="40" t="s">
        <v>41</v>
      </c>
      <c r="J46" s="46" t="s">
        <v>519</v>
      </c>
      <c r="K46" s="49" t="s">
        <v>42</v>
      </c>
      <c r="L46" s="50"/>
    </row>
    <row r="47" ht="14.25" customHeight="1" outlineLevel="1">
      <c r="A47" s="45">
        <v>11</v>
      </c>
      <c r="B47" s="46" t="s">
        <v>54</v>
      </c>
      <c r="C47" s="46" t="s">
        <v>574</v>
      </c>
      <c r="D47" s="46" t="s">
        <v>575</v>
      </c>
      <c r="E47" s="87">
        <v>35000</v>
      </c>
      <c r="F47" s="48" t="s">
        <v>57</v>
      </c>
      <c r="G47" s="48" t="s">
        <v>39</v>
      </c>
      <c r="H47" s="46" t="s">
        <v>357</v>
      </c>
      <c r="I47" s="40" t="s">
        <v>41</v>
      </c>
      <c r="J47" s="46"/>
      <c r="K47" s="49" t="s">
        <v>42</v>
      </c>
      <c r="L47" s="50"/>
    </row>
    <row r="48" ht="14.25" customHeight="1" outlineLevel="1">
      <c r="A48" s="39">
        <v>12</v>
      </c>
      <c r="B48" s="46" t="s">
        <v>54</v>
      </c>
      <c r="C48" s="46" t="s">
        <v>576</v>
      </c>
      <c r="D48" s="46" t="s">
        <v>577</v>
      </c>
      <c r="E48" s="87">
        <v>377415.53999999998</v>
      </c>
      <c r="F48" s="48" t="s">
        <v>57</v>
      </c>
      <c r="G48" s="48" t="s">
        <v>39</v>
      </c>
      <c r="H48" s="46" t="s">
        <v>357</v>
      </c>
      <c r="I48" s="40" t="s">
        <v>41</v>
      </c>
      <c r="J48" s="46"/>
      <c r="K48" s="49" t="s">
        <v>42</v>
      </c>
      <c r="L48" s="50"/>
    </row>
    <row r="49" ht="14.25" customHeight="1" outlineLevel="1">
      <c r="A49" s="45">
        <v>13</v>
      </c>
      <c r="B49" s="46" t="s">
        <v>54</v>
      </c>
      <c r="C49" s="46" t="s">
        <v>578</v>
      </c>
      <c r="D49" s="46" t="s">
        <v>579</v>
      </c>
      <c r="E49" s="87">
        <v>95000</v>
      </c>
      <c r="F49" s="48" t="s">
        <v>57</v>
      </c>
      <c r="G49" s="48" t="s">
        <v>39</v>
      </c>
      <c r="H49" s="46" t="s">
        <v>357</v>
      </c>
      <c r="I49" s="40" t="s">
        <v>41</v>
      </c>
      <c r="J49" s="46"/>
      <c r="K49" s="49" t="s">
        <v>42</v>
      </c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28.5" outlineLevel="1">
      <c r="A58" s="224">
        <v>1</v>
      </c>
      <c r="B58" s="105" t="s">
        <v>115</v>
      </c>
      <c r="C58" s="105" t="s">
        <v>123</v>
      </c>
      <c r="D58" s="105" t="s">
        <v>580</v>
      </c>
      <c r="E58" s="109">
        <v>37543.910000000003</v>
      </c>
      <c r="F58" s="48" t="s">
        <v>581</v>
      </c>
      <c r="G58" s="110" t="s">
        <v>39</v>
      </c>
      <c r="H58" s="46" t="s">
        <v>357</v>
      </c>
      <c r="I58" s="40" t="s">
        <v>41</v>
      </c>
      <c r="J58" s="52"/>
      <c r="K58" s="134" t="s">
        <v>42</v>
      </c>
      <c r="L58" s="56"/>
    </row>
    <row r="59" ht="42.75" outlineLevel="1">
      <c r="A59" s="89">
        <v>2</v>
      </c>
      <c r="B59" s="105" t="s">
        <v>115</v>
      </c>
      <c r="C59" s="105" t="s">
        <v>506</v>
      </c>
      <c r="D59" s="105" t="s">
        <v>582</v>
      </c>
      <c r="E59" s="109">
        <v>88393.550000000003</v>
      </c>
      <c r="F59" s="48" t="s">
        <v>583</v>
      </c>
      <c r="G59" s="110" t="s">
        <v>39</v>
      </c>
      <c r="H59" s="46" t="s">
        <v>357</v>
      </c>
      <c r="I59" s="40" t="s">
        <v>41</v>
      </c>
      <c r="J59" s="46"/>
      <c r="K59" s="134" t="s">
        <v>42</v>
      </c>
      <c r="L59" s="50"/>
    </row>
    <row r="60" ht="42.75" outlineLevel="1">
      <c r="A60" s="89">
        <v>3</v>
      </c>
      <c r="B60" s="105" t="s">
        <v>115</v>
      </c>
      <c r="C60" s="105" t="s">
        <v>506</v>
      </c>
      <c r="D60" s="105" t="s">
        <v>584</v>
      </c>
      <c r="E60" s="109">
        <v>27740.400000000001</v>
      </c>
      <c r="F60" s="48" t="s">
        <v>585</v>
      </c>
      <c r="G60" s="110" t="s">
        <v>39</v>
      </c>
      <c r="H60" s="46" t="s">
        <v>357</v>
      </c>
      <c r="I60" s="40" t="s">
        <v>41</v>
      </c>
      <c r="J60" s="46"/>
      <c r="K60" s="134" t="s">
        <v>42</v>
      </c>
      <c r="L60" s="50"/>
    </row>
    <row r="61" ht="14.4" outlineLevel="1">
      <c r="A61" s="45">
        <v>4</v>
      </c>
      <c r="B61" s="244" t="s">
        <v>72</v>
      </c>
      <c r="C61" s="244" t="s">
        <v>586</v>
      </c>
      <c r="D61" s="244" t="s">
        <v>587</v>
      </c>
      <c r="E61" s="94">
        <v>30400</v>
      </c>
      <c r="F61" s="243" t="s">
        <v>588</v>
      </c>
      <c r="G61" s="263" t="s">
        <v>154</v>
      </c>
      <c r="H61" s="247" t="s">
        <v>208</v>
      </c>
      <c r="I61" s="40" t="s">
        <v>60</v>
      </c>
      <c r="J61" s="46"/>
      <c r="K61" s="134" t="s">
        <v>42</v>
      </c>
      <c r="L61" s="50"/>
    </row>
    <row r="62" ht="14.4" outlineLevel="1">
      <c r="A62" s="45">
        <v>5</v>
      </c>
      <c r="B62" s="88" t="s">
        <v>72</v>
      </c>
      <c r="C62" s="88" t="s">
        <v>589</v>
      </c>
      <c r="D62" s="88" t="s">
        <v>590</v>
      </c>
      <c r="E62" s="98">
        <v>5165.1199999999999</v>
      </c>
      <c r="F62" s="48" t="s">
        <v>591</v>
      </c>
      <c r="G62" s="99" t="s">
        <v>39</v>
      </c>
      <c r="H62" s="46" t="s">
        <v>357</v>
      </c>
      <c r="I62" s="40" t="s">
        <v>41</v>
      </c>
      <c r="J62" s="46"/>
      <c r="K62" s="134" t="s">
        <v>42</v>
      </c>
      <c r="L62" s="50"/>
    </row>
    <row r="63" ht="42.75" outlineLevel="1">
      <c r="A63" s="89">
        <v>6</v>
      </c>
      <c r="B63" s="105" t="s">
        <v>115</v>
      </c>
      <c r="C63" s="105" t="s">
        <v>592</v>
      </c>
      <c r="D63" s="105" t="s">
        <v>593</v>
      </c>
      <c r="E63" s="109">
        <v>232157.64000000001</v>
      </c>
      <c r="F63" s="48" t="s">
        <v>594</v>
      </c>
      <c r="G63" s="110" t="s">
        <v>39</v>
      </c>
      <c r="H63" s="46" t="s">
        <v>357</v>
      </c>
      <c r="I63" s="40" t="s">
        <v>41</v>
      </c>
      <c r="J63" s="46"/>
      <c r="K63" s="134" t="s">
        <v>42</v>
      </c>
      <c r="L63" s="50"/>
    </row>
    <row r="64" ht="42.75" outlineLevel="1">
      <c r="A64" s="89">
        <v>7</v>
      </c>
      <c r="B64" s="105" t="s">
        <v>115</v>
      </c>
      <c r="C64" s="105" t="s">
        <v>592</v>
      </c>
      <c r="D64" s="105" t="s">
        <v>595</v>
      </c>
      <c r="E64" s="109">
        <v>12063.52</v>
      </c>
      <c r="F64" s="48" t="s">
        <v>596</v>
      </c>
      <c r="G64" s="110" t="s">
        <v>39</v>
      </c>
      <c r="H64" s="46" t="s">
        <v>357</v>
      </c>
      <c r="I64" s="40" t="s">
        <v>41</v>
      </c>
      <c r="J64" s="46"/>
      <c r="K64" s="134" t="s">
        <v>42</v>
      </c>
      <c r="L64" s="50"/>
    </row>
    <row r="65" ht="14.4" outlineLevel="1">
      <c r="A65" s="45">
        <v>8</v>
      </c>
      <c r="B65" s="122" t="s">
        <v>72</v>
      </c>
      <c r="C65" s="122" t="s">
        <v>193</v>
      </c>
      <c r="D65" s="122" t="s">
        <v>597</v>
      </c>
      <c r="E65" s="168">
        <v>32667.599999999999</v>
      </c>
      <c r="F65" s="48" t="s">
        <v>598</v>
      </c>
      <c r="G65" s="105" t="s">
        <v>39</v>
      </c>
      <c r="H65" s="46" t="s">
        <v>357</v>
      </c>
      <c r="I65" s="40" t="s">
        <v>41</v>
      </c>
      <c r="J65" s="46" t="s">
        <v>61</v>
      </c>
      <c r="K65" s="134" t="s">
        <v>42</v>
      </c>
      <c r="L65" s="50"/>
    </row>
    <row r="66" ht="28.5" outlineLevel="1">
      <c r="A66" s="224">
        <v>9</v>
      </c>
      <c r="B66" s="299" t="s">
        <v>115</v>
      </c>
      <c r="C66" s="299" t="s">
        <v>215</v>
      </c>
      <c r="D66" s="299" t="s">
        <v>216</v>
      </c>
      <c r="E66" s="109">
        <v>440000</v>
      </c>
      <c r="F66" s="48" t="s">
        <v>217</v>
      </c>
      <c r="G66" s="300" t="s">
        <v>39</v>
      </c>
      <c r="H66" s="46" t="s">
        <v>357</v>
      </c>
      <c r="I66" s="244" t="s">
        <v>41</v>
      </c>
      <c r="J66" s="242"/>
      <c r="K66" s="134" t="s">
        <v>42</v>
      </c>
      <c r="L66" s="245"/>
      <c r="M66" s="1"/>
      <c r="N66" s="1"/>
    </row>
    <row r="67" ht="28.5" outlineLevel="1">
      <c r="A67" s="89">
        <v>10</v>
      </c>
      <c r="B67" s="301" t="s">
        <v>115</v>
      </c>
      <c r="C67" s="299" t="s">
        <v>215</v>
      </c>
      <c r="D67" s="299" t="s">
        <v>216</v>
      </c>
      <c r="E67" s="109">
        <v>15000</v>
      </c>
      <c r="F67" s="48" t="s">
        <v>217</v>
      </c>
      <c r="G67" s="299" t="s">
        <v>39</v>
      </c>
      <c r="H67" s="302" t="s">
        <v>218</v>
      </c>
      <c r="I67" s="244" t="s">
        <v>41</v>
      </c>
      <c r="J67" s="303" t="s">
        <v>219</v>
      </c>
      <c r="K67" s="134" t="s">
        <v>42</v>
      </c>
      <c r="L67" s="245"/>
      <c r="M67" s="1"/>
      <c r="N67" s="1"/>
    </row>
    <row r="68" ht="14.4" outlineLevel="1">
      <c r="A68" s="45">
        <v>11</v>
      </c>
      <c r="B68" s="46" t="s">
        <v>72</v>
      </c>
      <c r="C68" s="40" t="s">
        <v>599</v>
      </c>
      <c r="D68" s="40" t="s">
        <v>600</v>
      </c>
      <c r="E68" s="94">
        <v>1074</v>
      </c>
      <c r="F68" s="48" t="s">
        <v>601</v>
      </c>
      <c r="G68" s="299" t="s">
        <v>39</v>
      </c>
      <c r="H68" s="46" t="s">
        <v>357</v>
      </c>
      <c r="I68" s="40" t="s">
        <v>41</v>
      </c>
      <c r="J68" s="46"/>
      <c r="K68" s="134" t="s">
        <v>42</v>
      </c>
      <c r="L68" s="50"/>
    </row>
    <row r="69" ht="14.4" outlineLevel="1">
      <c r="A69" s="89">
        <v>12</v>
      </c>
      <c r="B69" s="46" t="s">
        <v>72</v>
      </c>
      <c r="C69" s="40" t="s">
        <v>602</v>
      </c>
      <c r="D69" s="40" t="s">
        <v>270</v>
      </c>
      <c r="E69" s="94">
        <v>500</v>
      </c>
      <c r="F69" s="48" t="s">
        <v>603</v>
      </c>
      <c r="G69" s="299" t="s">
        <v>39</v>
      </c>
      <c r="H69" s="46" t="s">
        <v>357</v>
      </c>
      <c r="I69" s="40"/>
      <c r="J69" s="46"/>
      <c r="K69" s="134" t="s">
        <v>42</v>
      </c>
      <c r="L69" s="50"/>
    </row>
    <row r="70" ht="14.4" outlineLevel="1">
      <c r="A70" s="45">
        <v>13</v>
      </c>
      <c r="B70" s="46" t="s">
        <v>72</v>
      </c>
      <c r="C70" s="46" t="s">
        <v>403</v>
      </c>
      <c r="D70" s="46" t="s">
        <v>604</v>
      </c>
      <c r="E70" s="87">
        <v>33209</v>
      </c>
      <c r="F70" s="48" t="s">
        <v>605</v>
      </c>
      <c r="G70" s="48" t="s">
        <v>154</v>
      </c>
      <c r="H70" s="93" t="s">
        <v>208</v>
      </c>
      <c r="I70" s="40" t="s">
        <v>41</v>
      </c>
      <c r="J70" s="46"/>
      <c r="K70" s="134" t="s">
        <v>42</v>
      </c>
      <c r="L70" s="50"/>
    </row>
    <row r="71" ht="14.4" outlineLevel="1">
      <c r="A71" s="89">
        <v>14</v>
      </c>
      <c r="B71" s="46" t="s">
        <v>72</v>
      </c>
      <c r="C71" s="46" t="s">
        <v>606</v>
      </c>
      <c r="D71" s="46" t="s">
        <v>607</v>
      </c>
      <c r="E71" s="87">
        <v>5320</v>
      </c>
      <c r="F71" s="48" t="s">
        <v>608</v>
      </c>
      <c r="G71" s="48" t="s">
        <v>154</v>
      </c>
      <c r="H71" s="93" t="s">
        <v>208</v>
      </c>
      <c r="I71" s="40" t="s">
        <v>41</v>
      </c>
      <c r="J71" s="46" t="s">
        <v>111</v>
      </c>
      <c r="K71" s="134" t="s">
        <v>42</v>
      </c>
      <c r="L71" s="50"/>
    </row>
    <row r="72" ht="14.4" outlineLevel="1">
      <c r="A72" s="45">
        <v>15</v>
      </c>
      <c r="B72" s="46" t="s">
        <v>72</v>
      </c>
      <c r="C72" s="46" t="s">
        <v>609</v>
      </c>
      <c r="D72" s="46" t="s">
        <v>610</v>
      </c>
      <c r="E72" s="87">
        <v>9414.8600000000006</v>
      </c>
      <c r="F72" s="48" t="s">
        <v>611</v>
      </c>
      <c r="G72" s="48" t="s">
        <v>39</v>
      </c>
      <c r="H72" s="48" t="s">
        <v>357</v>
      </c>
      <c r="I72" s="40" t="s">
        <v>41</v>
      </c>
      <c r="J72" s="46"/>
      <c r="K72" s="134" t="s">
        <v>42</v>
      </c>
      <c r="L72" s="50"/>
    </row>
    <row r="73" ht="14.4" outlineLevel="1">
      <c r="A73" s="89">
        <v>16</v>
      </c>
      <c r="B73" s="46" t="s">
        <v>72</v>
      </c>
      <c r="C73" s="40" t="s">
        <v>612</v>
      </c>
      <c r="D73" s="40" t="s">
        <v>613</v>
      </c>
      <c r="E73" s="94">
        <v>690</v>
      </c>
      <c r="F73" s="48" t="s">
        <v>614</v>
      </c>
      <c r="G73" s="299" t="s">
        <v>39</v>
      </c>
      <c r="H73" s="48" t="s">
        <v>357</v>
      </c>
      <c r="I73" s="40" t="s">
        <v>41</v>
      </c>
      <c r="J73" s="46"/>
      <c r="K73" s="134" t="s">
        <v>42</v>
      </c>
      <c r="L73" s="50"/>
    </row>
    <row r="74" ht="14.25" customHeight="1" outlineLevel="1">
      <c r="A74" s="89">
        <v>17</v>
      </c>
      <c r="B74" s="46" t="s">
        <v>35</v>
      </c>
      <c r="C74" s="40" t="s">
        <v>615</v>
      </c>
      <c r="D74" s="40" t="s">
        <v>616</v>
      </c>
      <c r="E74" s="94">
        <v>31200</v>
      </c>
      <c r="F74" s="48" t="s">
        <v>617</v>
      </c>
      <c r="G74" s="299" t="s">
        <v>39</v>
      </c>
      <c r="H74" s="48" t="s">
        <v>357</v>
      </c>
      <c r="I74" s="40" t="s">
        <v>41</v>
      </c>
      <c r="J74" s="46"/>
      <c r="K74" s="134" t="s">
        <v>42</v>
      </c>
      <c r="L74" s="50"/>
    </row>
    <row r="75" ht="14.25" customHeight="1" outlineLevel="1">
      <c r="A75" s="45">
        <v>18</v>
      </c>
      <c r="B75" s="46" t="s">
        <v>35</v>
      </c>
      <c r="C75" s="40" t="s">
        <v>225</v>
      </c>
      <c r="D75" s="40" t="s">
        <v>618</v>
      </c>
      <c r="E75" s="94">
        <v>8679.0799999999999</v>
      </c>
      <c r="F75" s="48" t="s">
        <v>619</v>
      </c>
      <c r="G75" s="299" t="s">
        <v>39</v>
      </c>
      <c r="H75" s="48" t="s">
        <v>357</v>
      </c>
      <c r="I75" s="40" t="s">
        <v>41</v>
      </c>
      <c r="J75" s="46"/>
      <c r="K75" s="134" t="s">
        <v>42</v>
      </c>
      <c r="L75" s="50"/>
    </row>
    <row r="76" ht="14.25" customHeight="1" outlineLevel="1">
      <c r="A76" s="224">
        <v>19</v>
      </c>
      <c r="B76" s="46" t="s">
        <v>35</v>
      </c>
      <c r="C76" s="40" t="s">
        <v>228</v>
      </c>
      <c r="D76" s="40" t="s">
        <v>620</v>
      </c>
      <c r="E76" s="304">
        <v>473.19999999999999</v>
      </c>
      <c r="F76" s="46" t="s">
        <v>230</v>
      </c>
      <c r="G76" s="299" t="s">
        <v>39</v>
      </c>
      <c r="H76" s="48" t="s">
        <v>357</v>
      </c>
      <c r="I76" s="40" t="s">
        <v>41</v>
      </c>
      <c r="J76" s="136" t="s">
        <v>621</v>
      </c>
      <c r="K76" s="134" t="s">
        <v>42</v>
      </c>
      <c r="L76" s="50"/>
    </row>
    <row r="77" ht="14.25" customHeight="1" outlineLevel="1">
      <c r="A77" s="89">
        <v>20</v>
      </c>
      <c r="B77" s="46" t="s">
        <v>35</v>
      </c>
      <c r="C77" s="40" t="s">
        <v>228</v>
      </c>
      <c r="D77" s="40" t="s">
        <v>622</v>
      </c>
      <c r="E77" s="305">
        <v>1000</v>
      </c>
      <c r="F77" s="46" t="s">
        <v>230</v>
      </c>
      <c r="G77" s="299" t="s">
        <v>39</v>
      </c>
      <c r="H77" s="48" t="s">
        <v>357</v>
      </c>
      <c r="I77" s="40" t="s">
        <v>41</v>
      </c>
      <c r="J77" s="46"/>
      <c r="K77" s="134" t="s">
        <v>42</v>
      </c>
      <c r="L77" s="50"/>
    </row>
    <row r="78" ht="14.25" customHeight="1" outlineLevel="1">
      <c r="A78" s="45">
        <v>21</v>
      </c>
      <c r="B78" s="46" t="s">
        <v>35</v>
      </c>
      <c r="C78" s="40" t="s">
        <v>228</v>
      </c>
      <c r="D78" s="40" t="s">
        <v>623</v>
      </c>
      <c r="E78" s="305">
        <v>1489</v>
      </c>
      <c r="F78" s="46" t="s">
        <v>230</v>
      </c>
      <c r="G78" s="299" t="s">
        <v>39</v>
      </c>
      <c r="H78" s="48" t="s">
        <v>357</v>
      </c>
      <c r="I78" s="40" t="s">
        <v>41</v>
      </c>
      <c r="J78" s="46"/>
      <c r="K78" s="134" t="s">
        <v>42</v>
      </c>
      <c r="L78" s="50"/>
    </row>
    <row r="79" ht="14.25" customHeight="1" outlineLevel="1">
      <c r="A79" s="89">
        <v>22</v>
      </c>
      <c r="B79" s="46" t="s">
        <v>35</v>
      </c>
      <c r="C79" s="40" t="s">
        <v>228</v>
      </c>
      <c r="D79" s="40" t="s">
        <v>624</v>
      </c>
      <c r="E79" s="305">
        <v>1026</v>
      </c>
      <c r="F79" s="46" t="s">
        <v>230</v>
      </c>
      <c r="G79" s="299" t="s">
        <v>39</v>
      </c>
      <c r="H79" s="48" t="s">
        <v>357</v>
      </c>
      <c r="I79" s="40" t="s">
        <v>41</v>
      </c>
      <c r="J79" s="46"/>
      <c r="K79" s="134" t="s">
        <v>42</v>
      </c>
      <c r="L79" s="50"/>
    </row>
    <row r="80" ht="14.25" customHeight="1" outlineLevel="1">
      <c r="A80" s="89">
        <v>23</v>
      </c>
      <c r="B80" s="46" t="s">
        <v>35</v>
      </c>
      <c r="C80" s="40" t="s">
        <v>228</v>
      </c>
      <c r="D80" s="40" t="s">
        <v>625</v>
      </c>
      <c r="E80" s="305">
        <v>1345</v>
      </c>
      <c r="F80" s="46" t="s">
        <v>230</v>
      </c>
      <c r="G80" s="299" t="s">
        <v>39</v>
      </c>
      <c r="H80" s="48" t="s">
        <v>357</v>
      </c>
      <c r="I80" s="40" t="s">
        <v>41</v>
      </c>
      <c r="J80" s="46"/>
      <c r="K80" s="134" t="s">
        <v>42</v>
      </c>
      <c r="L80" s="50"/>
    </row>
    <row r="81" ht="14.25" customHeight="1" outlineLevel="1">
      <c r="A81" s="89">
        <v>24</v>
      </c>
      <c r="B81" s="46" t="s">
        <v>35</v>
      </c>
      <c r="C81" s="40" t="s">
        <v>228</v>
      </c>
      <c r="D81" s="40" t="s">
        <v>626</v>
      </c>
      <c r="E81" s="305">
        <v>1064</v>
      </c>
      <c r="F81" s="46" t="s">
        <v>230</v>
      </c>
      <c r="G81" s="299" t="s">
        <v>39</v>
      </c>
      <c r="H81" s="48" t="s">
        <v>357</v>
      </c>
      <c r="I81" s="40" t="s">
        <v>41</v>
      </c>
      <c r="J81" s="46"/>
      <c r="K81" s="134" t="s">
        <v>42</v>
      </c>
      <c r="L81" s="50"/>
    </row>
    <row r="82" ht="14.25" customHeight="1" outlineLevel="1">
      <c r="A82" s="224">
        <v>25</v>
      </c>
      <c r="B82" s="46" t="s">
        <v>35</v>
      </c>
      <c r="C82" s="40" t="s">
        <v>228</v>
      </c>
      <c r="D82" s="40" t="s">
        <v>627</v>
      </c>
      <c r="E82" s="305">
        <v>1518</v>
      </c>
      <c r="F82" s="46" t="s">
        <v>230</v>
      </c>
      <c r="G82" s="299" t="s">
        <v>39</v>
      </c>
      <c r="H82" s="48" t="s">
        <v>357</v>
      </c>
      <c r="I82" s="40" t="s">
        <v>41</v>
      </c>
      <c r="J82" s="46"/>
      <c r="K82" s="134" t="s">
        <v>42</v>
      </c>
      <c r="L82" s="50"/>
    </row>
    <row r="83" ht="14.25" customHeight="1" outlineLevel="1">
      <c r="A83" s="89">
        <v>26</v>
      </c>
      <c r="B83" s="46" t="s">
        <v>35</v>
      </c>
      <c r="C83" s="40" t="s">
        <v>228</v>
      </c>
      <c r="D83" s="40" t="s">
        <v>628</v>
      </c>
      <c r="E83" s="305">
        <v>1654</v>
      </c>
      <c r="F83" s="46" t="s">
        <v>230</v>
      </c>
      <c r="G83" s="299" t="s">
        <v>39</v>
      </c>
      <c r="H83" s="48" t="s">
        <v>357</v>
      </c>
      <c r="I83" s="40" t="s">
        <v>41</v>
      </c>
      <c r="J83" s="46"/>
      <c r="K83" s="134" t="s">
        <v>42</v>
      </c>
      <c r="L83" s="50"/>
    </row>
    <row r="84" ht="14.25" customHeight="1" outlineLevel="1">
      <c r="A84" s="45">
        <v>27</v>
      </c>
      <c r="B84" s="46" t="s">
        <v>35</v>
      </c>
      <c r="C84" s="40" t="s">
        <v>629</v>
      </c>
      <c r="D84" s="40" t="s">
        <v>630</v>
      </c>
      <c r="E84" s="94">
        <v>79250</v>
      </c>
      <c r="F84" s="46" t="s">
        <v>631</v>
      </c>
      <c r="G84" s="299" t="s">
        <v>39</v>
      </c>
      <c r="H84" s="48" t="s">
        <v>357</v>
      </c>
      <c r="I84" s="40" t="s">
        <v>41</v>
      </c>
      <c r="J84" s="46"/>
      <c r="K84" s="134" t="s">
        <v>42</v>
      </c>
      <c r="L84" s="50"/>
    </row>
    <row r="85" ht="14.25" customHeight="1" outlineLevel="1">
      <c r="A85" s="89">
        <v>28</v>
      </c>
      <c r="B85" s="46" t="s">
        <v>35</v>
      </c>
      <c r="C85" s="40" t="s">
        <v>629</v>
      </c>
      <c r="D85" s="40" t="s">
        <v>632</v>
      </c>
      <c r="E85" s="94">
        <v>79250</v>
      </c>
      <c r="F85" s="46" t="s">
        <v>631</v>
      </c>
      <c r="G85" s="299" t="s">
        <v>39</v>
      </c>
      <c r="H85" s="48" t="s">
        <v>357</v>
      </c>
      <c r="I85" s="40" t="s">
        <v>41</v>
      </c>
      <c r="J85" s="46"/>
      <c r="K85" s="134" t="s">
        <v>42</v>
      </c>
      <c r="L85" s="50"/>
    </row>
    <row r="86" ht="14.25" customHeight="1" outlineLevel="1">
      <c r="A86" s="45">
        <v>29</v>
      </c>
      <c r="B86" s="46" t="s">
        <v>35</v>
      </c>
      <c r="C86" s="40" t="s">
        <v>633</v>
      </c>
      <c r="D86" s="40" t="s">
        <v>634</v>
      </c>
      <c r="E86" s="306">
        <v>210000</v>
      </c>
      <c r="F86" s="46" t="s">
        <v>631</v>
      </c>
      <c r="G86" s="299" t="s">
        <v>39</v>
      </c>
      <c r="H86" s="48" t="s">
        <v>357</v>
      </c>
      <c r="I86" s="40" t="s">
        <v>635</v>
      </c>
      <c r="J86" s="136" t="s">
        <v>636</v>
      </c>
      <c r="K86" s="55" t="s">
        <v>42</v>
      </c>
      <c r="L86" s="50"/>
    </row>
    <row r="87" ht="14.25" customHeight="1" outlineLevel="1">
      <c r="A87" s="89">
        <v>30</v>
      </c>
      <c r="B87" s="46" t="s">
        <v>72</v>
      </c>
      <c r="C87" s="40" t="s">
        <v>205</v>
      </c>
      <c r="D87" s="40" t="s">
        <v>637</v>
      </c>
      <c r="E87" s="146">
        <v>9200</v>
      </c>
      <c r="F87" s="46" t="s">
        <v>638</v>
      </c>
      <c r="G87" s="299" t="s">
        <v>154</v>
      </c>
      <c r="H87" s="92" t="s">
        <v>208</v>
      </c>
      <c r="I87" s="40"/>
      <c r="J87" s="46"/>
      <c r="K87" s="49"/>
      <c r="L87" s="50"/>
    </row>
    <row r="88" ht="14.25" customHeight="1" outlineLevel="1">
      <c r="A88" s="224">
        <v>31</v>
      </c>
      <c r="B88" s="46"/>
      <c r="C88" s="40"/>
      <c r="D88" s="40"/>
      <c r="E88" s="41"/>
      <c r="F88" s="46"/>
      <c r="G88" s="299"/>
      <c r="H88" s="48"/>
      <c r="I88" s="40"/>
      <c r="J88" s="46"/>
      <c r="K88" s="49"/>
      <c r="L88" s="50"/>
    </row>
    <row r="89" ht="14.25" customHeight="1" outlineLevel="1">
      <c r="A89" s="89">
        <v>32</v>
      </c>
      <c r="B89" s="46"/>
      <c r="C89" s="40"/>
      <c r="D89" s="40"/>
      <c r="E89" s="41"/>
      <c r="F89" s="46"/>
      <c r="G89" s="299"/>
      <c r="H89" s="48"/>
      <c r="I89" s="40"/>
      <c r="J89" s="46"/>
      <c r="K89" s="49"/>
      <c r="L89" s="50"/>
    </row>
    <row r="90" ht="14.25" customHeight="1" outlineLevel="1">
      <c r="A90" s="45">
        <v>33</v>
      </c>
      <c r="B90" s="46"/>
      <c r="C90" s="40"/>
      <c r="D90" s="40"/>
      <c r="E90" s="41"/>
      <c r="F90" s="46"/>
      <c r="G90" s="299"/>
      <c r="H90" s="48"/>
      <c r="I90" s="40"/>
      <c r="J90" s="46"/>
      <c r="K90" s="49"/>
      <c r="L90" s="50"/>
    </row>
    <row r="91" ht="14.25" customHeight="1" outlineLevel="1">
      <c r="A91" s="89">
        <v>34</v>
      </c>
      <c r="B91" s="46"/>
      <c r="C91" s="40"/>
      <c r="D91" s="40"/>
      <c r="E91" s="41"/>
      <c r="F91" s="46"/>
      <c r="G91" s="299"/>
      <c r="H91" s="48"/>
      <c r="I91" s="40"/>
      <c r="J91" s="46"/>
      <c r="K91" s="49"/>
      <c r="L91" s="50"/>
    </row>
    <row r="92" s="32" customFormat="1" ht="19.5" customHeight="1" outlineLevel="1">
      <c r="A92" s="33"/>
      <c r="B92" s="34" t="s">
        <v>24</v>
      </c>
      <c r="C92" s="35"/>
      <c r="D92" s="36"/>
      <c r="E92" s="37"/>
      <c r="F92" s="34"/>
      <c r="G92" s="34"/>
      <c r="H92" s="34"/>
      <c r="I92" s="34"/>
      <c r="J92" s="34"/>
      <c r="K92" s="34"/>
      <c r="L92" s="38"/>
    </row>
    <row r="93" ht="14.25" customHeight="1" outlineLevel="1">
      <c r="A93" s="62">
        <v>1</v>
      </c>
      <c r="B93" s="52" t="s">
        <v>126</v>
      </c>
      <c r="C93" s="52" t="s">
        <v>639</v>
      </c>
      <c r="D93" s="52" t="s">
        <v>640</v>
      </c>
      <c r="E93" s="128">
        <v>171446.10000000001</v>
      </c>
      <c r="F93" s="54" t="s">
        <v>641</v>
      </c>
      <c r="G93" s="54" t="s">
        <v>154</v>
      </c>
      <c r="H93" s="48" t="s">
        <v>357</v>
      </c>
      <c r="I93" s="40" t="s">
        <v>41</v>
      </c>
      <c r="J93" s="52"/>
      <c r="K93" s="55" t="s">
        <v>42</v>
      </c>
      <c r="L93" s="56"/>
    </row>
    <row r="94" ht="14.25" customHeight="1" outlineLevel="1">
      <c r="A94" s="45">
        <v>2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3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4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5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6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7</v>
      </c>
      <c r="B99" s="46"/>
      <c r="C99" s="46"/>
      <c r="D99" s="46"/>
      <c r="E99" s="47"/>
      <c r="F99" s="48"/>
      <c r="G99" s="48"/>
      <c r="H99" s="46"/>
      <c r="I99" s="40"/>
      <c r="J99" s="46"/>
      <c r="K99" s="49"/>
      <c r="L99" s="50"/>
    </row>
    <row r="100" ht="14.25" customHeight="1" outlineLevel="1">
      <c r="A100" s="45">
        <v>8</v>
      </c>
      <c r="B100" s="46"/>
      <c r="C100" s="46"/>
      <c r="D100" s="46"/>
      <c r="E100" s="47"/>
      <c r="F100" s="48"/>
      <c r="G100" s="48"/>
      <c r="H100" s="46"/>
      <c r="I100" s="40"/>
      <c r="J100" s="46"/>
      <c r="K100" s="49"/>
      <c r="L100" s="50"/>
    </row>
    <row r="101" ht="14.25" customHeight="1" outlineLevel="1">
      <c r="A101" s="45">
        <v>9</v>
      </c>
      <c r="B101" s="46"/>
      <c r="C101" s="46"/>
      <c r="D101" s="46"/>
      <c r="E101" s="47"/>
      <c r="F101" s="48"/>
      <c r="G101" s="48"/>
      <c r="H101" s="46"/>
      <c r="I101" s="40"/>
      <c r="J101" s="46"/>
      <c r="K101" s="49"/>
      <c r="L101" s="50"/>
    </row>
    <row r="102" ht="14.25" customHeight="1" outlineLevel="1">
      <c r="A102" s="45">
        <v>10</v>
      </c>
      <c r="B102" s="46"/>
      <c r="C102" s="46"/>
      <c r="D102" s="46"/>
      <c r="E102" s="47"/>
      <c r="F102" s="48"/>
      <c r="G102" s="48"/>
      <c r="H102" s="46"/>
      <c r="I102" s="40"/>
      <c r="J102" s="46"/>
      <c r="K102" s="49"/>
      <c r="L102" s="50"/>
    </row>
    <row r="103" ht="14.25" customHeight="1" outlineLevel="1">
      <c r="A103" s="45">
        <v>11</v>
      </c>
      <c r="B103" s="46"/>
      <c r="C103" s="46"/>
      <c r="D103" s="46"/>
      <c r="E103" s="47"/>
      <c r="F103" s="48"/>
      <c r="G103" s="48"/>
      <c r="H103" s="46"/>
      <c r="I103" s="40"/>
      <c r="J103" s="46"/>
      <c r="K103" s="49"/>
      <c r="L103" s="50"/>
    </row>
    <row r="104" ht="14.25" customHeight="1" outlineLevel="1">
      <c r="A104" s="45">
        <v>12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45">
        <v>13</v>
      </c>
      <c r="B105" s="46"/>
      <c r="C105" s="46"/>
      <c r="D105" s="46"/>
      <c r="E105" s="47"/>
      <c r="F105" s="48"/>
      <c r="G105" s="48"/>
      <c r="H105" s="46"/>
      <c r="I105" s="40"/>
      <c r="J105" s="46"/>
      <c r="K105" s="49"/>
      <c r="L105" s="50"/>
    </row>
    <row r="106" ht="14.25" customHeight="1" outlineLevel="1">
      <c r="A106" s="45">
        <v>14</v>
      </c>
      <c r="B106" s="46"/>
      <c r="C106" s="46"/>
      <c r="D106" s="46"/>
      <c r="E106" s="47"/>
      <c r="F106" s="48"/>
      <c r="G106" s="48"/>
      <c r="H106" s="46"/>
      <c r="I106" s="40"/>
      <c r="J106" s="46"/>
      <c r="K106" s="49"/>
      <c r="L106" s="50"/>
    </row>
    <row r="107" ht="14.25" customHeight="1" outlineLevel="1">
      <c r="A107" s="45">
        <v>15</v>
      </c>
      <c r="B107" s="57"/>
      <c r="C107" s="57"/>
      <c r="D107" s="57"/>
      <c r="E107" s="58"/>
      <c r="F107" s="59"/>
      <c r="G107" s="59"/>
      <c r="H107" s="57"/>
      <c r="I107" s="40"/>
      <c r="J107" s="57"/>
      <c r="K107" s="60"/>
      <c r="L107" s="61"/>
    </row>
    <row r="108" s="32" customFormat="1" ht="19.5" customHeight="1" outlineLevel="1">
      <c r="A108" s="33"/>
      <c r="B108" s="34" t="s">
        <v>25</v>
      </c>
      <c r="C108" s="35"/>
      <c r="D108" s="36"/>
      <c r="E108" s="37"/>
      <c r="F108" s="34"/>
      <c r="G108" s="34"/>
      <c r="H108" s="34"/>
      <c r="I108" s="34"/>
      <c r="J108" s="34"/>
      <c r="K108" s="34"/>
      <c r="L108" s="38"/>
    </row>
    <row r="109" ht="15" outlineLevel="1">
      <c r="A109" s="89">
        <v>1</v>
      </c>
      <c r="B109" s="267" t="s">
        <v>642</v>
      </c>
      <c r="C109" s="267" t="s">
        <v>643</v>
      </c>
      <c r="D109" s="267" t="s">
        <v>439</v>
      </c>
      <c r="E109" s="307">
        <v>3000</v>
      </c>
      <c r="F109" s="267" t="s">
        <v>644</v>
      </c>
      <c r="G109" s="308"/>
      <c r="H109" s="309" t="s">
        <v>208</v>
      </c>
      <c r="I109" s="172"/>
      <c r="J109" s="310"/>
      <c r="K109" s="311" t="s">
        <v>42</v>
      </c>
      <c r="L109" s="56"/>
    </row>
    <row r="110" ht="14.25" customHeight="1" outlineLevel="1">
      <c r="A110" s="45">
        <v>2</v>
      </c>
      <c r="B110" s="40"/>
      <c r="C110" s="40"/>
      <c r="D110" s="40"/>
      <c r="E110" s="41"/>
      <c r="F110" s="42"/>
      <c r="G110" s="42"/>
      <c r="H110" s="40"/>
      <c r="I110" s="40"/>
      <c r="J110" s="40"/>
      <c r="K110" s="49"/>
      <c r="L110" s="50"/>
    </row>
    <row r="111" ht="14.25" customHeight="1" outlineLevel="1">
      <c r="A111" s="45">
        <v>3</v>
      </c>
      <c r="B111" s="46"/>
      <c r="C111" s="46"/>
      <c r="D111" s="46"/>
      <c r="E111" s="47"/>
      <c r="F111" s="48"/>
      <c r="G111" s="48"/>
      <c r="H111" s="46"/>
      <c r="I111" s="40"/>
      <c r="J111" s="46"/>
      <c r="K111" s="49"/>
      <c r="L111" s="50"/>
    </row>
    <row r="112" ht="14.25" customHeight="1" outlineLevel="1">
      <c r="A112" s="45">
        <v>4</v>
      </c>
      <c r="B112" s="46"/>
      <c r="C112" s="46"/>
      <c r="D112" s="46"/>
      <c r="E112" s="47"/>
      <c r="F112" s="48"/>
      <c r="G112" s="48"/>
      <c r="H112" s="46"/>
      <c r="I112" s="40"/>
      <c r="J112" s="46"/>
      <c r="K112" s="49"/>
      <c r="L112" s="50"/>
    </row>
    <row r="113" ht="14.25" customHeight="1" outlineLevel="1">
      <c r="A113" s="45">
        <v>5</v>
      </c>
      <c r="B113" s="46"/>
      <c r="C113" s="46"/>
      <c r="D113" s="46"/>
      <c r="E113" s="47"/>
      <c r="F113" s="48"/>
      <c r="G113" s="48"/>
      <c r="H113" s="46"/>
      <c r="I113" s="40"/>
      <c r="J113" s="46"/>
      <c r="K113" s="49"/>
      <c r="L113" s="50"/>
    </row>
    <row r="114" ht="14.25" customHeight="1" outlineLevel="1">
      <c r="A114" s="45">
        <v>6</v>
      </c>
      <c r="B114" s="46"/>
      <c r="C114" s="46"/>
      <c r="D114" s="46"/>
      <c r="E114" s="47"/>
      <c r="F114" s="48"/>
      <c r="G114" s="48"/>
      <c r="H114" s="46"/>
      <c r="I114" s="40"/>
      <c r="J114" s="46"/>
      <c r="K114" s="49"/>
      <c r="L114" s="50"/>
    </row>
    <row r="115" ht="14.25" customHeight="1" outlineLevel="1">
      <c r="A115" s="45">
        <v>7</v>
      </c>
      <c r="B115" s="46"/>
      <c r="C115" s="46"/>
      <c r="D115" s="46"/>
      <c r="E115" s="47"/>
      <c r="F115" s="48"/>
      <c r="G115" s="48"/>
      <c r="H115" s="46"/>
      <c r="I115" s="40"/>
      <c r="J115" s="46"/>
      <c r="K115" s="49"/>
      <c r="L115" s="50"/>
    </row>
    <row r="116" ht="14.25" customHeight="1" outlineLevel="1">
      <c r="A116" s="45">
        <v>8</v>
      </c>
      <c r="B116" s="46"/>
      <c r="C116" s="46"/>
      <c r="D116" s="46"/>
      <c r="E116" s="47"/>
      <c r="F116" s="48"/>
      <c r="G116" s="48"/>
      <c r="H116" s="46"/>
      <c r="I116" s="40"/>
      <c r="J116" s="46"/>
      <c r="K116" s="49"/>
      <c r="L116" s="50"/>
    </row>
    <row r="117" ht="14.25" customHeight="1" outlineLevel="1">
      <c r="A117" s="45">
        <v>9</v>
      </c>
      <c r="B117" s="46"/>
      <c r="C117" s="46"/>
      <c r="D117" s="46"/>
      <c r="E117" s="47"/>
      <c r="F117" s="48"/>
      <c r="G117" s="48"/>
      <c r="H117" s="46"/>
      <c r="I117" s="40"/>
      <c r="J117" s="46"/>
      <c r="K117" s="49"/>
      <c r="L117" s="50"/>
    </row>
    <row r="118" ht="14.25" customHeight="1" outlineLevel="1">
      <c r="A118" s="45">
        <v>10</v>
      </c>
      <c r="B118" s="57"/>
      <c r="C118" s="57"/>
      <c r="D118" s="57"/>
      <c r="E118" s="58"/>
      <c r="F118" s="59"/>
      <c r="G118" s="59"/>
      <c r="H118" s="57"/>
      <c r="I118" s="40"/>
      <c r="J118" s="57"/>
      <c r="K118" s="60"/>
      <c r="L118" s="61"/>
    </row>
    <row r="119" s="32" customFormat="1" ht="19.5" customHeight="1" outlineLevel="1">
      <c r="A119" s="33"/>
      <c r="B119" s="171" t="s">
        <v>26</v>
      </c>
      <c r="C119" s="35"/>
      <c r="D119" s="36"/>
      <c r="E119" s="37"/>
      <c r="F119" s="34"/>
      <c r="G119" s="34"/>
      <c r="H119" s="34"/>
      <c r="I119" s="34"/>
      <c r="J119" s="34"/>
      <c r="K119" s="34"/>
      <c r="L119" s="38"/>
    </row>
    <row r="120" ht="14.25" customHeight="1" outlineLevel="1">
      <c r="A120" s="62">
        <v>1</v>
      </c>
      <c r="B120" s="46"/>
      <c r="C120" s="52"/>
      <c r="D120" s="52"/>
      <c r="E120" s="53"/>
      <c r="F120" s="54"/>
      <c r="G120" s="54"/>
      <c r="H120" s="52"/>
      <c r="I120" s="40"/>
      <c r="J120" s="52"/>
      <c r="K120" s="55"/>
      <c r="L120" s="56"/>
    </row>
    <row r="121" ht="14.25" customHeight="1" outlineLevel="1">
      <c r="A121" s="39">
        <v>2</v>
      </c>
      <c r="B121" s="40"/>
      <c r="C121" s="40"/>
      <c r="D121" s="40"/>
      <c r="E121" s="41"/>
      <c r="F121" s="42"/>
      <c r="G121" s="42"/>
      <c r="H121" s="40"/>
      <c r="I121" s="40"/>
      <c r="J121" s="40"/>
      <c r="K121" s="43"/>
      <c r="L121" s="44"/>
    </row>
    <row r="122" ht="14.25" customHeight="1" outlineLevel="1">
      <c r="A122" s="39">
        <v>3</v>
      </c>
      <c r="B122" s="40"/>
      <c r="C122" s="40"/>
      <c r="D122" s="40"/>
      <c r="E122" s="41"/>
      <c r="F122" s="42"/>
      <c r="G122" s="42"/>
      <c r="H122" s="40"/>
      <c r="I122" s="40"/>
      <c r="J122" s="40"/>
      <c r="K122" s="43"/>
      <c r="L122" s="44"/>
    </row>
    <row r="123" ht="14.25" customHeight="1" outlineLevel="1">
      <c r="A123" s="45">
        <v>4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ht="14.25" customHeight="1" outlineLevel="1">
      <c r="A124" s="63">
        <v>5</v>
      </c>
      <c r="B124" s="57"/>
      <c r="C124" s="57"/>
      <c r="D124" s="57"/>
      <c r="E124" s="58"/>
      <c r="F124" s="59"/>
      <c r="G124" s="59"/>
      <c r="H124" s="57"/>
      <c r="I124" s="57"/>
      <c r="J124" s="57"/>
      <c r="K124" s="60"/>
      <c r="L124" s="61"/>
    </row>
    <row r="125" ht="23.100000000000001" customHeight="1">
      <c r="A125" s="64" t="s">
        <v>27</v>
      </c>
      <c r="B125" s="65"/>
      <c r="C125" s="65"/>
      <c r="D125" s="65"/>
      <c r="E125" s="66">
        <f>SUM(E15:E124)</f>
        <v>3933109.5200000005</v>
      </c>
    </row>
    <row r="126" ht="23.100000000000001" customHeight="1">
      <c r="A126" s="64" t="s">
        <v>28</v>
      </c>
      <c r="B126" s="65"/>
      <c r="C126" s="65"/>
      <c r="D126" s="65"/>
      <c r="E126" s="66">
        <f>E4-E125</f>
        <v>7420476.9399999985</v>
      </c>
      <c r="F126" s="67"/>
      <c r="G126" s="67"/>
    </row>
    <row r="127" ht="24.75" customHeight="1">
      <c r="E127" s="1"/>
    </row>
    <row r="128" ht="30" customHeight="1">
      <c r="A128" s="68" t="s">
        <v>29</v>
      </c>
      <c r="B128" s="69"/>
      <c r="C128" s="69"/>
      <c r="D128" s="70"/>
      <c r="E128" s="71">
        <f>SUM(E129:E132)</f>
        <v>697254.14000000001</v>
      </c>
      <c r="F128" s="12"/>
      <c r="G128" s="12"/>
      <c r="H128" s="12"/>
      <c r="I128" s="12"/>
      <c r="J128" s="12"/>
    </row>
    <row r="129" ht="15" customHeight="1">
      <c r="A129" s="13" t="s">
        <v>30</v>
      </c>
      <c r="B129" s="14"/>
      <c r="C129" s="14"/>
      <c r="D129" s="15"/>
      <c r="E129" s="16">
        <v>697254.14000000001</v>
      </c>
      <c r="F129" s="12"/>
      <c r="G129" s="12"/>
      <c r="H129" s="12"/>
      <c r="I129" s="12"/>
      <c r="J129" s="12"/>
    </row>
    <row r="130">
      <c r="A130" s="72"/>
      <c r="B130" s="73"/>
      <c r="C130" s="73"/>
      <c r="D130" s="74"/>
      <c r="E130" s="75"/>
      <c r="F130" s="12"/>
      <c r="G130" s="12"/>
      <c r="H130" s="12"/>
      <c r="I130" s="12"/>
      <c r="J130" s="12"/>
    </row>
    <row r="131">
      <c r="A131" s="21"/>
      <c r="B131" s="18"/>
      <c r="C131" s="18"/>
      <c r="D131" s="19"/>
      <c r="E131" s="20"/>
      <c r="F131" s="12"/>
      <c r="G131" s="12"/>
      <c r="H131" s="12"/>
      <c r="I131" s="12"/>
      <c r="J131" s="12"/>
    </row>
    <row r="132" ht="15">
      <c r="A132" s="76"/>
      <c r="B132" s="24"/>
      <c r="C132" s="24"/>
      <c r="D132" s="25"/>
      <c r="E132" s="26"/>
      <c r="F132" s="27"/>
      <c r="G132" s="27"/>
      <c r="H132" s="27"/>
      <c r="I132" s="27"/>
      <c r="J132" s="27"/>
    </row>
    <row r="133" ht="6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</row>
    <row r="134" ht="28.5" outlineLevel="1">
      <c r="A134" s="28" t="s">
        <v>9</v>
      </c>
      <c r="B134" s="28" t="s">
        <v>10</v>
      </c>
      <c r="C134" s="28" t="s">
        <v>11</v>
      </c>
      <c r="D134" s="28" t="s">
        <v>12</v>
      </c>
      <c r="E134" s="29" t="s">
        <v>13</v>
      </c>
      <c r="F134" s="28" t="s">
        <v>14</v>
      </c>
      <c r="G134" s="30" t="s">
        <v>15</v>
      </c>
      <c r="H134" s="28" t="s">
        <v>16</v>
      </c>
      <c r="I134" s="31" t="s">
        <v>17</v>
      </c>
      <c r="J134" s="28" t="s">
        <v>18</v>
      </c>
      <c r="K134" s="28" t="s">
        <v>19</v>
      </c>
      <c r="L134" s="28" t="s">
        <v>20</v>
      </c>
    </row>
    <row r="135" ht="15" outlineLevel="1">
      <c r="A135" s="77"/>
      <c r="B135" s="78" t="s">
        <v>31</v>
      </c>
      <c r="C135" s="79"/>
      <c r="D135" s="80"/>
      <c r="E135" s="81"/>
      <c r="F135" s="78"/>
      <c r="G135" s="78"/>
      <c r="H135" s="78"/>
      <c r="I135" s="78"/>
      <c r="J135" s="78"/>
      <c r="K135" s="78"/>
      <c r="L135" s="78"/>
    </row>
    <row r="136" outlineLevel="1">
      <c r="A136" s="39">
        <v>1</v>
      </c>
      <c r="B136" s="40"/>
      <c r="C136" s="40"/>
      <c r="D136" s="40"/>
      <c r="E136" s="41"/>
      <c r="F136" s="42"/>
      <c r="G136" s="42"/>
      <c r="H136" s="40"/>
      <c r="I136" s="40"/>
      <c r="J136" s="40"/>
      <c r="K136" s="43"/>
      <c r="L136" s="44"/>
    </row>
    <row r="137" outlineLevel="1">
      <c r="A137" s="45">
        <v>2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3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4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ht="15.75" customHeight="1" outlineLevel="1">
      <c r="A140" s="45">
        <v>5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6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7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8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39">
        <v>9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10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11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outlineLevel="1">
      <c r="A147" s="45">
        <v>12</v>
      </c>
      <c r="B147" s="46"/>
      <c r="C147" s="46"/>
      <c r="D147" s="46"/>
      <c r="E147" s="47"/>
      <c r="F147" s="48"/>
      <c r="G147" s="48"/>
      <c r="H147" s="46"/>
      <c r="I147" s="40"/>
      <c r="J147" s="46"/>
      <c r="K147" s="49"/>
      <c r="L147" s="50"/>
    </row>
    <row r="148" outlineLevel="1">
      <c r="A148" s="45">
        <v>13</v>
      </c>
      <c r="B148" s="46"/>
      <c r="C148" s="46"/>
      <c r="D148" s="46"/>
      <c r="E148" s="47"/>
      <c r="F148" s="48"/>
      <c r="G148" s="48"/>
      <c r="H148" s="46"/>
      <c r="I148" s="40"/>
      <c r="J148" s="46"/>
      <c r="K148" s="49"/>
      <c r="L148" s="50"/>
    </row>
    <row r="149" outlineLevel="1">
      <c r="A149" s="45">
        <v>14</v>
      </c>
      <c r="B149" s="46"/>
      <c r="C149" s="46"/>
      <c r="D149" s="46"/>
      <c r="E149" s="47"/>
      <c r="F149" s="48"/>
      <c r="G149" s="48"/>
      <c r="H149" s="46"/>
      <c r="I149" s="40"/>
      <c r="J149" s="46"/>
      <c r="K149" s="49"/>
      <c r="L149" s="50"/>
    </row>
    <row r="150" ht="15" outlineLevel="1">
      <c r="A150" s="45">
        <v>15</v>
      </c>
      <c r="B150" s="57"/>
      <c r="C150" s="57"/>
      <c r="D150" s="57"/>
      <c r="E150" s="58"/>
      <c r="F150" s="59"/>
      <c r="G150" s="59"/>
      <c r="H150" s="57"/>
      <c r="I150" s="40"/>
      <c r="J150" s="57"/>
      <c r="K150" s="60"/>
      <c r="L150" s="61"/>
    </row>
    <row r="151" ht="15" outlineLevel="1">
      <c r="A151" s="77"/>
      <c r="B151" s="78" t="s">
        <v>32</v>
      </c>
      <c r="C151" s="79"/>
      <c r="D151" s="80"/>
      <c r="E151" s="81"/>
      <c r="F151" s="78"/>
      <c r="G151" s="78"/>
      <c r="H151" s="78"/>
      <c r="I151" s="78"/>
      <c r="J151" s="78"/>
      <c r="K151" s="78"/>
      <c r="L151" s="78"/>
    </row>
    <row r="152" outlineLevel="1">
      <c r="A152" s="62">
        <v>1</v>
      </c>
      <c r="B152" s="52"/>
      <c r="C152" s="52"/>
      <c r="D152" s="52"/>
      <c r="E152" s="53"/>
      <c r="F152" s="54"/>
      <c r="G152" s="54"/>
      <c r="H152" s="52"/>
      <c r="I152" s="40"/>
      <c r="J152" s="52"/>
      <c r="K152" s="55"/>
      <c r="L152" s="56"/>
    </row>
    <row r="153" outlineLevel="1">
      <c r="A153" s="45">
        <v>2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3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4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5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6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outlineLevel="1">
      <c r="A158" s="45">
        <v>7</v>
      </c>
      <c r="B158" s="46"/>
      <c r="C158" s="46"/>
      <c r="D158" s="46"/>
      <c r="E158" s="47"/>
      <c r="F158" s="48"/>
      <c r="G158" s="48"/>
      <c r="H158" s="46"/>
      <c r="I158" s="40"/>
      <c r="J158" s="46"/>
      <c r="K158" s="49"/>
      <c r="L158" s="50"/>
    </row>
    <row r="159" outlineLevel="1">
      <c r="A159" s="45">
        <v>8</v>
      </c>
      <c r="B159" s="46"/>
      <c r="C159" s="46"/>
      <c r="D159" s="46"/>
      <c r="E159" s="47"/>
      <c r="F159" s="48"/>
      <c r="G159" s="48"/>
      <c r="H159" s="46"/>
      <c r="I159" s="40"/>
      <c r="J159" s="46"/>
      <c r="K159" s="49"/>
      <c r="L159" s="50"/>
    </row>
    <row r="160" outlineLevel="1">
      <c r="A160" s="45">
        <v>9</v>
      </c>
      <c r="B160" s="46"/>
      <c r="C160" s="46"/>
      <c r="D160" s="46"/>
      <c r="E160" s="47"/>
      <c r="F160" s="48"/>
      <c r="G160" s="48"/>
      <c r="H160" s="46"/>
      <c r="I160" s="40"/>
      <c r="J160" s="46"/>
      <c r="K160" s="49"/>
      <c r="L160" s="50"/>
    </row>
    <row r="161" outlineLevel="1">
      <c r="A161" s="45">
        <v>10</v>
      </c>
      <c r="B161" s="46"/>
      <c r="C161" s="46"/>
      <c r="D161" s="46"/>
      <c r="E161" s="47"/>
      <c r="F161" s="48"/>
      <c r="G161" s="48"/>
      <c r="H161" s="46"/>
      <c r="I161" s="40"/>
      <c r="J161" s="46"/>
      <c r="K161" s="49"/>
      <c r="L161" s="50"/>
    </row>
    <row r="162" outlineLevel="1">
      <c r="A162" s="45">
        <v>11</v>
      </c>
      <c r="B162" s="46"/>
      <c r="C162" s="46"/>
      <c r="D162" s="46"/>
      <c r="E162" s="47"/>
      <c r="F162" s="48"/>
      <c r="G162" s="48"/>
      <c r="H162" s="46"/>
      <c r="I162" s="40"/>
      <c r="J162" s="46"/>
      <c r="K162" s="49"/>
      <c r="L162" s="50"/>
    </row>
    <row r="163" outlineLevel="1">
      <c r="A163" s="45">
        <v>12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outlineLevel="1">
      <c r="A164" s="45">
        <v>13</v>
      </c>
      <c r="B164" s="46"/>
      <c r="C164" s="46"/>
      <c r="D164" s="46"/>
      <c r="E164" s="47"/>
      <c r="F164" s="48"/>
      <c r="G164" s="48"/>
      <c r="H164" s="46"/>
      <c r="I164" s="40"/>
      <c r="J164" s="46"/>
      <c r="K164" s="49"/>
      <c r="L164" s="50"/>
    </row>
    <row r="165" outlineLevel="1">
      <c r="A165" s="45">
        <v>14</v>
      </c>
      <c r="B165" s="46"/>
      <c r="C165" s="46"/>
      <c r="D165" s="46"/>
      <c r="E165" s="47"/>
      <c r="F165" s="48"/>
      <c r="G165" s="48"/>
      <c r="H165" s="46"/>
      <c r="I165" s="40"/>
      <c r="J165" s="46"/>
      <c r="K165" s="49"/>
      <c r="L165" s="50"/>
    </row>
    <row r="166" ht="15" outlineLevel="1">
      <c r="A166" s="45">
        <v>15</v>
      </c>
      <c r="B166" s="57"/>
      <c r="C166" s="57"/>
      <c r="D166" s="57"/>
      <c r="E166" s="58"/>
      <c r="F166" s="59"/>
      <c r="G166" s="59"/>
      <c r="H166" s="57"/>
      <c r="I166" s="40"/>
      <c r="J166" s="57"/>
      <c r="K166" s="60"/>
      <c r="L166" s="61"/>
    </row>
    <row r="167" ht="15" outlineLevel="1">
      <c r="A167" s="77"/>
      <c r="B167" s="78" t="s">
        <v>25</v>
      </c>
      <c r="C167" s="79"/>
      <c r="D167" s="80"/>
      <c r="E167" s="81"/>
      <c r="F167" s="78"/>
      <c r="G167" s="78"/>
      <c r="H167" s="78"/>
      <c r="I167" s="78"/>
      <c r="J167" s="78"/>
      <c r="K167" s="78"/>
      <c r="L167" s="78"/>
    </row>
    <row r="168" outlineLevel="1">
      <c r="A168" s="45">
        <v>1</v>
      </c>
      <c r="B168" s="52"/>
      <c r="C168" s="52"/>
      <c r="D168" s="52"/>
      <c r="E168" s="53"/>
      <c r="F168" s="54"/>
      <c r="G168" s="54"/>
      <c r="H168" s="52"/>
      <c r="I168" s="40"/>
      <c r="J168" s="52"/>
      <c r="K168" s="55"/>
      <c r="L168" s="56"/>
    </row>
    <row r="169" outlineLevel="1">
      <c r="A169" s="45">
        <v>2</v>
      </c>
      <c r="B169" s="46"/>
      <c r="C169" s="46"/>
      <c r="D169" s="46"/>
      <c r="E169" s="47"/>
      <c r="F169" s="48"/>
      <c r="G169" s="48"/>
      <c r="H169" s="46"/>
      <c r="I169" s="40"/>
      <c r="J169" s="46"/>
      <c r="K169" s="49"/>
      <c r="L169" s="50"/>
    </row>
    <row r="170" outlineLevel="1">
      <c r="A170" s="45">
        <v>3</v>
      </c>
      <c r="B170" s="46"/>
      <c r="C170" s="46"/>
      <c r="D170" s="46"/>
      <c r="E170" s="47"/>
      <c r="F170" s="48"/>
      <c r="G170" s="48"/>
      <c r="H170" s="46"/>
      <c r="I170" s="40"/>
      <c r="J170" s="46"/>
      <c r="K170" s="49"/>
      <c r="L170" s="50"/>
    </row>
    <row r="171" outlineLevel="1">
      <c r="A171" s="45">
        <v>4</v>
      </c>
      <c r="B171" s="46"/>
      <c r="C171" s="46"/>
      <c r="D171" s="46"/>
      <c r="E171" s="47"/>
      <c r="F171" s="48"/>
      <c r="G171" s="48"/>
      <c r="H171" s="46"/>
      <c r="I171" s="40"/>
      <c r="J171" s="46"/>
      <c r="K171" s="49"/>
      <c r="L171" s="50"/>
    </row>
    <row r="172" outlineLevel="1">
      <c r="A172" s="45">
        <v>5</v>
      </c>
      <c r="B172" s="46"/>
      <c r="C172" s="46"/>
      <c r="D172" s="46"/>
      <c r="E172" s="47"/>
      <c r="F172" s="48"/>
      <c r="G172" s="48"/>
      <c r="H172" s="46"/>
      <c r="I172" s="40"/>
      <c r="J172" s="46"/>
      <c r="K172" s="49"/>
      <c r="L172" s="50"/>
    </row>
    <row r="173" outlineLevel="1">
      <c r="A173" s="45">
        <v>6</v>
      </c>
      <c r="B173" s="46"/>
      <c r="C173" s="46"/>
      <c r="D173" s="46"/>
      <c r="E173" s="47"/>
      <c r="F173" s="48"/>
      <c r="G173" s="48"/>
      <c r="H173" s="46"/>
      <c r="I173" s="40"/>
      <c r="J173" s="46"/>
      <c r="K173" s="49"/>
      <c r="L173" s="50"/>
    </row>
    <row r="174" outlineLevel="1">
      <c r="A174" s="45">
        <v>7</v>
      </c>
      <c r="B174" s="46"/>
      <c r="C174" s="46"/>
      <c r="D174" s="46"/>
      <c r="E174" s="47"/>
      <c r="F174" s="48"/>
      <c r="G174" s="48"/>
      <c r="H174" s="46"/>
      <c r="I174" s="40"/>
      <c r="J174" s="46"/>
      <c r="K174" s="49"/>
      <c r="L174" s="50"/>
    </row>
    <row r="175" outlineLevel="1">
      <c r="A175" s="45">
        <v>8</v>
      </c>
      <c r="B175" s="46"/>
      <c r="C175" s="46"/>
      <c r="D175" s="46"/>
      <c r="E175" s="47"/>
      <c r="F175" s="48"/>
      <c r="G175" s="48"/>
      <c r="H175" s="46"/>
      <c r="I175" s="40"/>
      <c r="J175" s="46"/>
      <c r="K175" s="49"/>
      <c r="L175" s="50"/>
    </row>
    <row r="176" outlineLevel="1">
      <c r="A176" s="45">
        <v>9</v>
      </c>
      <c r="B176" s="46"/>
      <c r="C176" s="46"/>
      <c r="D176" s="46"/>
      <c r="E176" s="47"/>
      <c r="F176" s="48"/>
      <c r="G176" s="48"/>
      <c r="H176" s="46"/>
      <c r="I176" s="40"/>
      <c r="J176" s="46"/>
      <c r="K176" s="49"/>
      <c r="L176" s="50"/>
    </row>
    <row r="177" ht="15" outlineLevel="1">
      <c r="A177" s="45">
        <v>10</v>
      </c>
      <c r="B177" s="57"/>
      <c r="C177" s="57"/>
      <c r="D177" s="57"/>
      <c r="E177" s="58"/>
      <c r="F177" s="59"/>
      <c r="G177" s="59"/>
      <c r="H177" s="57"/>
      <c r="I177" s="40"/>
      <c r="J177" s="57"/>
      <c r="K177" s="60"/>
      <c r="L177" s="61"/>
    </row>
    <row r="178" ht="15" outlineLevel="1">
      <c r="A178" s="77"/>
      <c r="B178" s="78" t="s">
        <v>26</v>
      </c>
      <c r="C178" s="79"/>
      <c r="D178" s="80"/>
      <c r="E178" s="81"/>
      <c r="F178" s="78"/>
      <c r="G178" s="78"/>
      <c r="H178" s="78"/>
      <c r="I178" s="78"/>
      <c r="J178" s="78"/>
      <c r="K178" s="78"/>
      <c r="L178" s="78"/>
    </row>
    <row r="179" outlineLevel="1">
      <c r="A179" s="62">
        <v>1</v>
      </c>
      <c r="B179" s="52"/>
      <c r="C179" s="52"/>
      <c r="D179" s="52"/>
      <c r="E179" s="53"/>
      <c r="F179" s="54"/>
      <c r="G179" s="54"/>
      <c r="H179" s="52"/>
      <c r="I179" s="40"/>
      <c r="J179" s="52"/>
      <c r="K179" s="55"/>
      <c r="L179" s="56"/>
    </row>
    <row r="180" outlineLevel="1">
      <c r="A180" s="39">
        <v>2</v>
      </c>
      <c r="B180" s="40"/>
      <c r="C180" s="40"/>
      <c r="D180" s="40"/>
      <c r="E180" s="41"/>
      <c r="F180" s="42"/>
      <c r="G180" s="42"/>
      <c r="H180" s="40"/>
      <c r="I180" s="40"/>
      <c r="J180" s="40"/>
      <c r="K180" s="43"/>
      <c r="L180" s="44"/>
    </row>
    <row r="181" outlineLevel="1">
      <c r="A181" s="39">
        <v>3</v>
      </c>
      <c r="B181" s="40"/>
      <c r="C181" s="40"/>
      <c r="D181" s="40"/>
      <c r="E181" s="41"/>
      <c r="F181" s="42"/>
      <c r="G181" s="42"/>
      <c r="H181" s="40"/>
      <c r="I181" s="40"/>
      <c r="J181" s="40"/>
      <c r="K181" s="43"/>
      <c r="L181" s="44"/>
    </row>
    <row r="182" outlineLevel="1">
      <c r="A182" s="45">
        <v>4</v>
      </c>
      <c r="B182" s="46"/>
      <c r="C182" s="46"/>
      <c r="D182" s="46"/>
      <c r="E182" s="47"/>
      <c r="F182" s="48"/>
      <c r="G182" s="48"/>
      <c r="H182" s="46"/>
      <c r="I182" s="40"/>
      <c r="J182" s="46"/>
      <c r="K182" s="49"/>
      <c r="L182" s="50"/>
    </row>
    <row r="183" ht="15" outlineLevel="1">
      <c r="A183" s="63">
        <v>5</v>
      </c>
      <c r="B183" s="57"/>
      <c r="C183" s="57"/>
      <c r="D183" s="57"/>
      <c r="E183" s="58"/>
      <c r="F183" s="59"/>
      <c r="G183" s="59"/>
      <c r="H183" s="57"/>
      <c r="I183" s="57"/>
      <c r="J183" s="57"/>
      <c r="K183" s="60"/>
      <c r="L183" s="61"/>
    </row>
    <row r="184" ht="23.100000000000001" customHeight="1">
      <c r="A184" s="82" t="s">
        <v>33</v>
      </c>
      <c r="B184" s="83"/>
      <c r="C184" s="83"/>
      <c r="D184" s="84"/>
      <c r="E184" s="85">
        <f>SUM(E136:E183)</f>
        <v>0</v>
      </c>
    </row>
    <row r="185" ht="23.100000000000001" customHeight="1">
      <c r="A185" s="82" t="s">
        <v>28</v>
      </c>
      <c r="B185" s="83"/>
      <c r="C185" s="83"/>
      <c r="D185" s="84"/>
      <c r="E185" s="85">
        <f>E128-E184</f>
        <v>697254.14000000001</v>
      </c>
      <c r="F185" s="67"/>
      <c r="G185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25:D125"/>
    <mergeCell ref="A126:D126"/>
    <mergeCell ref="A128:D128"/>
    <mergeCell ref="A129:D129"/>
    <mergeCell ref="A130:D130"/>
    <mergeCell ref="A131:D131"/>
    <mergeCell ref="A132:D132"/>
    <mergeCell ref="A184:D184"/>
    <mergeCell ref="A185:D185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1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B00A4-0045-4731-AE06-008C00AB0087}" type="list" allowBlank="1" errorStyle="stop" imeMode="noControl" operator="between" showDropDown="0" showErrorMessage="1" showInputMessage="1">
          <x14:formula1>
            <xm:f>ДаНет</xm:f>
          </x14:formula1>
          <xm:sqref>I37:I56 I58:I65 I68:I70 I72:I73 I93:I107 I110:I118 I120:I124 I136:I150 I152:I166 I168:I177 I179:I183 I16:I35 I71 I74 I75 I76 I77 I78 I79 I80 I81 I82 I83 I84 I85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'18'!C2+1</f>
        <v>46100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9498017.3899999987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6713089.0199999996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27855.299999999999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47366.839999999997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626325.60999999999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2024755.0900000001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42803.93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171" t="s">
        <v>21</v>
      </c>
      <c r="C15" s="179"/>
      <c r="D15" s="180"/>
      <c r="E15" s="181"/>
      <c r="F15" s="171"/>
      <c r="G15" s="34"/>
      <c r="H15" s="34"/>
      <c r="I15" s="34"/>
      <c r="J15" s="34"/>
      <c r="K15" s="34"/>
      <c r="L15" s="38"/>
    </row>
    <row r="16" ht="14.25" customHeight="1" outlineLevel="1">
      <c r="A16" s="224">
        <v>1</v>
      </c>
      <c r="B16" s="155" t="s">
        <v>44</v>
      </c>
      <c r="C16" s="46" t="s">
        <v>150</v>
      </c>
      <c r="D16" s="46" t="s">
        <v>453</v>
      </c>
      <c r="E16" s="87">
        <v>8000000</v>
      </c>
      <c r="F16" s="48" t="s">
        <v>48</v>
      </c>
      <c r="G16" s="42"/>
      <c r="H16" s="40"/>
      <c r="I16" s="40"/>
      <c r="J16" s="40"/>
      <c r="K16" s="43" t="s">
        <v>42</v>
      </c>
      <c r="L16" s="44"/>
    </row>
    <row r="17" ht="14.25" customHeight="1" outlineLevel="1">
      <c r="A17" s="45">
        <v>2</v>
      </c>
      <c r="B17" s="46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89">
        <v>1</v>
      </c>
      <c r="B90" s="157" t="s">
        <v>155</v>
      </c>
      <c r="C90" s="158" t="s">
        <v>156</v>
      </c>
      <c r="D90" s="158" t="s">
        <v>157</v>
      </c>
      <c r="E90" s="159">
        <v>147745.54000000001</v>
      </c>
      <c r="F90" s="160" t="s">
        <v>272</v>
      </c>
      <c r="G90" s="161" t="s">
        <v>39</v>
      </c>
      <c r="H90" s="162" t="s">
        <v>357</v>
      </c>
      <c r="I90" s="40"/>
      <c r="J90" s="52"/>
      <c r="K90" s="55" t="s">
        <v>42</v>
      </c>
      <c r="L90" s="56"/>
    </row>
    <row r="91" ht="14.25" customHeight="1" outlineLevel="1">
      <c r="A91" s="45">
        <v>2</v>
      </c>
      <c r="B91" s="40" t="s">
        <v>155</v>
      </c>
      <c r="C91" s="40" t="s">
        <v>275</v>
      </c>
      <c r="D91" s="40" t="s">
        <v>157</v>
      </c>
      <c r="E91" s="94">
        <v>65609.240000000005</v>
      </c>
      <c r="F91" s="42" t="s">
        <v>272</v>
      </c>
      <c r="G91" s="42" t="s">
        <v>154</v>
      </c>
      <c r="H91" s="46" t="s">
        <v>357</v>
      </c>
      <c r="I91" s="40"/>
      <c r="J91" s="46"/>
      <c r="K91" s="49" t="s">
        <v>42</v>
      </c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171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46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8213354.7800000003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1284662.6099999985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697254.14000000001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>
        <v>697254.14000000001</v>
      </c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5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697254.14000000001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70062-00F1-42D9-9149-00000074001C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34.2812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'19'!C2+1</f>
        <v>46101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2833471.27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614473.90000000002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27855.299999999999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47366.839999999997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2060394.6100000001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24755.09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42803.93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 t="s">
        <v>465</v>
      </c>
      <c r="C16" s="40" t="s">
        <v>645</v>
      </c>
      <c r="D16" s="40" t="s">
        <v>646</v>
      </c>
      <c r="E16" s="94">
        <v>486090</v>
      </c>
      <c r="F16" s="42" t="s">
        <v>48</v>
      </c>
      <c r="G16" s="42"/>
      <c r="H16" s="40"/>
      <c r="I16" s="40"/>
      <c r="J16" s="40"/>
      <c r="K16" s="43" t="s">
        <v>42</v>
      </c>
      <c r="L16" s="44"/>
    </row>
    <row r="17" ht="14.25" customHeight="1" outlineLevel="1">
      <c r="A17" s="45">
        <v>2</v>
      </c>
      <c r="B17" s="88"/>
      <c r="C17" s="46" t="s">
        <v>647</v>
      </c>
      <c r="D17" s="46"/>
      <c r="E17" s="87">
        <v>3000000</v>
      </c>
      <c r="F17" s="48"/>
      <c r="G17" s="48"/>
      <c r="H17" s="46"/>
      <c r="I17" s="40"/>
      <c r="J17" s="46" t="s">
        <v>457</v>
      </c>
      <c r="K17" s="49" t="s">
        <v>42</v>
      </c>
      <c r="L17" s="50"/>
    </row>
    <row r="18" ht="14.25" customHeight="1" outlineLevel="1">
      <c r="A18" s="89">
        <v>3</v>
      </c>
      <c r="B18" s="90" t="s">
        <v>44</v>
      </c>
      <c r="C18" s="46" t="s">
        <v>45</v>
      </c>
      <c r="D18" s="46" t="s">
        <v>46</v>
      </c>
      <c r="E18" s="174" t="s">
        <v>454</v>
      </c>
      <c r="F18" s="48" t="s">
        <v>48</v>
      </c>
      <c r="G18" s="48"/>
      <c r="H18" s="46"/>
      <c r="I18" s="40"/>
      <c r="J18" s="46"/>
      <c r="K18" s="49"/>
      <c r="L18" s="50"/>
    </row>
    <row r="19" ht="14.25" customHeight="1" outlineLevel="1">
      <c r="A19" s="89">
        <v>4</v>
      </c>
      <c r="B19" s="155" t="s">
        <v>44</v>
      </c>
      <c r="C19" s="46" t="s">
        <v>150</v>
      </c>
      <c r="D19" s="46" t="s">
        <v>453</v>
      </c>
      <c r="E19" s="312">
        <v>5000000</v>
      </c>
      <c r="F19" s="48" t="s">
        <v>48</v>
      </c>
      <c r="G19" s="48"/>
      <c r="H19" s="46"/>
      <c r="I19" s="40"/>
      <c r="J19" s="46"/>
      <c r="K19" s="49" t="s">
        <v>42</v>
      </c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/>
      <c r="C90" s="52"/>
      <c r="D90" s="52"/>
      <c r="E90" s="53"/>
      <c r="F90" s="54"/>
      <c r="G90" s="54"/>
      <c r="H90" s="52"/>
      <c r="I90" s="40"/>
      <c r="J90" s="52"/>
      <c r="K90" s="55"/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 t="s">
        <v>445</v>
      </c>
      <c r="C101" s="313" t="s">
        <v>648</v>
      </c>
      <c r="D101" s="313" t="s">
        <v>649</v>
      </c>
      <c r="E101" s="314">
        <v>1710684</v>
      </c>
      <c r="F101" s="257" t="s">
        <v>650</v>
      </c>
      <c r="G101" s="54" t="s">
        <v>357</v>
      </c>
      <c r="H101" s="52"/>
      <c r="I101" s="40"/>
      <c r="J101" s="52"/>
      <c r="K101" s="55" t="s">
        <v>42</v>
      </c>
      <c r="L101" s="56"/>
    </row>
    <row r="102" ht="14.25" customHeight="1" outlineLevel="1">
      <c r="A102" s="39">
        <v>2</v>
      </c>
      <c r="B102" s="40"/>
      <c r="C102" s="52"/>
      <c r="D102" s="52"/>
      <c r="E102" s="53"/>
      <c r="F102" s="54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10196774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-7363302.7300000004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697254.14000000001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>
        <v>697254.14000000001</v>
      </c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5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697254.14000000001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30071-003A-4307-96B2-00C4008200E8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'20'!C2+1</f>
        <v>46102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0</v>
      </c>
      <c r="F4" s="12"/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/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/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/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/>
      <c r="F9" s="12"/>
      <c r="G9" s="12"/>
      <c r="H9" s="12"/>
      <c r="I9" s="12"/>
      <c r="J9" s="12"/>
    </row>
    <row r="10" ht="15" customHeight="1">
      <c r="A10" s="21" t="s">
        <v>6</v>
      </c>
      <c r="B10" s="18"/>
      <c r="C10" s="18"/>
      <c r="D10" s="19"/>
      <c r="E10" s="22"/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/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/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45">
        <v>2</v>
      </c>
      <c r="B17" s="46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/>
      <c r="C90" s="52"/>
      <c r="D90" s="52"/>
      <c r="E90" s="53"/>
      <c r="F90" s="54"/>
      <c r="G90" s="54"/>
      <c r="H90" s="52"/>
      <c r="I90" s="40"/>
      <c r="J90" s="52"/>
      <c r="K90" s="55"/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0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0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/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199999999999999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0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900AA-00B7-48C2-A7DB-00140070003B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'21'!C2+1</f>
        <v>46103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0</v>
      </c>
      <c r="F4" s="12"/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/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/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/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/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/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/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/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45">
        <v>2</v>
      </c>
      <c r="B17" s="46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/>
      <c r="C90" s="52"/>
      <c r="D90" s="52"/>
      <c r="E90" s="53"/>
      <c r="F90" s="54"/>
      <c r="G90" s="54"/>
      <c r="H90" s="52"/>
      <c r="I90" s="40"/>
      <c r="J90" s="52"/>
      <c r="K90" s="55"/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0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0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/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199999999999999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0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7003F-004B-4B7B-93D1-00A700360062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topLeftCell="A24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'22'!C2+1</f>
        <v>46104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3963253.9300000002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277491.70000000001</v>
      </c>
      <c r="F5" s="129">
        <f>E35+E36+E37+E38+E39+E40+E41+E42+E43+E44+E45+E46+'25'!E37+'25'!E38+'25'!E39+'25'!E76+'25'!E41+'25'!E42+'25'!E43+'25'!E44+'25'!E45+'25'!E46+E99+E100</f>
        <v>5038141.5</v>
      </c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27855.299999999999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47366.839999999997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2537844.4100000001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1014070.15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42803.93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45">
        <v>2</v>
      </c>
      <c r="B17" s="46"/>
      <c r="C17" s="46" t="s">
        <v>647</v>
      </c>
      <c r="D17" s="46"/>
      <c r="E17" s="315">
        <v>2500000</v>
      </c>
      <c r="F17" s="48"/>
      <c r="G17" s="48"/>
      <c r="H17" s="46"/>
      <c r="I17" s="40"/>
      <c r="J17" s="46"/>
      <c r="K17" s="49" t="s">
        <v>42</v>
      </c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89">
        <v>6</v>
      </c>
      <c r="B19" s="90" t="s">
        <v>44</v>
      </c>
      <c r="C19" s="46" t="s">
        <v>45</v>
      </c>
      <c r="D19" s="46" t="s">
        <v>46</v>
      </c>
      <c r="E19" s="174" t="s">
        <v>454</v>
      </c>
      <c r="F19" s="48" t="s">
        <v>48</v>
      </c>
      <c r="G19" s="48"/>
      <c r="H19" s="46"/>
      <c r="I19" s="40" t="s">
        <v>41</v>
      </c>
      <c r="J19" s="46"/>
      <c r="K19" s="49"/>
      <c r="L19" s="50"/>
    </row>
    <row r="20" ht="14.25" customHeight="1" outlineLevel="1">
      <c r="A20" s="89">
        <v>7</v>
      </c>
      <c r="B20" s="155" t="s">
        <v>44</v>
      </c>
      <c r="C20" s="46" t="s">
        <v>150</v>
      </c>
      <c r="D20" s="46" t="s">
        <v>453</v>
      </c>
      <c r="E20" s="316"/>
      <c r="F20" s="48" t="s">
        <v>48</v>
      </c>
      <c r="G20" s="48"/>
      <c r="H20" s="46"/>
      <c r="I20" s="40" t="s">
        <v>41</v>
      </c>
      <c r="J20" s="46"/>
      <c r="K20" s="49"/>
      <c r="L20" s="50"/>
    </row>
    <row r="21" ht="14.25" customHeight="1" outlineLevel="1">
      <c r="A21" s="45">
        <v>8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39">
        <v>9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10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45">
        <v>11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39">
        <v>12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13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45">
        <v>14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15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16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17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18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19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39">
        <v>20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s="32" customFormat="1" ht="19.5" customHeight="1" outlineLevel="1">
      <c r="A34" s="33"/>
      <c r="B34" s="34" t="s">
        <v>22</v>
      </c>
      <c r="C34" s="35"/>
      <c r="D34" s="36"/>
      <c r="E34" s="37"/>
      <c r="F34" s="34"/>
      <c r="G34" s="34"/>
      <c r="H34" s="34"/>
      <c r="I34" s="34"/>
      <c r="J34" s="34"/>
      <c r="K34" s="34"/>
      <c r="L34" s="38"/>
    </row>
    <row r="35" ht="14.25" customHeight="1" outlineLevel="1">
      <c r="A35" s="39">
        <v>1</v>
      </c>
      <c r="B35" s="124" t="s">
        <v>380</v>
      </c>
      <c r="C35" s="125" t="s">
        <v>651</v>
      </c>
      <c r="D35" s="125" t="s">
        <v>652</v>
      </c>
      <c r="E35" s="238">
        <v>900</v>
      </c>
      <c r="F35" s="127" t="s">
        <v>57</v>
      </c>
      <c r="G35" s="127" t="s">
        <v>289</v>
      </c>
      <c r="H35" s="40" t="s">
        <v>357</v>
      </c>
      <c r="I35" s="40" t="s">
        <v>41</v>
      </c>
      <c r="J35" s="40"/>
      <c r="K35" s="43" t="s">
        <v>42</v>
      </c>
      <c r="L35" s="44"/>
    </row>
    <row r="36" ht="14.25" customHeight="1" outlineLevel="1">
      <c r="A36" s="45">
        <v>2</v>
      </c>
      <c r="B36" s="46" t="s">
        <v>54</v>
      </c>
      <c r="C36" s="46" t="s">
        <v>653</v>
      </c>
      <c r="D36" s="46" t="s">
        <v>654</v>
      </c>
      <c r="E36" s="87">
        <v>100000</v>
      </c>
      <c r="F36" s="48" t="s">
        <v>57</v>
      </c>
      <c r="G36" s="48" t="s">
        <v>39</v>
      </c>
      <c r="H36" s="46" t="s">
        <v>357</v>
      </c>
      <c r="I36" s="40" t="s">
        <v>41</v>
      </c>
      <c r="J36" s="46"/>
      <c r="K36" s="49" t="s">
        <v>42</v>
      </c>
      <c r="L36" s="50"/>
    </row>
    <row r="37" ht="14.25" customHeight="1" outlineLevel="1">
      <c r="A37" s="45">
        <v>3</v>
      </c>
      <c r="B37" s="46" t="s">
        <v>54</v>
      </c>
      <c r="C37" s="46" t="s">
        <v>655</v>
      </c>
      <c r="D37" s="46" t="s">
        <v>656</v>
      </c>
      <c r="E37" s="87">
        <v>120000</v>
      </c>
      <c r="F37" s="48" t="s">
        <v>57</v>
      </c>
      <c r="G37" s="48" t="s">
        <v>39</v>
      </c>
      <c r="H37" s="46" t="s">
        <v>357</v>
      </c>
      <c r="I37" s="40" t="s">
        <v>41</v>
      </c>
      <c r="J37" s="46"/>
      <c r="K37" s="49" t="s">
        <v>42</v>
      </c>
      <c r="L37" s="50"/>
    </row>
    <row r="38" ht="14.25" customHeight="1" outlineLevel="1">
      <c r="A38" s="45">
        <v>4</v>
      </c>
      <c r="B38" s="46" t="s">
        <v>54</v>
      </c>
      <c r="C38" s="46" t="s">
        <v>657</v>
      </c>
      <c r="D38" s="46" t="s">
        <v>658</v>
      </c>
      <c r="E38" s="87">
        <v>85000</v>
      </c>
      <c r="F38" s="48" t="s">
        <v>57</v>
      </c>
      <c r="G38" s="48" t="s">
        <v>39</v>
      </c>
      <c r="H38" s="46" t="s">
        <v>357</v>
      </c>
      <c r="I38" s="40" t="s">
        <v>41</v>
      </c>
      <c r="J38" s="46"/>
      <c r="K38" s="49" t="s">
        <v>42</v>
      </c>
      <c r="L38" s="50"/>
    </row>
    <row r="39" ht="14.25" customHeight="1" outlineLevel="1">
      <c r="A39" s="45">
        <v>5</v>
      </c>
      <c r="B39" s="46" t="s">
        <v>54</v>
      </c>
      <c r="C39" s="46" t="s">
        <v>55</v>
      </c>
      <c r="D39" s="46" t="s">
        <v>659</v>
      </c>
      <c r="E39" s="87">
        <f>85000+85000</f>
        <v>170000</v>
      </c>
      <c r="F39" s="48" t="s">
        <v>57</v>
      </c>
      <c r="G39" s="48" t="s">
        <v>39</v>
      </c>
      <c r="H39" s="46" t="s">
        <v>357</v>
      </c>
      <c r="I39" s="40" t="s">
        <v>41</v>
      </c>
      <c r="J39" s="46"/>
      <c r="K39" s="49" t="s">
        <v>42</v>
      </c>
      <c r="L39" s="50"/>
    </row>
    <row r="40" ht="14.25" customHeight="1" outlineLevel="1">
      <c r="A40" s="45">
        <v>6</v>
      </c>
      <c r="B40" s="46" t="s">
        <v>54</v>
      </c>
      <c r="C40" s="46" t="s">
        <v>358</v>
      </c>
      <c r="D40" s="46" t="s">
        <v>660</v>
      </c>
      <c r="E40" s="87">
        <v>50000</v>
      </c>
      <c r="F40" s="48" t="s">
        <v>57</v>
      </c>
      <c r="G40" s="48" t="s">
        <v>39</v>
      </c>
      <c r="H40" s="46" t="s">
        <v>357</v>
      </c>
      <c r="I40" s="122"/>
      <c r="J40" s="46"/>
      <c r="K40" s="49" t="s">
        <v>42</v>
      </c>
      <c r="L40" s="50"/>
    </row>
    <row r="41" ht="14.25" customHeight="1" outlineLevel="1">
      <c r="A41" s="45">
        <v>7</v>
      </c>
      <c r="B41" s="46" t="s">
        <v>54</v>
      </c>
      <c r="C41" s="46" t="s">
        <v>661</v>
      </c>
      <c r="D41" s="46" t="s">
        <v>662</v>
      </c>
      <c r="E41" s="87">
        <v>75000</v>
      </c>
      <c r="F41" s="48" t="s">
        <v>57</v>
      </c>
      <c r="G41" s="48" t="s">
        <v>39</v>
      </c>
      <c r="H41" s="317" t="s">
        <v>357</v>
      </c>
      <c r="I41" s="288" t="s">
        <v>41</v>
      </c>
      <c r="J41" s="190" t="s">
        <v>663</v>
      </c>
      <c r="K41" s="49" t="s">
        <v>42</v>
      </c>
      <c r="L41" s="50"/>
    </row>
    <row r="42" ht="14.25" customHeight="1" outlineLevel="1">
      <c r="A42" s="45">
        <v>8</v>
      </c>
      <c r="B42" s="46" t="s">
        <v>54</v>
      </c>
      <c r="C42" s="46" t="s">
        <v>664</v>
      </c>
      <c r="D42" s="46" t="s">
        <v>665</v>
      </c>
      <c r="E42" s="87">
        <v>55000</v>
      </c>
      <c r="F42" s="48" t="s">
        <v>57</v>
      </c>
      <c r="G42" s="48" t="s">
        <v>39</v>
      </c>
      <c r="H42" s="317" t="s">
        <v>357</v>
      </c>
      <c r="I42" s="101" t="s">
        <v>41</v>
      </c>
      <c r="J42" s="121"/>
      <c r="K42" s="49" t="s">
        <v>42</v>
      </c>
      <c r="L42" s="50"/>
    </row>
    <row r="43" ht="14.25" customHeight="1" outlineLevel="1">
      <c r="A43" s="39">
        <v>9</v>
      </c>
      <c r="B43" s="46" t="s">
        <v>54</v>
      </c>
      <c r="C43" s="46" t="s">
        <v>666</v>
      </c>
      <c r="D43" s="46" t="s">
        <v>667</v>
      </c>
      <c r="E43" s="87">
        <v>72000</v>
      </c>
      <c r="F43" s="48" t="s">
        <v>57</v>
      </c>
      <c r="G43" s="48" t="s">
        <v>39</v>
      </c>
      <c r="H43" s="46" t="s">
        <v>357</v>
      </c>
      <c r="I43" s="40" t="s">
        <v>41</v>
      </c>
      <c r="J43" s="46" t="s">
        <v>663</v>
      </c>
      <c r="K43" s="49" t="s">
        <v>42</v>
      </c>
      <c r="L43" s="50"/>
    </row>
    <row r="44" ht="14.25" customHeight="1" outlineLevel="1">
      <c r="A44" s="45">
        <v>10</v>
      </c>
      <c r="B44" s="46" t="s">
        <v>54</v>
      </c>
      <c r="C44" s="46" t="s">
        <v>172</v>
      </c>
      <c r="D44" s="46" t="s">
        <v>668</v>
      </c>
      <c r="E44" s="87">
        <v>95000</v>
      </c>
      <c r="F44" s="48" t="s">
        <v>57</v>
      </c>
      <c r="G44" s="48" t="s">
        <v>39</v>
      </c>
      <c r="H44" s="46" t="s">
        <v>357</v>
      </c>
      <c r="I44" s="40" t="s">
        <v>41</v>
      </c>
      <c r="J44" s="46"/>
      <c r="K44" s="49" t="s">
        <v>42</v>
      </c>
      <c r="L44" s="50"/>
    </row>
    <row r="45" ht="14.25" customHeight="1" outlineLevel="1">
      <c r="A45" s="45">
        <v>11</v>
      </c>
      <c r="B45" s="46" t="s">
        <v>54</v>
      </c>
      <c r="C45" s="46" t="s">
        <v>62</v>
      </c>
      <c r="D45" s="46" t="s">
        <v>669</v>
      </c>
      <c r="E45" s="87">
        <f>57000+80000+93000+88000</f>
        <v>318000</v>
      </c>
      <c r="F45" s="48" t="s">
        <v>57</v>
      </c>
      <c r="G45" s="48" t="s">
        <v>39</v>
      </c>
      <c r="H45" s="46" t="s">
        <v>357</v>
      </c>
      <c r="I45" s="40" t="s">
        <v>41</v>
      </c>
      <c r="J45" s="46"/>
      <c r="K45" s="49" t="s">
        <v>42</v>
      </c>
      <c r="L45" s="50"/>
    </row>
    <row r="46" ht="14.25" customHeight="1" outlineLevel="1">
      <c r="A46" s="39">
        <v>12</v>
      </c>
      <c r="B46" s="46" t="s">
        <v>54</v>
      </c>
      <c r="C46" s="46" t="s">
        <v>64</v>
      </c>
      <c r="D46" s="46" t="s">
        <v>670</v>
      </c>
      <c r="E46" s="87">
        <f>40000+48000+75000+90000+40000+68000+69000+40000+70000</f>
        <v>540000</v>
      </c>
      <c r="F46" s="48" t="s">
        <v>57</v>
      </c>
      <c r="G46" s="48" t="s">
        <v>39</v>
      </c>
      <c r="H46" s="46" t="s">
        <v>357</v>
      </c>
      <c r="I46" s="40" t="s">
        <v>41</v>
      </c>
      <c r="J46" s="46" t="s">
        <v>663</v>
      </c>
      <c r="K46" s="49" t="s">
        <v>42</v>
      </c>
      <c r="L46" s="50"/>
    </row>
    <row r="47" ht="14.25" customHeight="1" outlineLevel="1">
      <c r="A47" s="45">
        <v>13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45">
        <v>14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15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16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17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18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19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39">
        <v>20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s="32" customFormat="1" ht="19.5" customHeight="1" outlineLevel="1">
      <c r="A55" s="33"/>
      <c r="B55" s="51" t="s">
        <v>23</v>
      </c>
      <c r="C55" s="35"/>
      <c r="D55" s="36"/>
      <c r="E55" s="37"/>
      <c r="F55" s="34"/>
      <c r="G55" s="34"/>
      <c r="H55" s="34"/>
      <c r="I55" s="34"/>
      <c r="J55" s="34"/>
      <c r="K55" s="34"/>
      <c r="L55" s="38"/>
    </row>
    <row r="56" ht="57" outlineLevel="1">
      <c r="A56" s="224">
        <v>1</v>
      </c>
      <c r="L56" s="56"/>
    </row>
    <row r="57" ht="57" outlineLevel="1">
      <c r="A57" s="89">
        <v>2</v>
      </c>
      <c r="L57" s="50"/>
    </row>
    <row r="58" ht="57" outlineLevel="1">
      <c r="A58" s="89">
        <v>3</v>
      </c>
      <c r="L58" s="50"/>
    </row>
    <row r="59" ht="14.4" outlineLevel="1">
      <c r="A59" s="45">
        <v>4</v>
      </c>
      <c r="L59" s="50"/>
    </row>
    <row r="60" ht="14.4" outlineLevel="1">
      <c r="A60" s="45">
        <v>5</v>
      </c>
      <c r="L60" s="50"/>
    </row>
    <row r="61" ht="14.4" outlineLevel="1">
      <c r="A61" s="45">
        <v>6</v>
      </c>
      <c r="L61" s="50"/>
    </row>
    <row r="62" ht="14.4" outlineLevel="1">
      <c r="A62" s="45">
        <v>7</v>
      </c>
      <c r="L62" s="50"/>
    </row>
    <row r="63" ht="14.4" outlineLevel="1">
      <c r="A63" s="45">
        <v>8</v>
      </c>
      <c r="L63" s="50"/>
    </row>
    <row r="64" ht="14.25" customHeight="1" outlineLevel="1">
      <c r="A64" s="39">
        <v>9</v>
      </c>
      <c r="L64" s="50"/>
    </row>
    <row r="65" ht="14.25" customHeight="1" outlineLevel="1">
      <c r="A65" s="45">
        <v>10</v>
      </c>
      <c r="L65" s="50"/>
    </row>
    <row r="66" ht="14.25" customHeight="1" outlineLevel="1">
      <c r="A66" s="45">
        <v>11</v>
      </c>
      <c r="L66" s="50"/>
    </row>
    <row r="67" ht="14.25" customHeight="1" outlineLevel="1">
      <c r="A67" s="45">
        <v>12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13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14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15</v>
      </c>
      <c r="B70" s="57"/>
      <c r="C70" s="57"/>
      <c r="D70" s="57"/>
      <c r="E70" s="58"/>
      <c r="F70" s="59"/>
      <c r="G70" s="59"/>
      <c r="H70" s="57"/>
      <c r="I70" s="40"/>
      <c r="J70" s="57"/>
      <c r="K70" s="60"/>
      <c r="L70" s="61"/>
    </row>
    <row r="71" s="32" customFormat="1" ht="19.5" customHeight="1" outlineLevel="1">
      <c r="A71" s="33"/>
      <c r="B71" s="34" t="s">
        <v>24</v>
      </c>
      <c r="C71" s="35"/>
      <c r="D71" s="36"/>
      <c r="E71" s="37"/>
      <c r="F71" s="34"/>
      <c r="G71" s="34"/>
      <c r="H71" s="34"/>
      <c r="I71" s="34"/>
      <c r="J71" s="34"/>
      <c r="K71" s="34"/>
      <c r="L71" s="38"/>
    </row>
    <row r="72" ht="14.25" customHeight="1" outlineLevel="1">
      <c r="A72" s="62">
        <v>1</v>
      </c>
      <c r="B72" s="46"/>
      <c r="C72" s="242"/>
      <c r="D72" s="242"/>
      <c r="E72" s="298"/>
      <c r="F72" s="243"/>
      <c r="G72" s="48"/>
      <c r="H72" s="46"/>
      <c r="I72" s="40"/>
      <c r="J72" s="46"/>
      <c r="K72" s="55"/>
      <c r="L72" s="56"/>
    </row>
    <row r="73" ht="14.25" customHeight="1" outlineLevel="1">
      <c r="A73" s="45">
        <v>2</v>
      </c>
      <c r="B73" s="46"/>
      <c r="C73" s="242"/>
      <c r="D73" s="242"/>
      <c r="E73" s="298"/>
      <c r="F73" s="243"/>
      <c r="G73" s="48"/>
      <c r="H73" s="46"/>
      <c r="I73" s="40"/>
      <c r="J73" s="46"/>
      <c r="K73" s="49"/>
      <c r="L73" s="50"/>
    </row>
    <row r="74" ht="14.25" customHeight="1" outlineLevel="1">
      <c r="A74" s="45">
        <v>3</v>
      </c>
      <c r="B74" s="46"/>
      <c r="C74" s="46"/>
      <c r="D74" s="46"/>
      <c r="E74" s="47"/>
      <c r="F74" s="48"/>
      <c r="G74" s="48"/>
      <c r="H74" s="46"/>
      <c r="I74" s="40"/>
      <c r="J74" s="46"/>
      <c r="K74" s="49"/>
      <c r="L74" s="50"/>
    </row>
    <row r="75" ht="14.25" customHeight="1" outlineLevel="1">
      <c r="A75" s="45">
        <v>4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5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6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7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8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9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10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11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12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13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14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15</v>
      </c>
      <c r="B86" s="57"/>
      <c r="C86" s="57"/>
      <c r="D86" s="57"/>
      <c r="E86" s="58"/>
      <c r="F86" s="59"/>
      <c r="G86" s="59"/>
      <c r="H86" s="57"/>
      <c r="I86" s="40"/>
      <c r="J86" s="57"/>
      <c r="K86" s="60"/>
      <c r="L86" s="61"/>
    </row>
    <row r="87" s="32" customFormat="1" ht="19.5" customHeight="1" outlineLevel="1">
      <c r="A87" s="33"/>
      <c r="B87" s="34" t="s">
        <v>25</v>
      </c>
      <c r="C87" s="35"/>
      <c r="D87" s="36"/>
      <c r="E87" s="37"/>
      <c r="F87" s="34"/>
      <c r="G87" s="34"/>
      <c r="H87" s="34"/>
      <c r="I87" s="34"/>
      <c r="J87" s="34"/>
      <c r="K87" s="34"/>
      <c r="L87" s="38"/>
    </row>
    <row r="88" ht="14.25" customHeight="1" outlineLevel="1">
      <c r="A88" s="45">
        <v>1</v>
      </c>
      <c r="B88" s="52"/>
      <c r="C88" s="52"/>
      <c r="D88" s="52"/>
      <c r="E88" s="53"/>
      <c r="F88" s="54"/>
      <c r="G88" s="54"/>
      <c r="H88" s="52"/>
      <c r="I88" s="40"/>
      <c r="J88" s="52"/>
      <c r="K88" s="55"/>
      <c r="L88" s="56"/>
    </row>
    <row r="89" ht="14.25" customHeight="1" outlineLevel="1">
      <c r="A89" s="45">
        <v>2</v>
      </c>
      <c r="B89" s="46"/>
      <c r="C89" s="46"/>
      <c r="D89" s="46"/>
      <c r="E89" s="47"/>
      <c r="F89" s="48"/>
      <c r="G89" s="48"/>
      <c r="H89" s="46"/>
      <c r="I89" s="40"/>
      <c r="J89" s="46"/>
      <c r="K89" s="49"/>
      <c r="L89" s="50"/>
    </row>
    <row r="90" ht="14.4" outlineLevel="1">
      <c r="A90" s="45">
        <v>3</v>
      </c>
      <c r="B90" s="46"/>
      <c r="C90" s="46"/>
      <c r="D90" s="46"/>
      <c r="E90" s="47"/>
      <c r="F90" s="48"/>
      <c r="G90" s="48"/>
      <c r="H90" s="46"/>
      <c r="I90" s="40"/>
      <c r="J90" s="46"/>
      <c r="K90" s="49"/>
      <c r="L90" s="50"/>
    </row>
    <row r="91" ht="14.25" customHeight="1" outlineLevel="1">
      <c r="A91" s="45">
        <v>4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5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6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7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8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9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10</v>
      </c>
      <c r="B97" s="57"/>
      <c r="C97" s="57"/>
      <c r="D97" s="57"/>
      <c r="E97" s="58"/>
      <c r="F97" s="59"/>
      <c r="G97" s="59"/>
      <c r="H97" s="57"/>
      <c r="I97" s="40"/>
      <c r="J97" s="57"/>
      <c r="K97" s="60"/>
      <c r="L97" s="61"/>
    </row>
    <row r="98" s="32" customFormat="1" ht="19.5" customHeight="1" outlineLevel="1">
      <c r="A98" s="33"/>
      <c r="B98" s="34" t="s">
        <v>26</v>
      </c>
      <c r="C98" s="35"/>
      <c r="D98" s="36"/>
      <c r="E98" s="37"/>
      <c r="F98" s="34"/>
      <c r="G98" s="34"/>
      <c r="H98" s="34"/>
      <c r="I98" s="34"/>
      <c r="J98" s="34"/>
      <c r="K98" s="34"/>
      <c r="L98" s="38"/>
    </row>
    <row r="99" ht="14.4" outlineLevel="1">
      <c r="A99" s="45">
        <v>1</v>
      </c>
      <c r="B99" s="46" t="s">
        <v>445</v>
      </c>
      <c r="C99" s="46" t="s">
        <v>446</v>
      </c>
      <c r="D99" s="46" t="s">
        <v>671</v>
      </c>
      <c r="E99" s="295">
        <v>2159091.5</v>
      </c>
      <c r="F99" s="48" t="s">
        <v>650</v>
      </c>
      <c r="G99" s="48"/>
      <c r="H99" s="46" t="s">
        <v>357</v>
      </c>
      <c r="I99" s="40"/>
      <c r="J99" s="46"/>
      <c r="K99" s="49"/>
      <c r="L99" s="50"/>
    </row>
    <row r="100" ht="14.25" customHeight="1" outlineLevel="1">
      <c r="A100" s="45">
        <v>2</v>
      </c>
      <c r="B100" s="46" t="s">
        <v>445</v>
      </c>
      <c r="C100" s="46" t="s">
        <v>446</v>
      </c>
      <c r="D100" s="46" t="s">
        <v>671</v>
      </c>
      <c r="E100" s="295">
        <v>606000</v>
      </c>
      <c r="F100" s="48" t="s">
        <v>672</v>
      </c>
      <c r="G100" s="48"/>
      <c r="H100" s="46" t="s">
        <v>357</v>
      </c>
      <c r="I100" s="40"/>
      <c r="J100" s="46"/>
      <c r="K100" s="49"/>
      <c r="L100" s="50"/>
    </row>
    <row r="101" ht="14.25" customHeight="1" outlineLevel="1">
      <c r="A101" s="39">
        <v>3</v>
      </c>
      <c r="B101" s="40"/>
      <c r="C101" s="40"/>
      <c r="D101" s="40"/>
      <c r="E101" s="41"/>
      <c r="F101" s="42"/>
      <c r="G101" s="42"/>
      <c r="H101" s="40"/>
      <c r="I101" s="40"/>
      <c r="J101" s="40"/>
      <c r="K101" s="43"/>
      <c r="L101" s="44"/>
    </row>
    <row r="102" ht="14.25" customHeight="1" outlineLevel="1">
      <c r="A102" s="45">
        <v>4</v>
      </c>
      <c r="B102" s="46"/>
      <c r="C102" s="46"/>
      <c r="D102" s="46"/>
      <c r="E102" s="47"/>
      <c r="F102" s="48"/>
      <c r="G102" s="48"/>
      <c r="H102" s="46"/>
      <c r="I102" s="40"/>
      <c r="J102" s="46"/>
      <c r="K102" s="49"/>
      <c r="L102" s="50"/>
    </row>
    <row r="103" ht="14.25" customHeight="1" outlineLevel="1">
      <c r="A103" s="63">
        <v>5</v>
      </c>
      <c r="B103" s="57"/>
      <c r="C103" s="57"/>
      <c r="D103" s="57"/>
      <c r="E103" s="58"/>
      <c r="F103" s="59"/>
      <c r="G103" s="59"/>
      <c r="H103" s="57"/>
      <c r="I103" s="57"/>
      <c r="J103" s="57"/>
      <c r="K103" s="60"/>
      <c r="L103" s="61"/>
    </row>
    <row r="104" ht="23.100000000000001" customHeight="1">
      <c r="A104" s="64" t="s">
        <v>27</v>
      </c>
      <c r="B104" s="65"/>
      <c r="C104" s="65"/>
      <c r="D104" s="65"/>
      <c r="E104" s="66">
        <f>SUM(E15:E103)</f>
        <v>6945991.5</v>
      </c>
    </row>
    <row r="105" ht="23.100000000000001" customHeight="1">
      <c r="A105" s="64" t="s">
        <v>28</v>
      </c>
      <c r="B105" s="65"/>
      <c r="C105" s="65"/>
      <c r="D105" s="65"/>
      <c r="E105" s="66">
        <f>E4-E104</f>
        <v>-2982737.5699999998</v>
      </c>
      <c r="F105" s="67"/>
      <c r="G105" s="67"/>
    </row>
    <row r="106" ht="24.75" customHeight="1">
      <c r="E106" s="1"/>
    </row>
    <row r="107" ht="30" customHeight="1">
      <c r="A107" s="68" t="s">
        <v>29</v>
      </c>
      <c r="B107" s="69"/>
      <c r="C107" s="69"/>
      <c r="D107" s="70"/>
      <c r="E107" s="71">
        <f>SUM(E108:E111)</f>
        <v>697254.14000000001</v>
      </c>
      <c r="F107" s="12"/>
      <c r="G107" s="12"/>
      <c r="H107" s="12"/>
      <c r="I107" s="12"/>
      <c r="J107" s="12"/>
    </row>
    <row r="108" ht="15" customHeight="1">
      <c r="A108" s="13" t="s">
        <v>30</v>
      </c>
      <c r="B108" s="14"/>
      <c r="C108" s="14"/>
      <c r="D108" s="15"/>
      <c r="E108" s="16">
        <v>697254.14000000001</v>
      </c>
      <c r="F108" s="12"/>
      <c r="G108" s="12"/>
      <c r="H108" s="12"/>
      <c r="I108" s="12"/>
      <c r="J108" s="12"/>
    </row>
    <row r="109">
      <c r="A109" s="72"/>
      <c r="B109" s="73"/>
      <c r="C109" s="73"/>
      <c r="D109" s="74"/>
      <c r="E109" s="75"/>
      <c r="F109" s="12"/>
      <c r="G109" s="12"/>
      <c r="H109" s="12"/>
      <c r="I109" s="12"/>
      <c r="J109" s="12"/>
    </row>
    <row r="110">
      <c r="A110" s="21"/>
      <c r="B110" s="18"/>
      <c r="C110" s="18"/>
      <c r="D110" s="19"/>
      <c r="E110" s="20"/>
      <c r="F110" s="12"/>
      <c r="G110" s="12"/>
      <c r="H110" s="12"/>
      <c r="I110" s="12"/>
      <c r="J110" s="12"/>
    </row>
    <row r="111" ht="15">
      <c r="A111" s="76"/>
      <c r="B111" s="24"/>
      <c r="C111" s="24"/>
      <c r="D111" s="25"/>
      <c r="E111" s="26"/>
      <c r="F111" s="27"/>
      <c r="G111" s="27"/>
      <c r="H111" s="27"/>
      <c r="I111" s="27"/>
      <c r="J111" s="27"/>
    </row>
    <row r="112" ht="6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</row>
    <row r="113" ht="28.5" outlineLevel="1">
      <c r="A113" s="28" t="s">
        <v>9</v>
      </c>
      <c r="B113" s="28" t="s">
        <v>10</v>
      </c>
      <c r="C113" s="28" t="s">
        <v>11</v>
      </c>
      <c r="D113" s="28" t="s">
        <v>12</v>
      </c>
      <c r="E113" s="29" t="s">
        <v>13</v>
      </c>
      <c r="F113" s="28" t="s">
        <v>14</v>
      </c>
      <c r="G113" s="30" t="s">
        <v>15</v>
      </c>
      <c r="H113" s="28" t="s">
        <v>16</v>
      </c>
      <c r="I113" s="31" t="s">
        <v>17</v>
      </c>
      <c r="J113" s="28" t="s">
        <v>18</v>
      </c>
      <c r="K113" s="28" t="s">
        <v>19</v>
      </c>
      <c r="L113" s="28" t="s">
        <v>20</v>
      </c>
    </row>
    <row r="114" ht="15" outlineLevel="1">
      <c r="A114" s="77"/>
      <c r="B114" s="78" t="s">
        <v>31</v>
      </c>
      <c r="C114" s="79"/>
      <c r="D114" s="80"/>
      <c r="E114" s="81"/>
      <c r="F114" s="78"/>
      <c r="G114" s="78"/>
      <c r="H114" s="78"/>
      <c r="I114" s="78"/>
      <c r="J114" s="78"/>
      <c r="K114" s="78"/>
      <c r="L114" s="78"/>
    </row>
    <row r="115" hidden="1" outlineLevel="1">
      <c r="A115" s="39">
        <v>1</v>
      </c>
      <c r="B115" s="40"/>
      <c r="C115" s="40"/>
      <c r="D115" s="40"/>
      <c r="E115" s="41"/>
      <c r="F115" s="42"/>
      <c r="G115" s="42"/>
      <c r="H115" s="40"/>
      <c r="I115" s="40"/>
      <c r="J115" s="40"/>
      <c r="K115" s="43"/>
      <c r="L115" s="44"/>
    </row>
    <row r="116" hidden="1" outlineLevel="1">
      <c r="A116" s="45">
        <v>2</v>
      </c>
      <c r="B116" s="46"/>
      <c r="C116" s="46"/>
      <c r="D116" s="46"/>
      <c r="E116" s="47"/>
      <c r="F116" s="48"/>
      <c r="G116" s="48"/>
      <c r="H116" s="46"/>
      <c r="I116" s="40"/>
      <c r="J116" s="46"/>
      <c r="K116" s="49"/>
      <c r="L116" s="50"/>
    </row>
    <row r="117" hidden="1" outlineLevel="1">
      <c r="A117" s="45">
        <v>3</v>
      </c>
      <c r="B117" s="46"/>
      <c r="C117" s="46"/>
      <c r="D117" s="46"/>
      <c r="E117" s="47"/>
      <c r="F117" s="48"/>
      <c r="G117" s="48"/>
      <c r="H117" s="46"/>
      <c r="I117" s="40"/>
      <c r="J117" s="46"/>
      <c r="K117" s="49"/>
      <c r="L117" s="50"/>
    </row>
    <row r="118" hidden="1" outlineLevel="1">
      <c r="A118" s="45">
        <v>4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ht="15.75" hidden="1" customHeight="1" outlineLevel="1">
      <c r="A119" s="45">
        <v>5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hidden="1" outlineLevel="1">
      <c r="A120" s="45">
        <v>6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idden="1" outlineLevel="1">
      <c r="A121" s="45">
        <v>7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hidden="1" outlineLevel="1">
      <c r="A122" s="45">
        <v>8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hidden="1" outlineLevel="1">
      <c r="A123" s="39">
        <v>9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hidden="1" outlineLevel="1">
      <c r="A124" s="45">
        <v>10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hidden="1" outlineLevel="1">
      <c r="A125" s="45">
        <v>11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hidden="1" outlineLevel="1">
      <c r="A126" s="45">
        <v>12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hidden="1" outlineLevel="1">
      <c r="A127" s="45">
        <v>13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hidden="1" outlineLevel="1">
      <c r="A128" s="45">
        <v>14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ht="15" hidden="1" outlineLevel="1">
      <c r="A129" s="45">
        <v>15</v>
      </c>
      <c r="B129" s="57"/>
      <c r="C129" s="57"/>
      <c r="D129" s="57"/>
      <c r="E129" s="58"/>
      <c r="F129" s="59"/>
      <c r="G129" s="59"/>
      <c r="H129" s="57"/>
      <c r="I129" s="40"/>
      <c r="J129" s="57"/>
      <c r="K129" s="60"/>
      <c r="L129" s="61"/>
    </row>
    <row r="130" ht="15" outlineLevel="1">
      <c r="A130" s="77"/>
      <c r="B130" s="78" t="s">
        <v>32</v>
      </c>
      <c r="C130" s="79"/>
      <c r="D130" s="80"/>
      <c r="E130" s="81"/>
      <c r="F130" s="78"/>
      <c r="G130" s="78"/>
      <c r="H130" s="78"/>
      <c r="I130" s="78"/>
      <c r="J130" s="78"/>
      <c r="K130" s="78"/>
      <c r="L130" s="78"/>
    </row>
    <row r="131" hidden="1" outlineLevel="1">
      <c r="A131" s="62">
        <v>1</v>
      </c>
      <c r="B131" s="52"/>
      <c r="C131" s="52"/>
      <c r="D131" s="52"/>
      <c r="E131" s="53"/>
      <c r="F131" s="54"/>
      <c r="G131" s="54"/>
      <c r="H131" s="52"/>
      <c r="I131" s="40"/>
      <c r="J131" s="52"/>
      <c r="K131" s="55"/>
      <c r="L131" s="56"/>
    </row>
    <row r="132" hidden="1" outlineLevel="1">
      <c r="A132" s="45">
        <v>2</v>
      </c>
      <c r="B132" s="46"/>
      <c r="C132" s="46"/>
      <c r="D132" s="46"/>
      <c r="E132" s="47"/>
      <c r="F132" s="48"/>
      <c r="G132" s="48"/>
      <c r="H132" s="46"/>
      <c r="I132" s="40"/>
      <c r="J132" s="46"/>
      <c r="K132" s="49"/>
      <c r="L132" s="50"/>
    </row>
    <row r="133" hidden="1" outlineLevel="1">
      <c r="A133" s="45">
        <v>3</v>
      </c>
      <c r="B133" s="46"/>
      <c r="C133" s="46"/>
      <c r="D133" s="46"/>
      <c r="E133" s="47"/>
      <c r="F133" s="48"/>
      <c r="G133" s="48"/>
      <c r="H133" s="46"/>
      <c r="I133" s="40"/>
      <c r="J133" s="46"/>
      <c r="K133" s="49"/>
      <c r="L133" s="50"/>
    </row>
    <row r="134" hidden="1" outlineLevel="1">
      <c r="A134" s="45">
        <v>4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hidden="1" outlineLevel="1">
      <c r="A135" s="45">
        <v>5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hidden="1" outlineLevel="1">
      <c r="A136" s="45">
        <v>6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hidden="1" outlineLevel="1">
      <c r="A137" s="45">
        <v>7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hidden="1" outlineLevel="1">
      <c r="A138" s="45">
        <v>8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hidden="1" outlineLevel="1">
      <c r="A139" s="45">
        <v>9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hidden="1" outlineLevel="1">
      <c r="A140" s="45">
        <v>10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hidden="1" outlineLevel="1">
      <c r="A141" s="45">
        <v>11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hidden="1" outlineLevel="1">
      <c r="A142" s="45">
        <v>12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hidden="1" outlineLevel="1">
      <c r="A143" s="45">
        <v>13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hidden="1" outlineLevel="1">
      <c r="A144" s="45">
        <v>14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ht="15" hidden="1" outlineLevel="1">
      <c r="A145" s="45">
        <v>15</v>
      </c>
      <c r="B145" s="57"/>
      <c r="C145" s="57"/>
      <c r="D145" s="57"/>
      <c r="E145" s="58"/>
      <c r="F145" s="59"/>
      <c r="G145" s="59"/>
      <c r="H145" s="57"/>
      <c r="I145" s="40"/>
      <c r="J145" s="57"/>
      <c r="K145" s="60"/>
      <c r="L145" s="61"/>
    </row>
    <row r="146" ht="15" outlineLevel="1">
      <c r="A146" s="77"/>
      <c r="B146" s="78" t="s">
        <v>25</v>
      </c>
      <c r="C146" s="79"/>
      <c r="D146" s="80"/>
      <c r="E146" s="81"/>
      <c r="F146" s="78"/>
      <c r="G146" s="78"/>
      <c r="H146" s="78"/>
      <c r="I146" s="78"/>
      <c r="J146" s="78"/>
      <c r="K146" s="78"/>
      <c r="L146" s="78"/>
    </row>
    <row r="147" outlineLevel="1">
      <c r="A147" s="45">
        <v>1</v>
      </c>
      <c r="B147" s="52" t="s">
        <v>142</v>
      </c>
      <c r="C147" s="52" t="s">
        <v>143</v>
      </c>
      <c r="D147" s="52" t="s">
        <v>144</v>
      </c>
      <c r="E147" s="128">
        <f>209244+444644</f>
        <v>653888</v>
      </c>
      <c r="F147" s="54" t="s">
        <v>673</v>
      </c>
      <c r="G147" s="54"/>
      <c r="H147" s="52" t="s">
        <v>289</v>
      </c>
      <c r="I147" s="40" t="s">
        <v>674</v>
      </c>
      <c r="J147" s="52"/>
      <c r="K147" s="55" t="s">
        <v>42</v>
      </c>
      <c r="L147" s="56"/>
    </row>
    <row r="148" outlineLevel="1">
      <c r="A148" s="45">
        <v>2</v>
      </c>
      <c r="B148" s="88"/>
      <c r="C148" s="88"/>
      <c r="D148" s="88"/>
      <c r="E148" s="192"/>
      <c r="F148" s="99"/>
      <c r="G148" s="48"/>
      <c r="H148" s="46"/>
      <c r="I148" s="40"/>
      <c r="J148" s="46"/>
      <c r="K148" s="49"/>
      <c r="L148" s="50"/>
    </row>
    <row r="149" outlineLevel="1">
      <c r="A149" s="89">
        <v>3</v>
      </c>
      <c r="B149" s="172" t="s">
        <v>155</v>
      </c>
      <c r="C149" s="172" t="s">
        <v>275</v>
      </c>
      <c r="D149" s="172" t="s">
        <v>274</v>
      </c>
      <c r="E149" s="173">
        <v>2827</v>
      </c>
      <c r="F149" s="172" t="s">
        <v>675</v>
      </c>
      <c r="G149" s="214"/>
      <c r="H149" s="46"/>
      <c r="I149" s="40"/>
      <c r="J149" s="46"/>
      <c r="K149" s="49" t="s">
        <v>42</v>
      </c>
      <c r="L149" s="50"/>
    </row>
    <row r="150" outlineLevel="1">
      <c r="A150" s="89">
        <v>4</v>
      </c>
      <c r="B150" s="172" t="s">
        <v>155</v>
      </c>
      <c r="C150" s="172" t="s">
        <v>143</v>
      </c>
      <c r="D150" s="172" t="s">
        <v>144</v>
      </c>
      <c r="E150" s="173">
        <f>423</f>
        <v>423</v>
      </c>
      <c r="F150" s="172" t="s">
        <v>676</v>
      </c>
      <c r="G150" s="214"/>
      <c r="H150" s="46"/>
      <c r="I150" s="40"/>
      <c r="J150" s="46"/>
      <c r="K150" s="49" t="s">
        <v>42</v>
      </c>
      <c r="L150" s="50"/>
    </row>
    <row r="151" outlineLevel="1">
      <c r="A151" s="45">
        <v>5</v>
      </c>
      <c r="B151" s="40"/>
      <c r="C151" s="40"/>
      <c r="D151" s="40"/>
      <c r="E151" s="41"/>
      <c r="F151" s="42"/>
      <c r="G151" s="48"/>
      <c r="H151" s="46"/>
      <c r="I151" s="40"/>
      <c r="J151" s="46"/>
      <c r="K151" s="49"/>
      <c r="L151" s="50"/>
    </row>
    <row r="152" outlineLevel="1">
      <c r="A152" s="45">
        <v>6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7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8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9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ht="15" outlineLevel="1">
      <c r="A156" s="45">
        <v>10</v>
      </c>
      <c r="B156" s="57"/>
      <c r="C156" s="57"/>
      <c r="D156" s="57"/>
      <c r="E156" s="58"/>
      <c r="F156" s="59"/>
      <c r="G156" s="59"/>
      <c r="H156" s="57"/>
      <c r="I156" s="40"/>
      <c r="J156" s="57"/>
      <c r="K156" s="60"/>
      <c r="L156" s="61"/>
    </row>
    <row r="157" ht="15" outlineLevel="1">
      <c r="A157" s="77"/>
      <c r="B157" s="78" t="s">
        <v>26</v>
      </c>
      <c r="C157" s="79"/>
      <c r="D157" s="80"/>
      <c r="E157" s="81"/>
      <c r="F157" s="78"/>
      <c r="G157" s="78"/>
      <c r="H157" s="78"/>
      <c r="I157" s="78"/>
      <c r="J157" s="78"/>
      <c r="K157" s="78"/>
      <c r="L157" s="78"/>
    </row>
    <row r="158" outlineLevel="1">
      <c r="A158" s="62">
        <v>1</v>
      </c>
      <c r="B158" s="52"/>
      <c r="C158" s="52"/>
      <c r="D158" s="52"/>
      <c r="E158" s="53"/>
      <c r="F158" s="54"/>
      <c r="G158" s="54"/>
      <c r="H158" s="52"/>
      <c r="I158" s="40"/>
      <c r="J158" s="52"/>
      <c r="K158" s="55"/>
      <c r="L158" s="56"/>
    </row>
    <row r="159" outlineLevel="1">
      <c r="A159" s="39">
        <v>2</v>
      </c>
      <c r="B159" s="40"/>
      <c r="C159" s="40"/>
      <c r="D159" s="40"/>
      <c r="E159" s="41"/>
      <c r="F159" s="42"/>
      <c r="G159" s="42"/>
      <c r="H159" s="40"/>
      <c r="I159" s="40"/>
      <c r="J159" s="40"/>
      <c r="K159" s="43"/>
      <c r="L159" s="44"/>
    </row>
    <row r="160" outlineLevel="1">
      <c r="A160" s="39">
        <v>3</v>
      </c>
      <c r="B160" s="40"/>
      <c r="C160" s="40"/>
      <c r="D160" s="40"/>
      <c r="E160" s="41"/>
      <c r="F160" s="42"/>
      <c r="G160" s="42"/>
      <c r="H160" s="40"/>
      <c r="I160" s="40"/>
      <c r="J160" s="40"/>
      <c r="K160" s="43"/>
      <c r="L160" s="44"/>
    </row>
    <row r="161" outlineLevel="1">
      <c r="A161" s="45">
        <v>4</v>
      </c>
      <c r="B161" s="46"/>
      <c r="C161" s="46"/>
      <c r="D161" s="46"/>
      <c r="E161" s="47"/>
      <c r="F161" s="48"/>
      <c r="G161" s="48"/>
      <c r="H161" s="46"/>
      <c r="I161" s="40"/>
      <c r="J161" s="46"/>
      <c r="K161" s="49"/>
      <c r="L161" s="50"/>
    </row>
    <row r="162" ht="15" outlineLevel="1">
      <c r="A162" s="63">
        <v>5</v>
      </c>
      <c r="B162" s="57"/>
      <c r="C162" s="57"/>
      <c r="D162" s="57"/>
      <c r="E162" s="58"/>
      <c r="F162" s="59"/>
      <c r="G162" s="59"/>
      <c r="H162" s="57"/>
      <c r="I162" s="57"/>
      <c r="J162" s="57"/>
      <c r="K162" s="60"/>
      <c r="L162" s="61"/>
    </row>
    <row r="163" ht="23.100000000000001" customHeight="1">
      <c r="A163" s="82" t="s">
        <v>33</v>
      </c>
      <c r="B163" s="83"/>
      <c r="C163" s="83"/>
      <c r="D163" s="84"/>
      <c r="E163" s="85">
        <f>SUM(E115:E162)</f>
        <v>657138</v>
      </c>
    </row>
    <row r="164" ht="23.100000000000001" customHeight="1">
      <c r="A164" s="82" t="s">
        <v>28</v>
      </c>
      <c r="B164" s="83"/>
      <c r="C164" s="83"/>
      <c r="D164" s="84"/>
      <c r="E164" s="85">
        <f>E107-E163</f>
        <v>40116.140000000014</v>
      </c>
      <c r="F164" s="67"/>
      <c r="G164" s="67"/>
    </row>
    <row r="165" ht="14.25">
      <c r="E165" s="1"/>
    </row>
    <row r="166" ht="14.25">
      <c r="E166" s="1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4:D104"/>
    <mergeCell ref="A105:D105"/>
    <mergeCell ref="A107:D107"/>
    <mergeCell ref="A108:D108"/>
    <mergeCell ref="A109:D109"/>
    <mergeCell ref="A110:D110"/>
    <mergeCell ref="A111:D111"/>
    <mergeCell ref="A163:D163"/>
    <mergeCell ref="A164:D16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90010-0017-4131-AAB3-00B5004000BF}" type="list" allowBlank="1" errorStyle="stop" imeMode="noControl" operator="between" showDropDown="0" showErrorMessage="1" showInputMessage="1">
          <x14:formula1>
            <xm:f>ДаНет</xm:f>
          </x14:formula1>
          <xm:sqref>I35:I40 I42:I54 I67:I70 I73:I86 I88:I97 I99:I103 I115:I129 I131:I145 I147:I156 I158:I162 I16:I33</xm:sqref>
        </x14:dataValidation>
        <x14:dataValidation xr:uid="{004A0043-008B-470E-AE52-001900D40099}" type="list" allowBlank="1" errorStyle="stop" imeMode="noControl" operator="between" showDropDown="0" showErrorMessage="1" showInputMessage="1">
          <x14:formula1>
            <xm:f>ДаНет</xm:f>
          </x14:formula1>
          <xm:sqref>I72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30.57421875"/>
    <col customWidth="1" min="4" max="4" style="1" width="32.28125"/>
    <col customWidth="1" min="5" max="5" style="1" width="26"/>
    <col customWidth="1" min="6" max="6" style="1" width="38.281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'23'!C2+1</f>
        <v>46105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10200091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5053775.5700000003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26252.91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47366.839999999997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 t="s">
        <v>677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4014070.1499999999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1042803.9300000001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45">
        <v>2</v>
      </c>
      <c r="B17" s="88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89">
        <v>3</v>
      </c>
      <c r="B18" s="90" t="s">
        <v>44</v>
      </c>
      <c r="C18" s="46" t="s">
        <v>45</v>
      </c>
      <c r="D18" s="46" t="s">
        <v>46</v>
      </c>
      <c r="E18" s="174" t="s">
        <v>454</v>
      </c>
      <c r="F18" s="48" t="s">
        <v>48</v>
      </c>
      <c r="G18" s="48"/>
      <c r="H18" s="46"/>
      <c r="I18" s="40"/>
      <c r="J18" s="46"/>
      <c r="K18" s="49"/>
      <c r="L18" s="50"/>
    </row>
    <row r="19" ht="14.25" customHeight="1" outlineLevel="1">
      <c r="A19" s="89">
        <v>4</v>
      </c>
      <c r="B19" s="155" t="s">
        <v>44</v>
      </c>
      <c r="C19" s="46" t="s">
        <v>150</v>
      </c>
      <c r="D19" s="46" t="s">
        <v>453</v>
      </c>
      <c r="E19" s="312">
        <v>5000000</v>
      </c>
      <c r="F19" s="48" t="s">
        <v>48</v>
      </c>
      <c r="G19" s="48"/>
      <c r="H19" s="46"/>
      <c r="I19" s="40"/>
      <c r="J19" s="46"/>
      <c r="K19" s="49" t="s">
        <v>42</v>
      </c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46" t="s">
        <v>155</v>
      </c>
      <c r="C90" s="46" t="s">
        <v>287</v>
      </c>
      <c r="D90" s="46" t="s">
        <v>274</v>
      </c>
      <c r="E90" s="87">
        <v>22598.599999999999</v>
      </c>
      <c r="F90" s="48" t="s">
        <v>675</v>
      </c>
      <c r="G90" s="48" t="s">
        <v>39</v>
      </c>
      <c r="H90" s="46" t="s">
        <v>357</v>
      </c>
      <c r="I90" s="40"/>
      <c r="J90" s="46"/>
      <c r="K90" s="49" t="s">
        <v>42</v>
      </c>
      <c r="L90" s="50"/>
    </row>
    <row r="91" ht="14.25" customHeight="1" outlineLevel="1">
      <c r="A91" s="45">
        <v>2</v>
      </c>
      <c r="B91" s="46" t="s">
        <v>155</v>
      </c>
      <c r="C91" s="46" t="s">
        <v>290</v>
      </c>
      <c r="D91" s="46" t="s">
        <v>274</v>
      </c>
      <c r="E91" s="87">
        <v>14767.190000000001</v>
      </c>
      <c r="F91" s="48" t="s">
        <v>675</v>
      </c>
      <c r="G91" s="48" t="s">
        <v>39</v>
      </c>
      <c r="H91" s="46" t="s">
        <v>357</v>
      </c>
      <c r="I91" s="40"/>
      <c r="J91" s="46"/>
      <c r="K91" s="49" t="s">
        <v>42</v>
      </c>
      <c r="L91" s="50"/>
    </row>
    <row r="92" ht="14.25" customHeight="1" outlineLevel="1">
      <c r="A92" s="45">
        <v>3</v>
      </c>
      <c r="B92" s="46" t="s">
        <v>155</v>
      </c>
      <c r="C92" s="46" t="s">
        <v>291</v>
      </c>
      <c r="D92" s="46" t="s">
        <v>274</v>
      </c>
      <c r="E92" s="87">
        <v>30509.77</v>
      </c>
      <c r="F92" s="48" t="s">
        <v>675</v>
      </c>
      <c r="G92" s="48" t="s">
        <v>39</v>
      </c>
      <c r="H92" s="46" t="s">
        <v>357</v>
      </c>
      <c r="I92" s="40"/>
      <c r="J92" s="46"/>
      <c r="K92" s="49" t="s">
        <v>42</v>
      </c>
      <c r="L92" s="50"/>
    </row>
    <row r="93" ht="14.25" customHeight="1" outlineLevel="1">
      <c r="A93" s="45">
        <v>4</v>
      </c>
      <c r="B93" s="46" t="s">
        <v>155</v>
      </c>
      <c r="C93" s="46" t="s">
        <v>292</v>
      </c>
      <c r="D93" s="46" t="s">
        <v>274</v>
      </c>
      <c r="E93" s="87">
        <v>9217.1200000000008</v>
      </c>
      <c r="F93" s="48" t="s">
        <v>675</v>
      </c>
      <c r="G93" s="48" t="s">
        <v>39</v>
      </c>
      <c r="H93" s="46" t="s">
        <v>357</v>
      </c>
      <c r="I93" s="40"/>
      <c r="J93" s="46"/>
      <c r="K93" s="49" t="s">
        <v>42</v>
      </c>
      <c r="L93" s="50"/>
    </row>
    <row r="94" ht="14.25" customHeight="1" outlineLevel="1">
      <c r="A94" s="45">
        <v>5</v>
      </c>
      <c r="B94" s="46" t="s">
        <v>155</v>
      </c>
      <c r="C94" s="46" t="s">
        <v>293</v>
      </c>
      <c r="D94" s="46" t="s">
        <v>274</v>
      </c>
      <c r="E94" s="87">
        <v>11581.799999999999</v>
      </c>
      <c r="F94" s="48" t="s">
        <v>675</v>
      </c>
      <c r="G94" s="48" t="s">
        <v>39</v>
      </c>
      <c r="H94" s="46" t="s">
        <v>357</v>
      </c>
      <c r="I94" s="40"/>
      <c r="J94" s="46"/>
      <c r="K94" s="49" t="s">
        <v>42</v>
      </c>
      <c r="L94" s="50"/>
    </row>
    <row r="95" ht="14.25" customHeight="1" outlineLevel="1">
      <c r="A95" s="45">
        <v>6</v>
      </c>
      <c r="B95" s="46" t="s">
        <v>155</v>
      </c>
      <c r="C95" s="46" t="s">
        <v>678</v>
      </c>
      <c r="D95" s="46" t="s">
        <v>274</v>
      </c>
      <c r="E95" s="87">
        <v>16078.629999999999</v>
      </c>
      <c r="F95" s="48" t="s">
        <v>675</v>
      </c>
      <c r="G95" s="48" t="s">
        <v>39</v>
      </c>
      <c r="H95" s="46" t="s">
        <v>357</v>
      </c>
      <c r="I95" s="40"/>
      <c r="J95" s="46"/>
      <c r="K95" s="49" t="s">
        <v>42</v>
      </c>
      <c r="L95" s="50"/>
    </row>
    <row r="96" ht="14.25" customHeight="1" outlineLevel="1">
      <c r="A96" s="45">
        <v>7</v>
      </c>
      <c r="B96" s="46" t="s">
        <v>155</v>
      </c>
      <c r="C96" s="46" t="s">
        <v>294</v>
      </c>
      <c r="D96" s="46" t="s">
        <v>274</v>
      </c>
      <c r="E96" s="87">
        <v>166239.04999999999</v>
      </c>
      <c r="F96" s="48" t="s">
        <v>675</v>
      </c>
      <c r="G96" s="48" t="s">
        <v>39</v>
      </c>
      <c r="H96" s="46" t="s">
        <v>357</v>
      </c>
      <c r="I96" s="40"/>
      <c r="J96" s="46"/>
      <c r="K96" s="49" t="s">
        <v>42</v>
      </c>
      <c r="L96" s="50"/>
    </row>
    <row r="97" ht="14.25" customHeight="1" outlineLevel="1">
      <c r="A97" s="45">
        <v>8</v>
      </c>
      <c r="B97" s="46" t="s">
        <v>155</v>
      </c>
      <c r="C97" s="46" t="s">
        <v>295</v>
      </c>
      <c r="D97" s="46" t="s">
        <v>274</v>
      </c>
      <c r="E97" s="87">
        <v>73647.830000000002</v>
      </c>
      <c r="F97" s="48" t="s">
        <v>675</v>
      </c>
      <c r="G97" s="48" t="s">
        <v>39</v>
      </c>
      <c r="H97" s="46" t="s">
        <v>357</v>
      </c>
      <c r="I97" s="40"/>
      <c r="J97" s="46"/>
      <c r="K97" s="49" t="s">
        <v>42</v>
      </c>
      <c r="L97" s="50"/>
    </row>
    <row r="98" ht="14.25" customHeight="1" outlineLevel="1">
      <c r="A98" s="45">
        <v>9</v>
      </c>
      <c r="B98" s="46" t="s">
        <v>155</v>
      </c>
      <c r="C98" s="46" t="s">
        <v>296</v>
      </c>
      <c r="D98" s="46" t="s">
        <v>274</v>
      </c>
      <c r="E98" s="87">
        <v>15439.26</v>
      </c>
      <c r="F98" s="48" t="s">
        <v>675</v>
      </c>
      <c r="G98" s="48" t="s">
        <v>39</v>
      </c>
      <c r="H98" s="46" t="s">
        <v>357</v>
      </c>
      <c r="I98" s="40"/>
      <c r="J98" s="46"/>
      <c r="K98" s="49" t="s">
        <v>42</v>
      </c>
      <c r="L98" s="50"/>
    </row>
    <row r="99" ht="14.25" customHeight="1" outlineLevel="1">
      <c r="A99" s="45">
        <v>10</v>
      </c>
      <c r="B99" s="46" t="s">
        <v>155</v>
      </c>
      <c r="C99" s="46" t="s">
        <v>297</v>
      </c>
      <c r="D99" s="46" t="s">
        <v>274</v>
      </c>
      <c r="E99" s="87">
        <v>29904.400000000001</v>
      </c>
      <c r="F99" s="48" t="s">
        <v>675</v>
      </c>
      <c r="G99" s="48" t="s">
        <v>39</v>
      </c>
      <c r="H99" s="46" t="s">
        <v>357</v>
      </c>
      <c r="I99" s="40"/>
      <c r="J99" s="46"/>
      <c r="K99" s="49" t="s">
        <v>42</v>
      </c>
      <c r="L99" s="50"/>
    </row>
    <row r="100" ht="14.25" customHeight="1" outlineLevel="1">
      <c r="A100" s="45">
        <v>11</v>
      </c>
      <c r="B100" s="46" t="s">
        <v>155</v>
      </c>
      <c r="C100" s="46" t="s">
        <v>298</v>
      </c>
      <c r="D100" s="46" t="s">
        <v>274</v>
      </c>
      <c r="E100" s="87">
        <v>132604.01000000001</v>
      </c>
      <c r="F100" s="48" t="s">
        <v>675</v>
      </c>
      <c r="G100" s="48" t="s">
        <v>39</v>
      </c>
      <c r="H100" s="46" t="s">
        <v>357</v>
      </c>
      <c r="I100" s="40"/>
      <c r="J100" s="46"/>
      <c r="K100" s="49" t="s">
        <v>42</v>
      </c>
      <c r="L100" s="50"/>
    </row>
    <row r="101" ht="14.25" customHeight="1" outlineLevel="1">
      <c r="A101" s="45">
        <v>12</v>
      </c>
      <c r="B101" s="46" t="s">
        <v>155</v>
      </c>
      <c r="C101" s="46" t="s">
        <v>300</v>
      </c>
      <c r="D101" s="46" t="s">
        <v>274</v>
      </c>
      <c r="E101" s="87">
        <v>24593</v>
      </c>
      <c r="F101" s="48" t="s">
        <v>675</v>
      </c>
      <c r="G101" s="48" t="s">
        <v>39</v>
      </c>
      <c r="H101" s="46" t="s">
        <v>357</v>
      </c>
      <c r="I101" s="40"/>
      <c r="J101" s="46"/>
      <c r="K101" s="49" t="s">
        <v>42</v>
      </c>
      <c r="L101" s="50"/>
    </row>
    <row r="102" ht="14.25" customHeight="1" outlineLevel="1">
      <c r="A102" s="45">
        <v>13</v>
      </c>
      <c r="B102" s="46" t="s">
        <v>155</v>
      </c>
      <c r="C102" s="46" t="s">
        <v>302</v>
      </c>
      <c r="D102" s="46" t="s">
        <v>274</v>
      </c>
      <c r="E102" s="87">
        <v>19175.040000000001</v>
      </c>
      <c r="F102" s="48" t="s">
        <v>675</v>
      </c>
      <c r="G102" s="48" t="s">
        <v>39</v>
      </c>
      <c r="H102" s="46" t="s">
        <v>357</v>
      </c>
      <c r="I102" s="40"/>
      <c r="J102" s="46"/>
      <c r="K102" s="49" t="s">
        <v>42</v>
      </c>
      <c r="L102" s="50"/>
    </row>
    <row r="103" ht="14.25" customHeight="1" outlineLevel="1">
      <c r="A103" s="45">
        <v>14</v>
      </c>
      <c r="B103" s="46" t="s">
        <v>155</v>
      </c>
      <c r="C103" s="46" t="s">
        <v>156</v>
      </c>
      <c r="D103" s="46" t="s">
        <v>157</v>
      </c>
      <c r="E103" s="87">
        <v>4103118.3100000001</v>
      </c>
      <c r="F103" s="48" t="s">
        <v>675</v>
      </c>
      <c r="G103" s="48" t="s">
        <v>39</v>
      </c>
      <c r="H103" s="46" t="s">
        <v>357</v>
      </c>
      <c r="I103" s="40"/>
      <c r="J103" s="46"/>
      <c r="K103" s="49" t="s">
        <v>42</v>
      </c>
      <c r="L103" s="50"/>
    </row>
    <row r="104" ht="14.25" customHeight="1" outlineLevel="1">
      <c r="A104" s="45"/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45"/>
      <c r="B105" s="46"/>
      <c r="C105" s="46"/>
      <c r="D105" s="46"/>
      <c r="E105" s="47"/>
      <c r="F105" s="48"/>
      <c r="G105" s="48"/>
      <c r="H105" s="46"/>
      <c r="I105" s="40"/>
      <c r="J105" s="46"/>
      <c r="K105" s="49"/>
      <c r="L105" s="50"/>
    </row>
    <row r="106" ht="14.25" customHeight="1" outlineLevel="1">
      <c r="A106" s="45"/>
      <c r="B106" s="46"/>
      <c r="C106" s="46"/>
      <c r="D106" s="46"/>
      <c r="E106" s="47"/>
      <c r="F106" s="48"/>
      <c r="G106" s="48"/>
      <c r="H106" s="46"/>
      <c r="I106" s="40"/>
      <c r="J106" s="46"/>
      <c r="K106" s="49"/>
      <c r="L106" s="50"/>
    </row>
    <row r="107" ht="14.25" customHeight="1" outlineLevel="1">
      <c r="A107" s="45"/>
      <c r="B107" s="46"/>
      <c r="C107" s="46"/>
      <c r="D107" s="46"/>
      <c r="E107" s="47"/>
      <c r="F107" s="48"/>
      <c r="G107" s="48"/>
      <c r="H107" s="46"/>
      <c r="I107" s="40"/>
      <c r="J107" s="46"/>
      <c r="K107" s="49"/>
      <c r="L107" s="50"/>
    </row>
    <row r="108" ht="14.25" customHeight="1" outlineLevel="1">
      <c r="A108" s="45"/>
      <c r="B108" s="46"/>
      <c r="C108" s="46"/>
      <c r="D108" s="46"/>
      <c r="E108" s="47"/>
      <c r="F108" s="48"/>
      <c r="G108" s="48"/>
      <c r="H108" s="46"/>
      <c r="I108" s="40"/>
      <c r="J108" s="46"/>
      <c r="K108" s="49"/>
      <c r="L108" s="50"/>
    </row>
    <row r="109" s="32" customFormat="1" ht="19.5" customHeight="1" outlineLevel="1">
      <c r="A109" s="33"/>
      <c r="B109" s="34" t="s">
        <v>26</v>
      </c>
      <c r="C109" s="35"/>
      <c r="D109" s="36"/>
      <c r="E109" s="37"/>
      <c r="F109" s="34"/>
      <c r="G109" s="34"/>
      <c r="H109" s="34"/>
      <c r="I109" s="34"/>
      <c r="J109" s="34"/>
      <c r="K109" s="34"/>
      <c r="L109" s="38"/>
    </row>
    <row r="110" ht="14.25" customHeight="1" outlineLevel="1">
      <c r="A110" s="62">
        <v>1</v>
      </c>
      <c r="B110" s="46"/>
      <c r="C110" s="52"/>
      <c r="D110" s="52"/>
      <c r="E110" s="53"/>
      <c r="F110" s="54"/>
      <c r="G110" s="54"/>
      <c r="H110" s="52"/>
      <c r="I110" s="40"/>
      <c r="J110" s="52"/>
      <c r="K110" s="55"/>
      <c r="L110" s="56"/>
    </row>
    <row r="111" ht="14.25" customHeight="1" outlineLevel="1">
      <c r="A111" s="39">
        <v>2</v>
      </c>
      <c r="B111" s="40"/>
      <c r="C111" s="40"/>
      <c r="D111" s="40"/>
      <c r="E111" s="41"/>
      <c r="F111" s="42"/>
      <c r="G111" s="42"/>
      <c r="H111" s="40"/>
      <c r="I111" s="40"/>
      <c r="J111" s="40"/>
      <c r="K111" s="43"/>
      <c r="L111" s="44"/>
    </row>
    <row r="112" ht="14.25" customHeight="1" outlineLevel="1">
      <c r="A112" s="39">
        <v>3</v>
      </c>
      <c r="B112" s="40"/>
      <c r="C112" s="40"/>
      <c r="D112" s="40"/>
      <c r="E112" s="41"/>
      <c r="F112" s="42"/>
      <c r="G112" s="42"/>
      <c r="H112" s="40"/>
      <c r="I112" s="40"/>
      <c r="J112" s="40"/>
      <c r="K112" s="43"/>
      <c r="L112" s="44"/>
    </row>
    <row r="113" ht="14.25" customHeight="1" outlineLevel="1">
      <c r="A113" s="45">
        <v>4</v>
      </c>
      <c r="B113" s="46"/>
      <c r="C113" s="46"/>
      <c r="D113" s="46"/>
      <c r="E113" s="47"/>
      <c r="F113" s="48"/>
      <c r="G113" s="48"/>
      <c r="H113" s="46"/>
      <c r="I113" s="40"/>
      <c r="J113" s="46"/>
      <c r="K113" s="49"/>
      <c r="L113" s="50"/>
    </row>
    <row r="114" ht="14.25" customHeight="1" outlineLevel="1">
      <c r="A114" s="63">
        <v>5</v>
      </c>
      <c r="B114" s="57"/>
      <c r="C114" s="57"/>
      <c r="D114" s="57"/>
      <c r="E114" s="58"/>
      <c r="F114" s="59"/>
      <c r="G114" s="59"/>
      <c r="H114" s="57"/>
      <c r="I114" s="57"/>
      <c r="J114" s="57"/>
      <c r="K114" s="60"/>
      <c r="L114" s="61"/>
    </row>
    <row r="115" ht="23.100000000000001" customHeight="1">
      <c r="A115" s="64" t="s">
        <v>27</v>
      </c>
      <c r="B115" s="65"/>
      <c r="C115" s="65"/>
      <c r="D115" s="65"/>
      <c r="E115" s="66">
        <f>SUM(E15:E114)</f>
        <v>9669474.0099999998</v>
      </c>
    </row>
    <row r="116" ht="23.100000000000001" customHeight="1">
      <c r="A116" s="64" t="s">
        <v>28</v>
      </c>
      <c r="B116" s="65"/>
      <c r="C116" s="65"/>
      <c r="D116" s="65"/>
      <c r="E116" s="66">
        <f>E4-E115</f>
        <v>530616.99000000022</v>
      </c>
      <c r="F116" s="67"/>
      <c r="G116" s="67"/>
    </row>
    <row r="117" ht="24.75" customHeight="1">
      <c r="E117" s="1"/>
    </row>
    <row r="118" ht="30" customHeight="1">
      <c r="A118" s="68" t="s">
        <v>29</v>
      </c>
      <c r="B118" s="69"/>
      <c r="C118" s="69"/>
      <c r="D118" s="70"/>
      <c r="E118" s="71">
        <f>SUM(E119:E122)</f>
        <v>40116.139999999999</v>
      </c>
      <c r="F118" s="12"/>
      <c r="G118" s="12"/>
      <c r="H118" s="12"/>
      <c r="I118" s="12"/>
      <c r="J118" s="12"/>
    </row>
    <row r="119" ht="15" customHeight="1">
      <c r="A119" s="13" t="s">
        <v>30</v>
      </c>
      <c r="B119" s="14"/>
      <c r="C119" s="14"/>
      <c r="D119" s="15"/>
      <c r="E119" s="16">
        <v>40116.139999999999</v>
      </c>
      <c r="F119" s="12"/>
      <c r="G119" s="12"/>
      <c r="H119" s="12"/>
      <c r="I119" s="12"/>
      <c r="J119" s="12"/>
    </row>
    <row r="120">
      <c r="A120" s="72"/>
      <c r="B120" s="73"/>
      <c r="C120" s="73"/>
      <c r="D120" s="74"/>
      <c r="E120" s="75"/>
      <c r="F120" s="12"/>
      <c r="G120" s="12"/>
      <c r="H120" s="12"/>
      <c r="I120" s="12"/>
      <c r="J120" s="12"/>
    </row>
    <row r="121">
      <c r="A121" s="21"/>
      <c r="B121" s="18"/>
      <c r="C121" s="18"/>
      <c r="D121" s="19"/>
      <c r="E121" s="20"/>
      <c r="F121" s="12"/>
      <c r="G121" s="12"/>
      <c r="H121" s="12"/>
      <c r="I121" s="12"/>
      <c r="J121" s="12"/>
    </row>
    <row r="122" ht="15">
      <c r="A122" s="76"/>
      <c r="B122" s="24"/>
      <c r="C122" s="24"/>
      <c r="D122" s="25"/>
      <c r="E122" s="26"/>
      <c r="F122" s="27"/>
      <c r="G122" s="27"/>
      <c r="H122" s="27"/>
      <c r="I122" s="27"/>
      <c r="J122" s="27"/>
    </row>
    <row r="123" ht="6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</row>
    <row r="124" ht="28.5" outlineLevel="1">
      <c r="A124" s="28" t="s">
        <v>9</v>
      </c>
      <c r="B124" s="28" t="s">
        <v>10</v>
      </c>
      <c r="C124" s="28" t="s">
        <v>11</v>
      </c>
      <c r="D124" s="28" t="s">
        <v>12</v>
      </c>
      <c r="E124" s="29" t="s">
        <v>13</v>
      </c>
      <c r="F124" s="28" t="s">
        <v>14</v>
      </c>
      <c r="G124" s="30" t="s">
        <v>15</v>
      </c>
      <c r="H124" s="28" t="s">
        <v>16</v>
      </c>
      <c r="I124" s="31" t="s">
        <v>17</v>
      </c>
      <c r="J124" s="28" t="s">
        <v>18</v>
      </c>
      <c r="K124" s="28" t="s">
        <v>19</v>
      </c>
      <c r="L124" s="28" t="s">
        <v>20</v>
      </c>
    </row>
    <row r="125" ht="15" outlineLevel="1">
      <c r="A125" s="77"/>
      <c r="B125" s="78" t="s">
        <v>31</v>
      </c>
      <c r="C125" s="79"/>
      <c r="D125" s="80"/>
      <c r="E125" s="81"/>
      <c r="F125" s="78"/>
      <c r="G125" s="78"/>
      <c r="H125" s="78"/>
      <c r="I125" s="78"/>
      <c r="J125" s="78"/>
      <c r="K125" s="78"/>
      <c r="L125" s="78"/>
    </row>
    <row r="126" outlineLevel="1">
      <c r="A126" s="39">
        <v>1</v>
      </c>
      <c r="B126" s="40"/>
      <c r="C126" s="40"/>
      <c r="D126" s="40"/>
      <c r="E126" s="41"/>
      <c r="F126" s="42"/>
      <c r="G126" s="42"/>
      <c r="H126" s="40"/>
      <c r="I126" s="40"/>
      <c r="J126" s="40"/>
      <c r="K126" s="43"/>
      <c r="L126" s="44"/>
    </row>
    <row r="127" outlineLevel="1">
      <c r="A127" s="45">
        <v>2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3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4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ht="15.75" customHeight="1" outlineLevel="1">
      <c r="A130" s="45">
        <v>5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outlineLevel="1">
      <c r="A131" s="45">
        <v>6</v>
      </c>
      <c r="B131" s="46"/>
      <c r="C131" s="46"/>
      <c r="D131" s="46"/>
      <c r="E131" s="47"/>
      <c r="F131" s="48"/>
      <c r="G131" s="48"/>
      <c r="H131" s="46"/>
      <c r="I131" s="40"/>
      <c r="J131" s="46"/>
      <c r="K131" s="49"/>
      <c r="L131" s="50"/>
    </row>
    <row r="132" outlineLevel="1">
      <c r="A132" s="45">
        <v>7</v>
      </c>
      <c r="B132" s="46"/>
      <c r="C132" s="46"/>
      <c r="D132" s="46"/>
      <c r="E132" s="47"/>
      <c r="F132" s="48"/>
      <c r="G132" s="48"/>
      <c r="H132" s="46"/>
      <c r="I132" s="40"/>
      <c r="J132" s="46"/>
      <c r="K132" s="49"/>
      <c r="L132" s="50"/>
    </row>
    <row r="133" outlineLevel="1">
      <c r="A133" s="45">
        <v>8</v>
      </c>
      <c r="B133" s="46"/>
      <c r="C133" s="46"/>
      <c r="D133" s="46"/>
      <c r="E133" s="47"/>
      <c r="F133" s="48"/>
      <c r="G133" s="48"/>
      <c r="H133" s="46"/>
      <c r="I133" s="40"/>
      <c r="J133" s="46"/>
      <c r="K133" s="49"/>
      <c r="L133" s="50"/>
    </row>
    <row r="134" outlineLevel="1">
      <c r="A134" s="39">
        <v>9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10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11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12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13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14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ht="15" outlineLevel="1">
      <c r="A140" s="45">
        <v>15</v>
      </c>
      <c r="B140" s="57"/>
      <c r="C140" s="57"/>
      <c r="D140" s="57"/>
      <c r="E140" s="58"/>
      <c r="F140" s="59"/>
      <c r="G140" s="59"/>
      <c r="H140" s="57"/>
      <c r="I140" s="40"/>
      <c r="J140" s="57"/>
      <c r="K140" s="60"/>
      <c r="L140" s="61"/>
    </row>
    <row r="141" ht="15" outlineLevel="1">
      <c r="A141" s="77"/>
      <c r="B141" s="78" t="s">
        <v>32</v>
      </c>
      <c r="C141" s="79"/>
      <c r="D141" s="80"/>
      <c r="E141" s="81"/>
      <c r="F141" s="78"/>
      <c r="G141" s="78"/>
      <c r="H141" s="78"/>
      <c r="I141" s="78"/>
      <c r="J141" s="78"/>
      <c r="K141" s="78"/>
      <c r="L141" s="78"/>
    </row>
    <row r="142" outlineLevel="1">
      <c r="A142" s="62">
        <v>1</v>
      </c>
      <c r="B142" s="52"/>
      <c r="C142" s="52"/>
      <c r="D142" s="52"/>
      <c r="E142" s="53"/>
      <c r="F142" s="54"/>
      <c r="G142" s="54"/>
      <c r="H142" s="52"/>
      <c r="I142" s="40"/>
      <c r="J142" s="52"/>
      <c r="K142" s="55"/>
      <c r="L142" s="56"/>
    </row>
    <row r="143" outlineLevel="1">
      <c r="A143" s="45">
        <v>2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3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4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5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outlineLevel="1">
      <c r="A147" s="45">
        <v>6</v>
      </c>
      <c r="B147" s="46"/>
      <c r="C147" s="46"/>
      <c r="D147" s="46"/>
      <c r="E147" s="47"/>
      <c r="F147" s="48"/>
      <c r="G147" s="48"/>
      <c r="H147" s="46"/>
      <c r="I147" s="40"/>
      <c r="J147" s="46"/>
      <c r="K147" s="49"/>
      <c r="L147" s="50"/>
    </row>
    <row r="148" outlineLevel="1">
      <c r="A148" s="45">
        <v>7</v>
      </c>
      <c r="B148" s="46"/>
      <c r="C148" s="46"/>
      <c r="D148" s="46"/>
      <c r="E148" s="47"/>
      <c r="F148" s="48"/>
      <c r="G148" s="48"/>
      <c r="H148" s="46"/>
      <c r="I148" s="40"/>
      <c r="J148" s="46"/>
      <c r="K148" s="49"/>
      <c r="L148" s="50"/>
    </row>
    <row r="149" outlineLevel="1">
      <c r="A149" s="45">
        <v>8</v>
      </c>
      <c r="B149" s="46"/>
      <c r="C149" s="46"/>
      <c r="D149" s="46"/>
      <c r="E149" s="47"/>
      <c r="F149" s="48"/>
      <c r="G149" s="48"/>
      <c r="H149" s="46"/>
      <c r="I149" s="40"/>
      <c r="J149" s="46"/>
      <c r="K149" s="49"/>
      <c r="L149" s="50"/>
    </row>
    <row r="150" outlineLevel="1">
      <c r="A150" s="45">
        <v>9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10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11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12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13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14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ht="15" outlineLevel="1">
      <c r="A156" s="45">
        <v>15</v>
      </c>
      <c r="B156" s="57"/>
      <c r="C156" s="57"/>
      <c r="D156" s="57"/>
      <c r="E156" s="58"/>
      <c r="F156" s="59"/>
      <c r="G156" s="59"/>
      <c r="H156" s="57"/>
      <c r="I156" s="40"/>
      <c r="J156" s="57"/>
      <c r="K156" s="60"/>
      <c r="L156" s="61"/>
    </row>
    <row r="157" ht="15" outlineLevel="1">
      <c r="A157" s="77"/>
      <c r="B157" s="318" t="s">
        <v>25</v>
      </c>
      <c r="C157" s="319"/>
      <c r="D157" s="320"/>
      <c r="E157" s="321"/>
      <c r="F157" s="318"/>
      <c r="G157" s="78"/>
      <c r="H157" s="78"/>
      <c r="I157" s="78"/>
      <c r="J157" s="78"/>
      <c r="K157" s="78"/>
      <c r="L157" s="78"/>
    </row>
    <row r="158" ht="15" outlineLevel="1">
      <c r="A158" s="89">
        <v>1</v>
      </c>
      <c r="B158" s="172" t="s">
        <v>155</v>
      </c>
      <c r="C158" s="172" t="s">
        <v>275</v>
      </c>
      <c r="D158" s="172" t="s">
        <v>274</v>
      </c>
      <c r="E158" s="322">
        <v>2827</v>
      </c>
      <c r="F158" s="172" t="s">
        <v>675</v>
      </c>
      <c r="G158" s="120"/>
      <c r="H158" s="52"/>
      <c r="I158" s="40"/>
      <c r="J158" s="52"/>
      <c r="K158" s="55"/>
      <c r="L158" s="56"/>
    </row>
    <row r="159" ht="45" outlineLevel="1">
      <c r="A159" s="89">
        <v>2</v>
      </c>
      <c r="B159" s="172" t="s">
        <v>155</v>
      </c>
      <c r="C159" s="172" t="s">
        <v>143</v>
      </c>
      <c r="D159" s="172" t="s">
        <v>144</v>
      </c>
      <c r="E159" s="322">
        <f>423</f>
        <v>423</v>
      </c>
      <c r="F159" s="172" t="s">
        <v>676</v>
      </c>
      <c r="G159" s="214"/>
      <c r="H159" s="46"/>
      <c r="I159" s="40"/>
      <c r="J159" s="46"/>
      <c r="K159" s="49"/>
      <c r="L159" s="50"/>
    </row>
    <row r="160" outlineLevel="1">
      <c r="A160" s="45">
        <v>3</v>
      </c>
      <c r="B160" s="40"/>
      <c r="C160" s="40"/>
      <c r="D160" s="40"/>
      <c r="E160" s="41"/>
      <c r="F160" s="42"/>
      <c r="G160" s="48"/>
      <c r="H160" s="46"/>
      <c r="I160" s="40"/>
      <c r="J160" s="46"/>
      <c r="K160" s="49"/>
      <c r="L160" s="50"/>
    </row>
    <row r="161" outlineLevel="1">
      <c r="A161" s="45">
        <v>4</v>
      </c>
      <c r="B161" s="46"/>
      <c r="C161" s="46"/>
      <c r="D161" s="46"/>
      <c r="E161" s="47"/>
      <c r="F161" s="48"/>
      <c r="G161" s="48"/>
      <c r="H161" s="46"/>
      <c r="I161" s="40"/>
      <c r="J161" s="46"/>
      <c r="K161" s="49"/>
      <c r="L161" s="50"/>
    </row>
    <row r="162" outlineLevel="1">
      <c r="A162" s="45">
        <v>5</v>
      </c>
      <c r="B162" s="46"/>
      <c r="C162" s="46"/>
      <c r="D162" s="46"/>
      <c r="E162" s="47"/>
      <c r="F162" s="48"/>
      <c r="G162" s="48"/>
      <c r="H162" s="46"/>
      <c r="I162" s="40"/>
      <c r="J162" s="46"/>
      <c r="K162" s="49"/>
      <c r="L162" s="50"/>
    </row>
    <row r="163" outlineLevel="1">
      <c r="A163" s="45">
        <v>6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outlineLevel="1">
      <c r="A164" s="45">
        <v>7</v>
      </c>
      <c r="B164" s="46"/>
      <c r="C164" s="46"/>
      <c r="D164" s="46"/>
      <c r="E164" s="47"/>
      <c r="F164" s="48"/>
      <c r="G164" s="48"/>
      <c r="H164" s="46"/>
      <c r="I164" s="40"/>
      <c r="J164" s="46"/>
      <c r="K164" s="49"/>
      <c r="L164" s="50"/>
    </row>
    <row r="165" outlineLevel="1">
      <c r="A165" s="45">
        <v>8</v>
      </c>
      <c r="B165" s="46"/>
      <c r="C165" s="46"/>
      <c r="D165" s="46"/>
      <c r="E165" s="47"/>
      <c r="F165" s="48"/>
      <c r="G165" s="48"/>
      <c r="H165" s="46"/>
      <c r="I165" s="40"/>
      <c r="J165" s="46"/>
      <c r="K165" s="49"/>
      <c r="L165" s="50"/>
    </row>
    <row r="166" outlineLevel="1">
      <c r="A166" s="45">
        <v>9</v>
      </c>
      <c r="B166" s="46"/>
      <c r="C166" s="46"/>
      <c r="D166" s="46"/>
      <c r="E166" s="47"/>
      <c r="F166" s="48"/>
      <c r="G166" s="48"/>
      <c r="H166" s="46"/>
      <c r="I166" s="40"/>
      <c r="J166" s="46"/>
      <c r="K166" s="49"/>
      <c r="L166" s="50"/>
    </row>
    <row r="167" ht="15" outlineLevel="1">
      <c r="A167" s="45">
        <v>10</v>
      </c>
      <c r="B167" s="57"/>
      <c r="C167" s="57"/>
      <c r="D167" s="57"/>
      <c r="E167" s="58"/>
      <c r="F167" s="59"/>
      <c r="G167" s="59"/>
      <c r="H167" s="57"/>
      <c r="I167" s="40"/>
      <c r="J167" s="57"/>
      <c r="K167" s="60"/>
      <c r="L167" s="61"/>
    </row>
    <row r="168" ht="15" outlineLevel="1">
      <c r="A168" s="77"/>
      <c r="B168" s="78" t="s">
        <v>26</v>
      </c>
      <c r="C168" s="79"/>
      <c r="D168" s="80"/>
      <c r="E168" s="81"/>
      <c r="F168" s="78"/>
      <c r="G168" s="78"/>
      <c r="H168" s="78"/>
      <c r="I168" s="78"/>
      <c r="J168" s="78"/>
      <c r="K168" s="78"/>
      <c r="L168" s="78"/>
    </row>
    <row r="169" outlineLevel="1">
      <c r="A169" s="62">
        <v>1</v>
      </c>
      <c r="B169" s="52"/>
      <c r="C169" s="52"/>
      <c r="D169" s="52"/>
      <c r="E169" s="53"/>
      <c r="F169" s="54"/>
      <c r="G169" s="54"/>
      <c r="H169" s="52"/>
      <c r="I169" s="40"/>
      <c r="J169" s="52"/>
      <c r="K169" s="55"/>
      <c r="L169" s="56"/>
    </row>
    <row r="170" outlineLevel="1">
      <c r="A170" s="39">
        <v>2</v>
      </c>
      <c r="B170" s="40"/>
      <c r="C170" s="40"/>
      <c r="D170" s="40"/>
      <c r="E170" s="41"/>
      <c r="F170" s="42"/>
      <c r="G170" s="42"/>
      <c r="H170" s="40"/>
      <c r="I170" s="40"/>
      <c r="J170" s="40"/>
      <c r="K170" s="43"/>
      <c r="L170" s="44"/>
    </row>
    <row r="171" outlineLevel="1">
      <c r="A171" s="39">
        <v>3</v>
      </c>
      <c r="B171" s="40"/>
      <c r="C171" s="40"/>
      <c r="D171" s="40"/>
      <c r="E171" s="41"/>
      <c r="F171" s="42"/>
      <c r="G171" s="42"/>
      <c r="H171" s="40"/>
      <c r="I171" s="40"/>
      <c r="J171" s="40"/>
      <c r="K171" s="43"/>
      <c r="L171" s="44"/>
    </row>
    <row r="172" outlineLevel="1">
      <c r="A172" s="45">
        <v>4</v>
      </c>
      <c r="B172" s="46"/>
      <c r="C172" s="46"/>
      <c r="D172" s="46"/>
      <c r="E172" s="47"/>
      <c r="F172" s="48"/>
      <c r="G172" s="48"/>
      <c r="H172" s="46"/>
      <c r="I172" s="40"/>
      <c r="J172" s="46"/>
      <c r="K172" s="49"/>
      <c r="L172" s="50"/>
    </row>
    <row r="173" ht="15" outlineLevel="1">
      <c r="A173" s="63">
        <v>5</v>
      </c>
      <c r="B173" s="57"/>
      <c r="C173" s="57"/>
      <c r="D173" s="57"/>
      <c r="E173" s="58"/>
      <c r="F173" s="59"/>
      <c r="G173" s="59"/>
      <c r="H173" s="57"/>
      <c r="I173" s="57"/>
      <c r="J173" s="57"/>
      <c r="K173" s="60"/>
      <c r="L173" s="61"/>
    </row>
    <row r="174" ht="23.100000000000001" customHeight="1">
      <c r="A174" s="82" t="s">
        <v>33</v>
      </c>
      <c r="B174" s="83"/>
      <c r="C174" s="83"/>
      <c r="D174" s="84"/>
      <c r="E174" s="85">
        <f>SUM(E126:E173)</f>
        <v>3250</v>
      </c>
    </row>
    <row r="175" ht="23.100000000000001" customHeight="1">
      <c r="A175" s="82" t="s">
        <v>28</v>
      </c>
      <c r="B175" s="83"/>
      <c r="C175" s="83"/>
      <c r="D175" s="84"/>
      <c r="E175" s="85">
        <f>E118-E174</f>
        <v>36866.139999999999</v>
      </c>
      <c r="F175" s="67"/>
      <c r="G175" s="67"/>
    </row>
    <row r="176" ht="14.25">
      <c r="E176" s="1"/>
    </row>
    <row r="177" ht="14.25">
      <c r="E177" s="1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15:D115"/>
    <mergeCell ref="A116:D116"/>
    <mergeCell ref="A118:D118"/>
    <mergeCell ref="A119:D119"/>
    <mergeCell ref="A120:D120"/>
    <mergeCell ref="A121:D121"/>
    <mergeCell ref="A122:D122"/>
    <mergeCell ref="A174:D174"/>
    <mergeCell ref="A175:D17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10006-00FC-410F-A1B8-0051005800FB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I101:I110 I122:I136 I138:I152 I154:I163 I165:I169 I16:I35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A85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4.8515625"/>
    <col customWidth="1" min="5" max="5" style="1" width="27.140625"/>
    <col customWidth="1" min="6" max="6" style="1" width="42.1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'24'!C2+1</f>
        <v>46106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629398.13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483082.70000000001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26252.91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47366.839999999997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 t="s">
        <v>677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14070.15</v>
      </c>
      <c r="F11" s="12"/>
      <c r="G11" s="12"/>
      <c r="H11" s="12"/>
      <c r="I11" s="12"/>
      <c r="J11" s="12"/>
    </row>
    <row r="12" ht="15.75" customHeight="1">
      <c r="A12" s="23" t="s">
        <v>8</v>
      </c>
      <c r="B12" s="234"/>
      <c r="C12" s="234"/>
      <c r="D12" s="235"/>
      <c r="E12" s="26">
        <v>42803.93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122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89">
        <v>2</v>
      </c>
      <c r="B17" s="90" t="s">
        <v>44</v>
      </c>
      <c r="C17" s="46" t="s">
        <v>45</v>
      </c>
      <c r="D17" s="46" t="s">
        <v>46</v>
      </c>
      <c r="E17" s="174" t="s">
        <v>454</v>
      </c>
      <c r="F17" s="48" t="s">
        <v>48</v>
      </c>
      <c r="G17" s="48"/>
      <c r="H17" s="46"/>
      <c r="I17" s="40" t="s">
        <v>41</v>
      </c>
      <c r="J17" s="46"/>
      <c r="K17" s="49"/>
      <c r="L17" s="50"/>
    </row>
    <row r="18" ht="14.25" customHeight="1" outlineLevel="1">
      <c r="A18" s="89">
        <v>3</v>
      </c>
      <c r="B18" s="155" t="s">
        <v>44</v>
      </c>
      <c r="C18" s="46" t="s">
        <v>150</v>
      </c>
      <c r="D18" s="46" t="s">
        <v>453</v>
      </c>
      <c r="E18" s="316"/>
      <c r="F18" s="48" t="s">
        <v>48</v>
      </c>
      <c r="G18" s="48"/>
      <c r="H18" s="46"/>
      <c r="I18" s="40" t="s">
        <v>41</v>
      </c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105" t="s">
        <v>54</v>
      </c>
      <c r="C37" s="105" t="s">
        <v>679</v>
      </c>
      <c r="D37" s="105" t="s">
        <v>680</v>
      </c>
      <c r="E37" s="109">
        <v>45000</v>
      </c>
      <c r="F37" s="48" t="s">
        <v>57</v>
      </c>
      <c r="G37" s="110" t="s">
        <v>39</v>
      </c>
      <c r="H37" s="46" t="s">
        <v>357</v>
      </c>
      <c r="I37" s="40"/>
      <c r="J37" s="52"/>
      <c r="K37" s="134" t="s">
        <v>42</v>
      </c>
      <c r="L37" s="44"/>
    </row>
    <row r="38" ht="14.25" customHeight="1" outlineLevel="1">
      <c r="A38" s="45">
        <v>2</v>
      </c>
      <c r="B38" s="105" t="s">
        <v>54</v>
      </c>
      <c r="C38" s="105" t="s">
        <v>371</v>
      </c>
      <c r="D38" s="105" t="s">
        <v>681</v>
      </c>
      <c r="E38" s="109">
        <f>65000+62000+75000+74000</f>
        <v>276000</v>
      </c>
      <c r="F38" s="48" t="s">
        <v>57</v>
      </c>
      <c r="G38" s="110" t="s">
        <v>39</v>
      </c>
      <c r="H38" s="46" t="s">
        <v>357</v>
      </c>
      <c r="I38" s="40"/>
      <c r="J38" s="46"/>
      <c r="K38" s="134" t="s">
        <v>42</v>
      </c>
      <c r="L38" s="50"/>
    </row>
    <row r="39" ht="14.25" customHeight="1" outlineLevel="1">
      <c r="A39" s="45">
        <v>3</v>
      </c>
      <c r="B39" s="105" t="s">
        <v>54</v>
      </c>
      <c r="C39" s="105" t="s">
        <v>560</v>
      </c>
      <c r="D39" s="105" t="s">
        <v>682</v>
      </c>
      <c r="E39" s="109">
        <f>65000+85000</f>
        <v>150000</v>
      </c>
      <c r="F39" s="48" t="s">
        <v>57</v>
      </c>
      <c r="G39" s="110" t="s">
        <v>39</v>
      </c>
      <c r="H39" s="46" t="s">
        <v>357</v>
      </c>
      <c r="I39" s="40"/>
      <c r="J39" s="46"/>
      <c r="K39" s="134" t="s">
        <v>42</v>
      </c>
      <c r="L39" s="50"/>
    </row>
    <row r="40" ht="14.25" customHeight="1" outlineLevel="1">
      <c r="A40" s="45">
        <v>4</v>
      </c>
      <c r="B40" s="46" t="s">
        <v>54</v>
      </c>
      <c r="C40" s="46" t="s">
        <v>683</v>
      </c>
      <c r="D40" s="46" t="s">
        <v>684</v>
      </c>
      <c r="E40" s="87">
        <v>85000</v>
      </c>
      <c r="F40" s="48" t="s">
        <v>57</v>
      </c>
      <c r="G40" s="48" t="s">
        <v>39</v>
      </c>
      <c r="H40" s="46" t="s">
        <v>357</v>
      </c>
      <c r="I40" s="40"/>
      <c r="J40" s="136"/>
      <c r="K40" s="134" t="s">
        <v>42</v>
      </c>
      <c r="L40" s="50"/>
    </row>
    <row r="41" ht="14.25" customHeight="1" outlineLevel="1">
      <c r="A41" s="45">
        <v>5</v>
      </c>
      <c r="B41" s="46" t="s">
        <v>54</v>
      </c>
      <c r="C41" s="46" t="s">
        <v>566</v>
      </c>
      <c r="D41" s="46" t="s">
        <v>685</v>
      </c>
      <c r="E41" s="138">
        <v>80000</v>
      </c>
      <c r="F41" s="48" t="s">
        <v>57</v>
      </c>
      <c r="G41" s="48" t="s">
        <v>39</v>
      </c>
      <c r="H41" s="46" t="s">
        <v>357</v>
      </c>
      <c r="I41" s="40"/>
      <c r="J41" s="46"/>
      <c r="K41" s="134" t="s">
        <v>42</v>
      </c>
      <c r="L41" s="50"/>
    </row>
    <row r="42" ht="14.25" customHeight="1" outlineLevel="1">
      <c r="A42" s="45">
        <v>6</v>
      </c>
      <c r="B42" s="46" t="s">
        <v>54</v>
      </c>
      <c r="C42" s="46" t="s">
        <v>686</v>
      </c>
      <c r="D42" s="46" t="s">
        <v>687</v>
      </c>
      <c r="E42" s="138">
        <v>34000</v>
      </c>
      <c r="F42" s="48" t="s">
        <v>57</v>
      </c>
      <c r="G42" s="48" t="s">
        <v>39</v>
      </c>
      <c r="H42" s="46" t="s">
        <v>357</v>
      </c>
      <c r="I42" s="40"/>
      <c r="J42" s="46"/>
      <c r="K42" s="55" t="s">
        <v>42</v>
      </c>
      <c r="L42" s="50"/>
    </row>
    <row r="43" ht="14.25" customHeight="1" outlineLevel="1">
      <c r="A43" s="45">
        <v>7</v>
      </c>
      <c r="B43" s="46"/>
      <c r="C43" s="46"/>
      <c r="D43" s="46"/>
      <c r="E43" s="294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323"/>
      <c r="F44" s="48"/>
      <c r="G44" s="48"/>
      <c r="H44" s="46"/>
      <c r="I44" s="40"/>
      <c r="J44" s="13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298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323"/>
      <c r="F46" s="48"/>
      <c r="G46" s="48"/>
      <c r="H46" s="46"/>
      <c r="I46" s="40"/>
      <c r="J46" s="13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298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298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57" outlineLevel="1">
      <c r="A58" s="224">
        <v>1</v>
      </c>
      <c r="B58" s="105" t="s">
        <v>115</v>
      </c>
      <c r="C58" s="105" t="s">
        <v>492</v>
      </c>
      <c r="D58" s="105" t="s">
        <v>493</v>
      </c>
      <c r="E58" s="324">
        <v>250000</v>
      </c>
      <c r="F58" s="241" t="s">
        <v>494</v>
      </c>
      <c r="G58" s="237" t="s">
        <v>39</v>
      </c>
      <c r="H58" s="46" t="s">
        <v>357</v>
      </c>
      <c r="I58" s="40" t="s">
        <v>41</v>
      </c>
      <c r="J58" s="52"/>
      <c r="K58" s="134" t="s">
        <v>42</v>
      </c>
      <c r="L58" s="56"/>
    </row>
    <row r="59" ht="57" outlineLevel="1">
      <c r="A59" s="89">
        <v>2</v>
      </c>
      <c r="B59" s="105" t="s">
        <v>115</v>
      </c>
      <c r="C59" s="105" t="s">
        <v>492</v>
      </c>
      <c r="D59" s="105" t="s">
        <v>688</v>
      </c>
      <c r="E59" s="324">
        <v>30000</v>
      </c>
      <c r="F59" s="241" t="s">
        <v>689</v>
      </c>
      <c r="G59" s="237" t="s">
        <v>690</v>
      </c>
      <c r="H59" s="46" t="s">
        <v>357</v>
      </c>
      <c r="I59" s="40" t="s">
        <v>41</v>
      </c>
      <c r="J59" s="46"/>
      <c r="K59" s="134" t="s">
        <v>42</v>
      </c>
      <c r="L59" s="50"/>
    </row>
    <row r="60" ht="57" outlineLevel="1">
      <c r="A60" s="89">
        <v>3</v>
      </c>
      <c r="B60" s="105" t="s">
        <v>115</v>
      </c>
      <c r="C60" s="105" t="s">
        <v>492</v>
      </c>
      <c r="D60" s="105" t="s">
        <v>691</v>
      </c>
      <c r="E60" s="324">
        <v>10000</v>
      </c>
      <c r="F60" s="241" t="s">
        <v>692</v>
      </c>
      <c r="G60" s="237" t="s">
        <v>690</v>
      </c>
      <c r="H60" s="46" t="s">
        <v>357</v>
      </c>
      <c r="I60" s="40" t="s">
        <v>41</v>
      </c>
      <c r="J60" s="46"/>
      <c r="K60" s="55" t="s">
        <v>42</v>
      </c>
      <c r="L60" s="50"/>
    </row>
    <row r="61" ht="14.25" customHeight="1" outlineLevel="1">
      <c r="A61" s="45">
        <v>4</v>
      </c>
      <c r="B61" s="325"/>
      <c r="C61" s="325"/>
      <c r="D61" s="325"/>
      <c r="E61" s="325"/>
      <c r="F61" s="326"/>
      <c r="G61" s="327"/>
      <c r="H61" s="328"/>
      <c r="I61" s="328"/>
      <c r="J61" s="46"/>
      <c r="K61" s="103"/>
      <c r="L61" s="50"/>
    </row>
    <row r="62" ht="14.4" outlineLevel="1">
      <c r="A62" s="45">
        <v>5</v>
      </c>
      <c r="B62" s="46" t="s">
        <v>72</v>
      </c>
      <c r="C62" s="46" t="s">
        <v>693</v>
      </c>
      <c r="D62" s="46" t="s">
        <v>694</v>
      </c>
      <c r="E62" s="138">
        <v>9330.5599999999995</v>
      </c>
      <c r="F62" s="48" t="s">
        <v>695</v>
      </c>
      <c r="G62" s="48" t="s">
        <v>39</v>
      </c>
      <c r="H62" s="46" t="s">
        <v>357</v>
      </c>
      <c r="I62" s="40" t="s">
        <v>41</v>
      </c>
      <c r="J62" s="46"/>
      <c r="K62" s="134" t="s">
        <v>42</v>
      </c>
      <c r="L62" s="50"/>
    </row>
    <row r="63" ht="14.4" outlineLevel="1">
      <c r="A63" s="45">
        <v>6</v>
      </c>
      <c r="B63" s="46" t="s">
        <v>72</v>
      </c>
      <c r="C63" s="46" t="s">
        <v>403</v>
      </c>
      <c r="D63" s="46" t="s">
        <v>696</v>
      </c>
      <c r="E63" s="138">
        <v>3416</v>
      </c>
      <c r="F63" s="48" t="s">
        <v>405</v>
      </c>
      <c r="G63" s="48" t="s">
        <v>154</v>
      </c>
      <c r="H63" s="93" t="s">
        <v>208</v>
      </c>
      <c r="I63" s="40" t="s">
        <v>41</v>
      </c>
      <c r="J63" s="46"/>
      <c r="K63" s="134" t="s">
        <v>42</v>
      </c>
      <c r="L63" s="50"/>
    </row>
    <row r="64" ht="14.4" outlineLevel="1">
      <c r="A64" s="45">
        <v>7</v>
      </c>
      <c r="B64" s="46" t="s">
        <v>35</v>
      </c>
      <c r="C64" s="46" t="s">
        <v>697</v>
      </c>
      <c r="D64" s="46" t="s">
        <v>698</v>
      </c>
      <c r="E64" s="138">
        <v>15750</v>
      </c>
      <c r="F64" s="48" t="s">
        <v>699</v>
      </c>
      <c r="G64" s="48" t="s">
        <v>39</v>
      </c>
      <c r="H64" s="46" t="s">
        <v>357</v>
      </c>
      <c r="I64" s="40" t="s">
        <v>41</v>
      </c>
      <c r="J64" s="46" t="s">
        <v>516</v>
      </c>
      <c r="K64" s="134" t="s">
        <v>42</v>
      </c>
      <c r="L64" s="50"/>
    </row>
    <row r="65" ht="14.4" outlineLevel="1">
      <c r="A65" s="45">
        <v>8</v>
      </c>
      <c r="B65" s="46" t="s">
        <v>35</v>
      </c>
      <c r="C65" s="46" t="s">
        <v>700</v>
      </c>
      <c r="D65" s="46" t="s">
        <v>701</v>
      </c>
      <c r="E65" s="149">
        <v>18332.82</v>
      </c>
      <c r="F65" s="48" t="s">
        <v>702</v>
      </c>
      <c r="G65" s="48" t="s">
        <v>39</v>
      </c>
      <c r="H65" s="46" t="s">
        <v>357</v>
      </c>
      <c r="I65" s="40" t="s">
        <v>41</v>
      </c>
      <c r="J65" s="136" t="s">
        <v>703</v>
      </c>
      <c r="K65" s="134" t="s">
        <v>42</v>
      </c>
      <c r="L65" s="50"/>
    </row>
    <row r="66" ht="14.4" outlineLevel="1">
      <c r="A66" s="39">
        <v>9</v>
      </c>
      <c r="B66" s="46" t="s">
        <v>35</v>
      </c>
      <c r="C66" s="46" t="s">
        <v>704</v>
      </c>
      <c r="D66" s="46" t="s">
        <v>705</v>
      </c>
      <c r="E66" s="87">
        <v>14135.049999999999</v>
      </c>
      <c r="F66" s="48" t="s">
        <v>706</v>
      </c>
      <c r="G66" s="48" t="s">
        <v>39</v>
      </c>
      <c r="H66" s="46" t="s">
        <v>357</v>
      </c>
      <c r="I66" s="40" t="s">
        <v>41</v>
      </c>
      <c r="J66" s="46"/>
      <c r="K66" s="134" t="s">
        <v>42</v>
      </c>
      <c r="L66" s="50"/>
    </row>
    <row r="67" ht="14.4" outlineLevel="1">
      <c r="A67" s="45">
        <v>10</v>
      </c>
      <c r="B67" s="46" t="s">
        <v>35</v>
      </c>
      <c r="C67" s="46" t="s">
        <v>539</v>
      </c>
      <c r="D67" s="46" t="s">
        <v>540</v>
      </c>
      <c r="E67" s="149">
        <v>60000</v>
      </c>
      <c r="F67" s="48" t="s">
        <v>707</v>
      </c>
      <c r="G67" s="48" t="s">
        <v>39</v>
      </c>
      <c r="H67" s="46" t="s">
        <v>357</v>
      </c>
      <c r="I67" s="40" t="s">
        <v>41</v>
      </c>
      <c r="J67" s="136" t="s">
        <v>412</v>
      </c>
      <c r="K67" s="134" t="s">
        <v>42</v>
      </c>
      <c r="L67" s="50"/>
    </row>
    <row r="68" ht="14.4" outlineLevel="1">
      <c r="A68" s="45">
        <v>11</v>
      </c>
      <c r="B68" s="46" t="s">
        <v>35</v>
      </c>
      <c r="C68" s="46" t="s">
        <v>225</v>
      </c>
      <c r="D68" s="46" t="s">
        <v>708</v>
      </c>
      <c r="E68" s="87">
        <v>7395.6400000000003</v>
      </c>
      <c r="F68" s="48" t="s">
        <v>709</v>
      </c>
      <c r="G68" s="48" t="s">
        <v>39</v>
      </c>
      <c r="H68" s="46" t="s">
        <v>357</v>
      </c>
      <c r="I68" s="40" t="s">
        <v>41</v>
      </c>
      <c r="J68" s="46"/>
      <c r="K68" s="55" t="s">
        <v>42</v>
      </c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 t="s">
        <v>72</v>
      </c>
      <c r="C74" s="52" t="s">
        <v>202</v>
      </c>
      <c r="D74" s="52" t="s">
        <v>710</v>
      </c>
      <c r="E74" s="114">
        <v>7000</v>
      </c>
      <c r="F74" s="54" t="s">
        <v>204</v>
      </c>
      <c r="G74" s="54" t="s">
        <v>39</v>
      </c>
      <c r="H74" s="46" t="s">
        <v>357</v>
      </c>
      <c r="I74" s="40" t="s">
        <v>60</v>
      </c>
      <c r="J74" s="52"/>
      <c r="K74" s="55" t="s">
        <v>42</v>
      </c>
      <c r="L74" s="56"/>
    </row>
    <row r="75" ht="14.25" customHeight="1" outlineLevel="1">
      <c r="A75" s="45">
        <v>2</v>
      </c>
      <c r="B75" s="46" t="s">
        <v>135</v>
      </c>
      <c r="C75" s="46" t="s">
        <v>252</v>
      </c>
      <c r="D75" s="46" t="s">
        <v>711</v>
      </c>
      <c r="E75" s="87">
        <v>10455</v>
      </c>
      <c r="F75" s="48" t="s">
        <v>254</v>
      </c>
      <c r="G75" s="48" t="s">
        <v>39</v>
      </c>
      <c r="H75" s="46" t="s">
        <v>357</v>
      </c>
      <c r="I75" s="40" t="s">
        <v>41</v>
      </c>
      <c r="J75" s="46"/>
      <c r="K75" s="49" t="s">
        <v>42</v>
      </c>
      <c r="L75" s="50"/>
    </row>
    <row r="76" ht="14.25" customHeight="1" outlineLevel="1">
      <c r="A76" s="45">
        <v>3</v>
      </c>
      <c r="B76" s="40" t="s">
        <v>72</v>
      </c>
      <c r="C76" s="40" t="s">
        <v>205</v>
      </c>
      <c r="D76" s="40" t="s">
        <v>712</v>
      </c>
      <c r="E76" s="146">
        <v>7150</v>
      </c>
      <c r="F76" s="48" t="s">
        <v>207</v>
      </c>
      <c r="G76" s="42" t="s">
        <v>154</v>
      </c>
      <c r="H76" s="93" t="s">
        <v>208</v>
      </c>
      <c r="I76" s="40" t="s">
        <v>41</v>
      </c>
      <c r="J76" s="46"/>
      <c r="K76" s="49" t="s">
        <v>42</v>
      </c>
      <c r="L76" s="50"/>
    </row>
    <row r="77" ht="14.25" customHeight="1" outlineLevel="1">
      <c r="A77" s="45">
        <v>4</v>
      </c>
      <c r="B77" s="46" t="s">
        <v>126</v>
      </c>
      <c r="C77" s="46" t="s">
        <v>713</v>
      </c>
      <c r="D77" s="46"/>
      <c r="E77" s="87">
        <v>43724</v>
      </c>
      <c r="F77" s="48" t="s">
        <v>714</v>
      </c>
      <c r="G77" s="48" t="s">
        <v>154</v>
      </c>
      <c r="H77" s="46" t="s">
        <v>357</v>
      </c>
      <c r="I77" s="40"/>
      <c r="J77" s="46"/>
      <c r="K77" s="49" t="s">
        <v>42</v>
      </c>
      <c r="L77" s="50"/>
    </row>
    <row r="78" ht="14.25" customHeight="1" outlineLevel="1">
      <c r="A78" s="45">
        <v>5</v>
      </c>
      <c r="B78" s="46" t="s">
        <v>248</v>
      </c>
      <c r="C78" s="46" t="s">
        <v>715</v>
      </c>
      <c r="D78" s="46" t="s">
        <v>716</v>
      </c>
      <c r="E78" s="87">
        <v>15157.76</v>
      </c>
      <c r="F78" s="48" t="s">
        <v>433</v>
      </c>
      <c r="G78" s="48" t="s">
        <v>39</v>
      </c>
      <c r="H78" s="46" t="s">
        <v>357</v>
      </c>
      <c r="I78" s="40"/>
      <c r="J78" s="46"/>
      <c r="K78" s="49" t="s">
        <v>42</v>
      </c>
      <c r="L78" s="50"/>
    </row>
    <row r="79" ht="14.25" customHeight="1" outlineLevel="1">
      <c r="A79" s="45">
        <v>6</v>
      </c>
      <c r="B79" s="46" t="s">
        <v>248</v>
      </c>
      <c r="C79" s="46" t="s">
        <v>715</v>
      </c>
      <c r="D79" s="46" t="s">
        <v>717</v>
      </c>
      <c r="E79" s="87">
        <v>8868.8199999999997</v>
      </c>
      <c r="F79" s="48" t="s">
        <v>433</v>
      </c>
      <c r="G79" s="48" t="s">
        <v>39</v>
      </c>
      <c r="H79" s="46" t="s">
        <v>357</v>
      </c>
      <c r="I79" s="40"/>
      <c r="J79" s="46"/>
      <c r="K79" s="49" t="s">
        <v>42</v>
      </c>
      <c r="L79" s="50"/>
    </row>
    <row r="80" ht="28.5" outlineLevel="1">
      <c r="A80" s="45">
        <v>7</v>
      </c>
      <c r="B80" s="242" t="s">
        <v>248</v>
      </c>
      <c r="C80" s="242" t="s">
        <v>718</v>
      </c>
      <c r="D80" s="242" t="s">
        <v>719</v>
      </c>
      <c r="E80" s="87">
        <v>9500</v>
      </c>
      <c r="F80" s="243" t="s">
        <v>720</v>
      </c>
      <c r="G80" s="243" t="s">
        <v>39</v>
      </c>
      <c r="H80" s="46" t="s">
        <v>357</v>
      </c>
      <c r="I80" s="40"/>
      <c r="J80" s="46"/>
      <c r="K80" s="49" t="s">
        <v>42</v>
      </c>
      <c r="L80" s="50"/>
    </row>
    <row r="81" ht="14.25" customHeight="1" outlineLevel="1">
      <c r="A81" s="45">
        <v>8</v>
      </c>
      <c r="B81" s="46" t="s">
        <v>248</v>
      </c>
      <c r="C81" s="46" t="s">
        <v>721</v>
      </c>
      <c r="D81" s="46" t="s">
        <v>722</v>
      </c>
      <c r="E81" s="87">
        <v>6700</v>
      </c>
      <c r="F81" s="48" t="s">
        <v>433</v>
      </c>
      <c r="G81" s="48" t="s">
        <v>39</v>
      </c>
      <c r="H81" s="46" t="s">
        <v>357</v>
      </c>
      <c r="I81" s="40"/>
      <c r="J81" s="46"/>
      <c r="K81" s="49" t="s">
        <v>42</v>
      </c>
      <c r="L81" s="50"/>
    </row>
    <row r="82" ht="14.25" customHeight="1" outlineLevel="1">
      <c r="A82" s="45">
        <v>9</v>
      </c>
      <c r="B82" s="242"/>
      <c r="C82" s="242"/>
      <c r="D82" s="242"/>
      <c r="E82" s="298"/>
      <c r="F82" s="243"/>
      <c r="G82" s="243"/>
      <c r="H82" s="329"/>
      <c r="I82" s="40"/>
      <c r="J82" s="46"/>
      <c r="K82" s="103"/>
      <c r="L82" s="50"/>
    </row>
    <row r="83" ht="28.5" outlineLevel="1">
      <c r="A83" s="45">
        <v>10</v>
      </c>
      <c r="B83" s="46" t="s">
        <v>248</v>
      </c>
      <c r="C83" s="46" t="s">
        <v>723</v>
      </c>
      <c r="D83" s="46" t="s">
        <v>724</v>
      </c>
      <c r="E83" s="87">
        <v>10000</v>
      </c>
      <c r="F83" s="48" t="s">
        <v>725</v>
      </c>
      <c r="G83" s="48" t="s">
        <v>39</v>
      </c>
      <c r="H83" s="46" t="s">
        <v>357</v>
      </c>
      <c r="I83" s="40"/>
      <c r="J83" s="46"/>
      <c r="K83" s="134" t="s">
        <v>42</v>
      </c>
      <c r="L83" s="50"/>
    </row>
    <row r="84" ht="28.5" outlineLevel="1">
      <c r="A84" s="45">
        <v>11</v>
      </c>
      <c r="B84" s="46" t="s">
        <v>248</v>
      </c>
      <c r="C84" s="46" t="s">
        <v>723</v>
      </c>
      <c r="D84" s="46" t="s">
        <v>726</v>
      </c>
      <c r="E84" s="87">
        <v>10000</v>
      </c>
      <c r="F84" s="48" t="s">
        <v>727</v>
      </c>
      <c r="G84" s="48" t="s">
        <v>39</v>
      </c>
      <c r="H84" s="46" t="s">
        <v>357</v>
      </c>
      <c r="I84" s="40"/>
      <c r="J84" s="46"/>
      <c r="K84" s="134" t="s">
        <v>42</v>
      </c>
      <c r="L84" s="50"/>
    </row>
    <row r="85" ht="28.5" outlineLevel="1">
      <c r="A85" s="45">
        <v>12</v>
      </c>
      <c r="B85" s="46" t="s">
        <v>248</v>
      </c>
      <c r="C85" s="46" t="s">
        <v>723</v>
      </c>
      <c r="D85" s="1" t="s">
        <v>728</v>
      </c>
      <c r="E85" s="87">
        <v>10000</v>
      </c>
      <c r="F85" s="48" t="s">
        <v>729</v>
      </c>
      <c r="G85" s="48" t="s">
        <v>39</v>
      </c>
      <c r="H85" s="46" t="s">
        <v>357</v>
      </c>
      <c r="I85" s="40"/>
      <c r="J85" s="46"/>
      <c r="K85" s="134" t="s">
        <v>42</v>
      </c>
      <c r="L85" s="50"/>
    </row>
    <row r="86" ht="28.5" outlineLevel="1">
      <c r="A86" s="45">
        <v>13</v>
      </c>
      <c r="B86" s="46" t="s">
        <v>248</v>
      </c>
      <c r="C86" s="46" t="s">
        <v>723</v>
      </c>
      <c r="D86" s="328" t="s">
        <v>730</v>
      </c>
      <c r="E86" s="87">
        <v>10000</v>
      </c>
      <c r="F86" s="48" t="s">
        <v>731</v>
      </c>
      <c r="G86" s="48" t="s">
        <v>39</v>
      </c>
      <c r="H86" s="46" t="s">
        <v>357</v>
      </c>
      <c r="I86" s="40"/>
      <c r="J86" s="46"/>
      <c r="K86" s="134" t="s">
        <v>42</v>
      </c>
      <c r="L86" s="50"/>
    </row>
    <row r="87" ht="14.25" customHeight="1" outlineLevel="1">
      <c r="A87" s="45">
        <v>14</v>
      </c>
      <c r="B87" s="46" t="s">
        <v>126</v>
      </c>
      <c r="C87" s="46" t="s">
        <v>732</v>
      </c>
      <c r="D87" s="46"/>
      <c r="E87" s="87">
        <v>7928</v>
      </c>
      <c r="F87" s="48" t="s">
        <v>733</v>
      </c>
      <c r="G87" s="48" t="s">
        <v>154</v>
      </c>
      <c r="H87" s="46" t="s">
        <v>357</v>
      </c>
      <c r="I87" s="40"/>
      <c r="J87" s="46"/>
      <c r="K87" s="55" t="s">
        <v>42</v>
      </c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171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5" outlineLevel="1">
      <c r="A90" s="45">
        <v>1</v>
      </c>
      <c r="B90" s="313" t="s">
        <v>155</v>
      </c>
      <c r="C90" s="313" t="s">
        <v>275</v>
      </c>
      <c r="D90" s="313" t="s">
        <v>157</v>
      </c>
      <c r="E90" s="330">
        <v>557979.64000000001</v>
      </c>
      <c r="F90" s="172" t="s">
        <v>675</v>
      </c>
      <c r="G90" s="331" t="s">
        <v>154</v>
      </c>
      <c r="H90" s="52" t="s">
        <v>357</v>
      </c>
      <c r="I90" s="40"/>
      <c r="J90" s="52"/>
      <c r="K90" s="134" t="s">
        <v>42</v>
      </c>
      <c r="L90" s="56"/>
    </row>
    <row r="91" ht="42.75" outlineLevel="1">
      <c r="A91" s="89">
        <v>2</v>
      </c>
      <c r="B91" s="172" t="s">
        <v>155</v>
      </c>
      <c r="C91" s="172" t="s">
        <v>734</v>
      </c>
      <c r="D91" s="172" t="s">
        <v>157</v>
      </c>
      <c r="E91" s="332">
        <v>7804</v>
      </c>
      <c r="F91" s="160" t="s">
        <v>735</v>
      </c>
      <c r="G91" s="161" t="s">
        <v>39</v>
      </c>
      <c r="H91" s="46" t="s">
        <v>357</v>
      </c>
      <c r="I91" s="40" t="s">
        <v>41</v>
      </c>
      <c r="J91" s="46"/>
      <c r="K91" s="134" t="s">
        <v>42</v>
      </c>
      <c r="L91" s="50"/>
    </row>
    <row r="92" ht="30" outlineLevel="1">
      <c r="A92" s="89">
        <v>3</v>
      </c>
      <c r="B92" s="172" t="s">
        <v>155</v>
      </c>
      <c r="C92" s="172" t="s">
        <v>143</v>
      </c>
      <c r="D92" s="172" t="s">
        <v>144</v>
      </c>
      <c r="E92" s="332">
        <v>1166</v>
      </c>
      <c r="F92" s="160" t="s">
        <v>736</v>
      </c>
      <c r="G92" s="333" t="s">
        <v>154</v>
      </c>
      <c r="H92" s="46" t="s">
        <v>357</v>
      </c>
      <c r="I92" s="40"/>
      <c r="J92" s="46"/>
      <c r="K92" s="134" t="s">
        <v>42</v>
      </c>
      <c r="L92" s="50"/>
    </row>
    <row r="93" ht="15" outlineLevel="1">
      <c r="A93" s="89">
        <v>4</v>
      </c>
      <c r="B93" s="172" t="s">
        <v>155</v>
      </c>
      <c r="C93" s="172" t="s">
        <v>298</v>
      </c>
      <c r="D93" s="172" t="s">
        <v>274</v>
      </c>
      <c r="E93" s="334">
        <v>39698</v>
      </c>
      <c r="F93" s="160" t="s">
        <v>272</v>
      </c>
      <c r="G93" s="333" t="s">
        <v>39</v>
      </c>
      <c r="H93" s="46" t="s">
        <v>357</v>
      </c>
      <c r="I93" s="40"/>
      <c r="J93" s="46"/>
      <c r="K93" s="134" t="s">
        <v>42</v>
      </c>
      <c r="L93" s="50"/>
    </row>
    <row r="94" ht="15" outlineLevel="1">
      <c r="A94" s="89">
        <v>5</v>
      </c>
      <c r="B94" s="172" t="s">
        <v>155</v>
      </c>
      <c r="C94" s="172" t="s">
        <v>295</v>
      </c>
      <c r="D94" s="172" t="s">
        <v>274</v>
      </c>
      <c r="E94" s="332">
        <v>41013.5</v>
      </c>
      <c r="F94" s="160" t="s">
        <v>272</v>
      </c>
      <c r="G94" s="333" t="s">
        <v>39</v>
      </c>
      <c r="H94" s="46" t="s">
        <v>357</v>
      </c>
      <c r="I94" s="40"/>
      <c r="J94" s="46"/>
      <c r="K94" s="134" t="s">
        <v>42</v>
      </c>
      <c r="L94" s="50"/>
    </row>
    <row r="95" ht="15" outlineLevel="1">
      <c r="A95" s="89">
        <v>6</v>
      </c>
      <c r="B95" s="172" t="s">
        <v>155</v>
      </c>
      <c r="C95" s="172" t="s">
        <v>156</v>
      </c>
      <c r="D95" s="172" t="s">
        <v>157</v>
      </c>
      <c r="E95" s="332">
        <v>115458.62</v>
      </c>
      <c r="F95" s="160" t="s">
        <v>272</v>
      </c>
      <c r="G95" s="333" t="s">
        <v>39</v>
      </c>
      <c r="H95" s="46" t="s">
        <v>357</v>
      </c>
      <c r="I95" s="40"/>
      <c r="J95" s="46"/>
      <c r="K95" s="134" t="s">
        <v>42</v>
      </c>
      <c r="L95" s="50"/>
    </row>
    <row r="96" ht="15" outlineLevel="1">
      <c r="A96" s="45">
        <v>7</v>
      </c>
      <c r="B96" s="122" t="s">
        <v>155</v>
      </c>
      <c r="C96" s="122" t="s">
        <v>275</v>
      </c>
      <c r="D96" s="122" t="s">
        <v>157</v>
      </c>
      <c r="E96" s="335">
        <v>22695.049999999999</v>
      </c>
      <c r="F96" s="169" t="s">
        <v>272</v>
      </c>
      <c r="G96" s="169" t="s">
        <v>154</v>
      </c>
      <c r="H96" s="46" t="s">
        <v>357</v>
      </c>
      <c r="I96" s="40"/>
      <c r="J96" s="46"/>
      <c r="K96" s="134" t="s">
        <v>42</v>
      </c>
      <c r="L96" s="50"/>
    </row>
    <row r="97" ht="28.5" outlineLevel="1">
      <c r="A97" s="89">
        <v>8</v>
      </c>
      <c r="B97" s="336" t="s">
        <v>737</v>
      </c>
      <c r="C97" s="336" t="s">
        <v>143</v>
      </c>
      <c r="D97" s="336" t="s">
        <v>144</v>
      </c>
      <c r="E97" s="337">
        <v>294785</v>
      </c>
      <c r="F97" s="336" t="s">
        <v>738</v>
      </c>
      <c r="G97" s="338"/>
      <c r="H97" s="46" t="s">
        <v>357</v>
      </c>
      <c r="I97" s="40"/>
      <c r="J97" s="46" t="s">
        <v>739</v>
      </c>
      <c r="K97" s="55" t="s">
        <v>42</v>
      </c>
      <c r="L97" s="50"/>
    </row>
    <row r="98" ht="14.25" customHeight="1" outlineLevel="1">
      <c r="A98" s="45">
        <v>9</v>
      </c>
      <c r="B98" s="40"/>
      <c r="C98" s="40"/>
      <c r="D98" s="40"/>
      <c r="E98" s="41"/>
      <c r="F98" s="42"/>
      <c r="G98" s="42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171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46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 t="s">
        <v>351</v>
      </c>
      <c r="D103" s="40"/>
      <c r="E103" s="94">
        <v>3100000</v>
      </c>
      <c r="F103" s="42"/>
      <c r="G103" s="42"/>
      <c r="H103" s="40"/>
      <c r="I103" s="40"/>
      <c r="J103" s="40"/>
      <c r="K103" s="43" t="s">
        <v>42</v>
      </c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5425443.46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-4796045.3300000001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40116.139999999999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>
        <v>40116.139999999999</v>
      </c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5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40116.139999999999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2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B70045-0045-4AF8-80C4-000500AD0032}" type="list" allowBlank="1" errorStyle="stop" imeMode="noControl" operator="between" showDropDown="0" showErrorMessage="1" showInputMessage="1">
          <x14:formula1>
            <xm:f>ДаНет</xm:f>
          </x14:formula1>
          <xm:sqref>I48:I56 I69:I72 I74:I75 I77:I88 I90:I99 I101:I105 I117:I131 I133:I147 I149:I158 I160:I164 I16:I35</xm:sqref>
        </x14:dataValidation>
        <x14:dataValidation xr:uid="{00AA00D0-005F-4E11-9A61-004F00FA0085}" type="list" allowBlank="1" errorStyle="stop" imeMode="noControl" operator="between" showDropDown="0" showErrorMessage="1" showInputMessage="1">
          <x14:formula1>
            <xm:f>ДаНет</xm:f>
          </x14:formula1>
          <xm:sqref>I76</xm:sqref>
        </x14:dataValidation>
        <x14:dataValidation xr:uid="{006F008C-008E-4174-9746-004B00E90034}" type="list" allowBlank="1" errorStyle="stop" imeMode="noControl" operator="between" showDropDown="0" showErrorMessage="1" showInputMessage="1">
          <x14:formula1>
            <xm:f>ДаНет</xm:f>
          </x14:formula1>
          <xm:sqref>I37:I39 I41:I47</xm:sqref>
        </x14:dataValidation>
        <x14:dataValidation xr:uid="{000C0067-0032-48DA-A1CA-002C00DE00E6}" type="list" allowBlank="1" errorStyle="stop" imeMode="noControl" operator="between" showDropDown="0" showErrorMessage="1" showInputMessage="1">
          <x14:formula1>
            <xm:f>ДаНет</xm:f>
          </x14:formula1>
          <xm:sqref>I58:I60 I62:I68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A73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4.7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'25'!C2+1</f>
        <v>46107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6253760.6899999995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6077481.8899999997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26252.91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/>
      <c r="F9" s="12"/>
      <c r="G9" s="12"/>
      <c r="H9" s="12"/>
      <c r="I9" s="12"/>
      <c r="J9" s="12"/>
    </row>
    <row r="10" ht="15" customHeight="1">
      <c r="A10" s="21" t="s">
        <v>6</v>
      </c>
      <c r="B10" s="18"/>
      <c r="C10" s="18"/>
      <c r="D10" s="19"/>
      <c r="E10" s="22">
        <v>24401.41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66998.949999999997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42803.93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122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89">
        <v>2</v>
      </c>
      <c r="B17" s="90" t="s">
        <v>44</v>
      </c>
      <c r="C17" s="46" t="s">
        <v>45</v>
      </c>
      <c r="D17" s="46" t="s">
        <v>46</v>
      </c>
      <c r="E17" s="174" t="s">
        <v>454</v>
      </c>
      <c r="F17" s="48" t="s">
        <v>48</v>
      </c>
      <c r="G17" s="48"/>
      <c r="H17" s="46"/>
      <c r="I17" s="40" t="s">
        <v>41</v>
      </c>
      <c r="J17" s="46"/>
      <c r="K17" s="49"/>
      <c r="L17" s="50"/>
    </row>
    <row r="18" ht="14.25" customHeight="1" outlineLevel="1">
      <c r="A18" s="89">
        <v>3</v>
      </c>
      <c r="B18" s="155" t="s">
        <v>44</v>
      </c>
      <c r="C18" s="46" t="s">
        <v>150</v>
      </c>
      <c r="D18" s="46" t="s">
        <v>453</v>
      </c>
      <c r="E18" s="316"/>
      <c r="F18" s="48" t="s">
        <v>48</v>
      </c>
      <c r="G18" s="48"/>
      <c r="H18" s="46"/>
      <c r="I18" s="40" t="s">
        <v>41</v>
      </c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30" outlineLevel="1">
      <c r="A90" s="89">
        <v>1</v>
      </c>
      <c r="B90" s="172" t="s">
        <v>155</v>
      </c>
      <c r="C90" s="172" t="s">
        <v>143</v>
      </c>
      <c r="D90" s="172" t="s">
        <v>144</v>
      </c>
      <c r="E90" s="339">
        <v>5600000</v>
      </c>
      <c r="F90" s="172" t="s">
        <v>740</v>
      </c>
      <c r="G90" s="172" t="s">
        <v>154</v>
      </c>
      <c r="H90" s="172" t="s">
        <v>357</v>
      </c>
      <c r="I90" s="172" t="s">
        <v>289</v>
      </c>
      <c r="J90" s="340" t="s">
        <v>741</v>
      </c>
      <c r="K90" s="311" t="s">
        <v>42</v>
      </c>
      <c r="L90" s="56"/>
    </row>
    <row r="91" ht="36.75" customHeight="1" outlineLevel="1">
      <c r="A91" s="89">
        <v>2</v>
      </c>
      <c r="B91" s="172"/>
      <c r="C91" s="172"/>
      <c r="D91" s="172"/>
      <c r="E91" s="341"/>
      <c r="F91" s="172"/>
      <c r="G91" s="172"/>
      <c r="H91" s="172"/>
      <c r="I91" s="172"/>
      <c r="J91" s="310"/>
      <c r="K91" s="342"/>
      <c r="L91" s="50"/>
    </row>
    <row r="92" ht="14.25" customHeight="1" outlineLevel="1">
      <c r="A92" s="45">
        <v>3</v>
      </c>
      <c r="B92" s="40"/>
      <c r="C92" s="40"/>
      <c r="D92" s="40"/>
      <c r="E92" s="41"/>
      <c r="F92" s="42"/>
      <c r="G92" s="42"/>
      <c r="H92" s="40"/>
      <c r="I92" s="40"/>
      <c r="J92" s="40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46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hidden="1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hidden="1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hidden="1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hidden="1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 collapsed="1">
      <c r="A106" s="64" t="s">
        <v>27</v>
      </c>
      <c r="B106" s="65"/>
      <c r="C106" s="65"/>
      <c r="D106" s="65"/>
      <c r="E106" s="66">
        <f>SUM(E15:E105)</f>
        <v>5600000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653760.68999999948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40116.139999999999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>
        <v>40116.139999999999</v>
      </c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5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40116.139999999999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" right="0" top="0" bottom="0" header="0.29999999999999999" footer="0.29999999999999999"/>
  <pageSetup paperSize="9" scale="23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36008E-0000-46B1-B19E-00BA006C00DF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I92:I99 I101:I105 I117:I131 I133:I147 I149:I158 I160:I164 I16:I35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-0.499984740745262"/>
    <outlinePr applyStyles="0" summaryBelow="1" summaryRight="1" showOutlineSymbols="1"/>
    <pageSetUpPr autoPageBreaks="1" fitToPage="1"/>
  </sheetPr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38.4218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'26'!C2+1</f>
        <v>46108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3479181.4500000007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3205641.6000000001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10252.91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43366.839999999997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94295.619999999995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66998.949999999997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42803.93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742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224">
        <v>1</v>
      </c>
      <c r="B16" s="90" t="s">
        <v>44</v>
      </c>
      <c r="C16" s="46" t="s">
        <v>45</v>
      </c>
      <c r="D16" s="46" t="s">
        <v>46</v>
      </c>
      <c r="E16" s="174" t="s">
        <v>454</v>
      </c>
      <c r="F16" s="48" t="s">
        <v>48</v>
      </c>
      <c r="G16" s="48"/>
      <c r="H16" s="46"/>
      <c r="I16" s="40"/>
      <c r="J16" s="40"/>
      <c r="K16" s="43"/>
      <c r="L16" s="44"/>
    </row>
    <row r="17" ht="14.25" customHeight="1" outlineLevel="1">
      <c r="A17" s="89">
        <v>2</v>
      </c>
      <c r="B17" s="155" t="s">
        <v>44</v>
      </c>
      <c r="C17" s="46" t="s">
        <v>150</v>
      </c>
      <c r="D17" s="46" t="s">
        <v>453</v>
      </c>
      <c r="E17" s="343">
        <v>5000000</v>
      </c>
      <c r="F17" s="48" t="s">
        <v>48</v>
      </c>
      <c r="G17" s="48"/>
      <c r="H17" s="46"/>
      <c r="I17" s="40"/>
      <c r="J17" s="46"/>
      <c r="K17" s="49" t="s">
        <v>42</v>
      </c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242" t="s">
        <v>72</v>
      </c>
      <c r="C74" s="242" t="s">
        <v>392</v>
      </c>
      <c r="D74" s="242" t="s">
        <v>743</v>
      </c>
      <c r="E74" s="344">
        <v>50000</v>
      </c>
      <c r="F74" s="243" t="s">
        <v>394</v>
      </c>
      <c r="G74" s="345" t="s">
        <v>39</v>
      </c>
      <c r="H74" s="52" t="s">
        <v>357</v>
      </c>
      <c r="I74" s="40"/>
      <c r="J74" s="52"/>
      <c r="K74" s="55" t="s">
        <v>42</v>
      </c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45" outlineLevel="1">
      <c r="A90" s="89">
        <v>1</v>
      </c>
      <c r="B90" s="172" t="s">
        <v>155</v>
      </c>
      <c r="C90" s="172" t="s">
        <v>143</v>
      </c>
      <c r="D90" s="172" t="s">
        <v>144</v>
      </c>
      <c r="E90" s="339">
        <v>1425000</v>
      </c>
      <c r="F90" s="172" t="s">
        <v>744</v>
      </c>
      <c r="G90" s="172" t="s">
        <v>154</v>
      </c>
      <c r="H90" s="172" t="s">
        <v>357</v>
      </c>
      <c r="I90" s="172" t="s">
        <v>289</v>
      </c>
      <c r="J90" s="340" t="s">
        <v>741</v>
      </c>
      <c r="K90" s="311" t="s">
        <v>42</v>
      </c>
      <c r="L90" s="56"/>
    </row>
    <row r="91" ht="14.25" customHeight="1" outlineLevel="1">
      <c r="A91" s="45">
        <v>2</v>
      </c>
      <c r="B91" s="40"/>
      <c r="C91" s="40"/>
      <c r="D91" s="40"/>
      <c r="E91" s="41"/>
      <c r="F91" s="42"/>
      <c r="G91" s="42"/>
      <c r="H91" s="40"/>
      <c r="I91" s="40"/>
      <c r="J91" s="40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46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6475000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-2995818.5499999993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40116.139999999999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>
        <v>40116.139999999999</v>
      </c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5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40116.139999999999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" right="0" top="0" bottom="0" header="0.29999999999999999" footer="0.29999999999999999"/>
  <pageSetup paperSize="9" scale="23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100B6-00BD-4A3D-B8C5-00ED00DE00FA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I91:I99 I101:I105 I117:I131 I133:I147 I149:I158 I160:I164 I18:I35</xm:sqref>
        </x14:dataValidation>
        <x14:dataValidation xr:uid="{0076008A-0040-4790-90EC-00B4000100A6}" type="list" allowBlank="1" errorStyle="stop" imeMode="noControl" operator="between" showDropDown="0" showErrorMessage="1" showInputMessage="1">
          <x14:formula1>
            <xm:f>ДаНет</xm:f>
          </x14:formula1>
          <xm:sqref>I16:I17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'27'!C2+1</f>
        <v>46109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0</v>
      </c>
      <c r="F4" s="12"/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/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/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/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/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/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/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/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45">
        <v>2</v>
      </c>
      <c r="B17" s="46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/>
      <c r="C90" s="52"/>
      <c r="D90" s="52"/>
      <c r="E90" s="53"/>
      <c r="F90" s="54"/>
      <c r="G90" s="54"/>
      <c r="H90" s="52"/>
      <c r="I90" s="40"/>
      <c r="J90" s="52"/>
      <c r="K90" s="55"/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0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0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/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199999999999999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0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90005-00D3-44E9-904E-006C00B7001E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F30" activeCellId="0" sqref="F30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'28'!C2+1</f>
        <v>46110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0</v>
      </c>
      <c r="F4" s="12"/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/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/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/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/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/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/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/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40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45">
        <v>2</v>
      </c>
      <c r="B17" s="46"/>
      <c r="C17" s="46"/>
      <c r="D17" s="46"/>
      <c r="E17" s="47"/>
      <c r="F17" s="48"/>
      <c r="G17" s="48"/>
      <c r="H17" s="46"/>
      <c r="I17" s="40"/>
      <c r="J17" s="46"/>
      <c r="K17" s="49"/>
      <c r="L17" s="50"/>
    </row>
    <row r="18" ht="14.25" customHeight="1" outlineLevel="1">
      <c r="A18" s="45">
        <v>3</v>
      </c>
      <c r="B18" s="46"/>
      <c r="C18" s="46"/>
      <c r="D18" s="46"/>
      <c r="E18" s="47"/>
      <c r="F18" s="48"/>
      <c r="G18" s="48"/>
      <c r="H18" s="46"/>
      <c r="I18" s="40"/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39">
        <v>1</v>
      </c>
      <c r="B58" s="52"/>
      <c r="C58" s="52"/>
      <c r="D58" s="52"/>
      <c r="E58" s="53"/>
      <c r="F58" s="54"/>
      <c r="G58" s="54"/>
      <c r="H58" s="52"/>
      <c r="I58" s="40"/>
      <c r="J58" s="52"/>
      <c r="K58" s="55"/>
      <c r="L58" s="56"/>
    </row>
    <row r="59" ht="14.25" customHeight="1" outlineLevel="1">
      <c r="A59" s="45">
        <v>2</v>
      </c>
      <c r="B59" s="46"/>
      <c r="C59" s="46"/>
      <c r="D59" s="46"/>
      <c r="E59" s="47"/>
      <c r="F59" s="48"/>
      <c r="G59" s="48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/>
      <c r="C90" s="52"/>
      <c r="D90" s="52"/>
      <c r="E90" s="53"/>
      <c r="F90" s="54"/>
      <c r="G90" s="54"/>
      <c r="H90" s="52"/>
      <c r="I90" s="40"/>
      <c r="J90" s="52"/>
      <c r="K90" s="55"/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52"/>
      <c r="C101" s="52"/>
      <c r="D101" s="52"/>
      <c r="E101" s="53"/>
      <c r="F101" s="54"/>
      <c r="G101" s="54"/>
      <c r="H101" s="52"/>
      <c r="I101" s="40"/>
      <c r="J101" s="52"/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0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0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/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199999999999999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0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A0027-002F-49BF-8B0B-00A000BF003F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I101:I105 I117:I131 I133:I147 I149:I158 I160:I164 I16:I35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37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32.574218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'29'!C2+1</f>
        <v>46111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5923231.5899999999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4649691.7400000002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10252.91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43366.839999999997</v>
      </c>
      <c r="F9" s="12"/>
      <c r="G9" s="12"/>
      <c r="H9" s="12"/>
      <c r="I9" s="12"/>
      <c r="J9" s="12"/>
    </row>
    <row r="10">
      <c r="A10" s="21" t="s">
        <v>6</v>
      </c>
      <c r="B10" s="18"/>
      <c r="C10" s="18"/>
      <c r="D10" s="19"/>
      <c r="E10" s="22">
        <v>94295.619999999995</v>
      </c>
      <c r="F10" s="12"/>
      <c r="G10" s="12"/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1066998.95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42803.93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171" t="s">
        <v>21</v>
      </c>
      <c r="C15" s="179"/>
      <c r="D15" s="180"/>
      <c r="E15" s="181"/>
      <c r="F15" s="171"/>
      <c r="G15" s="34"/>
      <c r="H15" s="34"/>
      <c r="I15" s="34"/>
      <c r="J15" s="34"/>
      <c r="K15" s="34"/>
      <c r="L15" s="38"/>
    </row>
    <row r="16" ht="14.25" customHeight="1" outlineLevel="1">
      <c r="A16" s="224">
        <v>1</v>
      </c>
      <c r="B16" s="90" t="s">
        <v>44</v>
      </c>
      <c r="C16" s="46" t="s">
        <v>45</v>
      </c>
      <c r="D16" s="46" t="s">
        <v>46</v>
      </c>
      <c r="E16" s="174" t="s">
        <v>454</v>
      </c>
      <c r="F16" s="48" t="s">
        <v>48</v>
      </c>
      <c r="G16" s="42"/>
      <c r="H16" s="40"/>
      <c r="I16" s="40" t="s">
        <v>41</v>
      </c>
      <c r="J16" s="40"/>
      <c r="K16" s="43"/>
      <c r="L16" s="44"/>
    </row>
    <row r="17" ht="14.25" customHeight="1" outlineLevel="1">
      <c r="A17" s="89">
        <v>2</v>
      </c>
      <c r="B17" s="130" t="s">
        <v>44</v>
      </c>
      <c r="C17" s="46" t="s">
        <v>150</v>
      </c>
      <c r="D17" s="46" t="s">
        <v>453</v>
      </c>
      <c r="E17" s="316"/>
      <c r="F17" s="48" t="s">
        <v>48</v>
      </c>
      <c r="G17" s="48"/>
      <c r="H17" s="46"/>
      <c r="I17" s="40" t="s">
        <v>41</v>
      </c>
      <c r="J17" s="46"/>
      <c r="K17" s="49"/>
      <c r="L17" s="50"/>
    </row>
    <row r="18" ht="14.25" customHeight="1" outlineLevel="1">
      <c r="A18" s="89">
        <v>3</v>
      </c>
      <c r="B18" s="155" t="s">
        <v>44</v>
      </c>
      <c r="C18" s="46" t="s">
        <v>645</v>
      </c>
      <c r="D18" s="46" t="s">
        <v>646</v>
      </c>
      <c r="E18" s="96" t="s">
        <v>745</v>
      </c>
      <c r="F18" s="48" t="s">
        <v>48</v>
      </c>
      <c r="G18" s="48"/>
      <c r="H18" s="46"/>
      <c r="I18" s="40" t="s">
        <v>41</v>
      </c>
      <c r="J18" s="46"/>
      <c r="K18" s="49"/>
      <c r="L18" s="50"/>
    </row>
    <row r="19" ht="14.25" customHeight="1" outlineLevel="1">
      <c r="A19" s="45">
        <v>4</v>
      </c>
      <c r="B19" s="46"/>
      <c r="C19" s="46"/>
      <c r="D19" s="46"/>
      <c r="E19" s="47"/>
      <c r="F19" s="48"/>
      <c r="G19" s="48"/>
      <c r="H19" s="46"/>
      <c r="I19" s="40"/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51" t="s">
        <v>23</v>
      </c>
      <c r="C57" s="35"/>
      <c r="D57" s="36"/>
      <c r="E57" s="37"/>
      <c r="F57" s="34"/>
      <c r="G57" s="34"/>
      <c r="H57" s="34"/>
      <c r="I57" s="34"/>
      <c r="J57" s="34"/>
      <c r="K57" s="34"/>
      <c r="L57" s="38"/>
    </row>
    <row r="58" ht="14.25" customHeight="1" outlineLevel="1">
      <c r="A58" s="224">
        <v>1</v>
      </c>
      <c r="B58" s="105"/>
      <c r="C58" s="105"/>
      <c r="D58" s="105"/>
      <c r="E58" s="253"/>
      <c r="F58" s="105"/>
      <c r="G58" s="105"/>
      <c r="H58" s="162"/>
      <c r="I58" s="40"/>
      <c r="J58" s="52"/>
      <c r="K58" s="55"/>
      <c r="L58" s="56"/>
    </row>
    <row r="59" ht="14.25" customHeight="1" outlineLevel="1">
      <c r="A59" s="89">
        <v>2</v>
      </c>
      <c r="B59" s="105"/>
      <c r="C59" s="105"/>
      <c r="D59" s="105"/>
      <c r="E59" s="253"/>
      <c r="F59" s="105"/>
      <c r="G59" s="105"/>
      <c r="H59" s="121"/>
      <c r="I59" s="40"/>
      <c r="J59" s="46"/>
      <c r="K59" s="49"/>
      <c r="L59" s="50"/>
    </row>
    <row r="60" ht="14.25" customHeight="1" outlineLevel="1">
      <c r="A60" s="89">
        <v>3</v>
      </c>
      <c r="B60" s="105"/>
      <c r="C60" s="105"/>
      <c r="D60" s="105"/>
      <c r="E60" s="253"/>
      <c r="F60" s="105"/>
      <c r="G60" s="105"/>
      <c r="H60" s="121"/>
      <c r="I60" s="40"/>
      <c r="J60" s="136"/>
      <c r="K60" s="49"/>
      <c r="L60" s="50"/>
    </row>
    <row r="61" ht="28.5" outlineLevel="1">
      <c r="A61" s="89">
        <v>4</v>
      </c>
      <c r="B61" s="105" t="s">
        <v>115</v>
      </c>
      <c r="C61" s="299" t="s">
        <v>215</v>
      </c>
      <c r="D61" s="299" t="s">
        <v>216</v>
      </c>
      <c r="E61" s="346">
        <v>950000</v>
      </c>
      <c r="F61" s="243" t="s">
        <v>217</v>
      </c>
      <c r="G61" s="299" t="s">
        <v>39</v>
      </c>
      <c r="H61" s="347" t="s">
        <v>746</v>
      </c>
      <c r="I61" s="40" t="s">
        <v>41</v>
      </c>
      <c r="J61" s="136"/>
      <c r="K61" s="49" t="s">
        <v>42</v>
      </c>
      <c r="L61" s="50"/>
    </row>
    <row r="62" ht="14.25" customHeight="1" outlineLevel="1">
      <c r="A62" s="89">
        <v>5</v>
      </c>
      <c r="B62" s="105"/>
      <c r="C62" s="105"/>
      <c r="D62" s="105"/>
      <c r="E62" s="253"/>
      <c r="F62" s="105"/>
      <c r="G62" s="105"/>
      <c r="H62" s="121"/>
      <c r="I62" s="40"/>
      <c r="J62" s="46"/>
      <c r="K62" s="49"/>
      <c r="L62" s="50"/>
    </row>
    <row r="63" ht="14.25" customHeight="1" outlineLevel="1">
      <c r="A63" s="89">
        <v>6</v>
      </c>
      <c r="B63" s="105"/>
      <c r="C63" s="105"/>
      <c r="D63" s="105"/>
      <c r="E63" s="253"/>
      <c r="F63" s="105"/>
      <c r="G63" s="105"/>
      <c r="H63" s="121"/>
      <c r="I63" s="40"/>
      <c r="J63" s="46"/>
      <c r="K63" s="49"/>
      <c r="L63" s="50"/>
    </row>
    <row r="64" ht="14.25" customHeight="1" outlineLevel="1">
      <c r="A64" s="89">
        <v>7</v>
      </c>
      <c r="B64" s="348"/>
      <c r="C64" s="348"/>
      <c r="D64" s="348"/>
      <c r="E64" s="349"/>
      <c r="F64" s="345"/>
      <c r="G64" s="345"/>
      <c r="H64" s="121"/>
      <c r="I64" s="40"/>
      <c r="J64" s="46"/>
      <c r="K64" s="49"/>
      <c r="L64" s="50"/>
    </row>
    <row r="65" ht="14.25" customHeight="1" outlineLevel="1">
      <c r="A65" s="45">
        <v>8</v>
      </c>
      <c r="B65" s="244"/>
      <c r="C65" s="244"/>
      <c r="D65" s="244"/>
      <c r="E65" s="292"/>
      <c r="F65" s="263"/>
      <c r="G65" s="345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242"/>
      <c r="C66" s="242"/>
      <c r="D66" s="242"/>
      <c r="E66" s="350"/>
      <c r="F66" s="243"/>
      <c r="G66" s="345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242"/>
      <c r="C67" s="242"/>
      <c r="D67" s="242"/>
      <c r="E67" s="350"/>
      <c r="F67" s="243"/>
      <c r="G67" s="345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s="351" customFormat="1" ht="42.75" outlineLevel="1">
      <c r="A74" s="352">
        <v>1</v>
      </c>
      <c r="B74" s="353" t="s">
        <v>747</v>
      </c>
      <c r="C74" s="353" t="s">
        <v>748</v>
      </c>
      <c r="D74" s="353" t="s">
        <v>749</v>
      </c>
      <c r="E74" s="354" t="s">
        <v>750</v>
      </c>
      <c r="F74" s="353" t="s">
        <v>751</v>
      </c>
      <c r="G74" s="355"/>
      <c r="H74" s="356" t="s">
        <v>277</v>
      </c>
      <c r="I74" s="357" t="s">
        <v>41</v>
      </c>
      <c r="J74" s="355"/>
      <c r="K74" s="358"/>
      <c r="L74" s="359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30" outlineLevel="1">
      <c r="A90" s="89">
        <v>1</v>
      </c>
      <c r="B90" s="172" t="s">
        <v>142</v>
      </c>
      <c r="C90" s="172" t="s">
        <v>143</v>
      </c>
      <c r="D90" s="172" t="s">
        <v>144</v>
      </c>
      <c r="E90" s="339">
        <f>11813+10216+14888+2685+28703+174923/3</f>
        <v>126612.66666666666</v>
      </c>
      <c r="F90" s="172" t="s">
        <v>752</v>
      </c>
      <c r="G90" s="172"/>
      <c r="H90" s="172" t="s">
        <v>753</v>
      </c>
      <c r="I90" s="172"/>
      <c r="J90" s="310"/>
      <c r="K90" s="311" t="s">
        <v>42</v>
      </c>
      <c r="L90" s="56"/>
    </row>
    <row r="91" ht="14.25" customHeight="1" outlineLevel="1">
      <c r="A91" s="45">
        <v>2</v>
      </c>
      <c r="B91" s="40"/>
      <c r="C91" s="40"/>
      <c r="D91" s="40"/>
      <c r="E91" s="41"/>
      <c r="F91" s="42"/>
      <c r="G91" s="42"/>
      <c r="H91" s="40"/>
      <c r="I91" s="40"/>
      <c r="J91" s="40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34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95" t="s">
        <v>445</v>
      </c>
      <c r="C101" s="360" t="s">
        <v>648</v>
      </c>
      <c r="D101" s="360" t="s">
        <v>649</v>
      </c>
      <c r="E101" s="361" t="s">
        <v>754</v>
      </c>
      <c r="F101" s="362" t="s">
        <v>755</v>
      </c>
      <c r="G101" s="54"/>
      <c r="H101" s="52"/>
      <c r="I101" s="40"/>
      <c r="J101" s="52" t="s">
        <v>756</v>
      </c>
      <c r="K101" s="55"/>
      <c r="L101" s="56"/>
    </row>
    <row r="102" ht="14.25" customHeight="1" outlineLevel="1">
      <c r="A102" s="39">
        <v>2</v>
      </c>
      <c r="B102" s="40"/>
      <c r="C102" s="40"/>
      <c r="D102" s="40"/>
      <c r="E102" s="41"/>
      <c r="F102" s="42"/>
      <c r="G102" s="42"/>
      <c r="H102" s="40"/>
      <c r="I102" s="40"/>
      <c r="J102" s="40"/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1076612.6666666667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4846618.9233333329</v>
      </c>
      <c r="F107" s="67"/>
      <c r="G107" s="67"/>
    </row>
    <row r="108" ht="24.75" customHeight="1"/>
    <row r="109" ht="30" customHeight="1">
      <c r="A109" s="68" t="s">
        <v>29</v>
      </c>
      <c r="B109" s="69"/>
      <c r="C109" s="69"/>
      <c r="D109" s="70"/>
      <c r="E109" s="71">
        <f>SUM(E110:E113)</f>
        <v>40116.139999999999</v>
      </c>
      <c r="F109" s="86" t="s">
        <v>34</v>
      </c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>
        <v>40116.139999999999</v>
      </c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5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hidden="1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hidden="1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hidden="1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hidden="1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hidden="1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hidden="1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hidden="1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hidden="1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hidden="1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hidden="1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hidden="1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hidden="1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hidden="1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hidden="1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hidden="1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hidden="1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hidden="1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hidden="1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hidden="1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hidden="1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hidden="1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hidden="1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hidden="1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hidden="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hidden="1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hidden="1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hidden="1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hidden="1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hidden="1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hidden="1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 t="s">
        <v>142</v>
      </c>
      <c r="C149" s="52" t="s">
        <v>143</v>
      </c>
      <c r="D149" s="52" t="s">
        <v>144</v>
      </c>
      <c r="E149" s="296">
        <f>3366+7790</f>
        <v>11156</v>
      </c>
      <c r="F149" s="54" t="s">
        <v>757</v>
      </c>
      <c r="G149" s="54"/>
      <c r="H149" s="52"/>
      <c r="I149" s="40"/>
      <c r="J149" s="52"/>
      <c r="K149" s="55" t="s">
        <v>42</v>
      </c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11156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28960.139999999999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" right="0" top="0" bottom="0" header="0.29999999999999999" footer="0.29999999999999999"/>
  <pageSetup paperSize="9" scale="28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800BC-007C-47D1-A8DC-00C60014000D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I91:I99 I101:I105 I117:I131 I133:I147 I149:I158 I160:I164 I16:I35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A74" zoomScale="100" workbookViewId="0">
      <selection activeCell="A11" activeCellId="0" sqref="11:11"/>
    </sheetView>
  </sheetViews>
  <sheetFormatPr defaultColWidth="9.109375" defaultRowHeight="14.25" outlineLevelRow="1"/>
  <cols>
    <col customWidth="1" min="1" max="1" style="1" width="8.5546875"/>
    <col customWidth="1" min="2" max="2" style="1" width="17.44140625"/>
    <col customWidth="1" min="3" max="3" style="1" width="26"/>
    <col customWidth="1" min="4" max="4" style="1" width="22.109375"/>
    <col customWidth="1" min="5" max="5" style="1" width="26"/>
    <col customWidth="1" min="6" max="6" style="1" width="34.6640625"/>
    <col bestFit="1" customWidth="1" min="7" max="7" style="1" width="23.109375"/>
    <col customWidth="1" min="8" max="8" style="1" width="20.6640625"/>
    <col customWidth="1" min="9" max="9" style="1" width="11"/>
    <col customWidth="1" min="10" max="10" style="1" width="22.109375"/>
    <col bestFit="1" customWidth="1" min="11" max="11" style="1" width="11.5546875"/>
    <col customWidth="1" min="12" max="12" style="1" width="20.5546875"/>
    <col min="13" max="16384" style="1" width="9.10937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'30'!C2+1</f>
        <v>46112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SUM(E5:E12)</f>
        <v>1662698</v>
      </c>
      <c r="F4" s="86" t="s">
        <v>34</v>
      </c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>
        <v>1419968.1499999999</v>
      </c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>
        <v>10252.91</v>
      </c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21" t="s">
        <v>4</v>
      </c>
      <c r="B8" s="18"/>
      <c r="C8" s="18"/>
      <c r="D8" s="19"/>
      <c r="E8" s="20">
        <v>15821.6</v>
      </c>
      <c r="F8" s="12"/>
      <c r="G8" s="12"/>
      <c r="H8" s="12"/>
      <c r="I8" s="12"/>
      <c r="J8" s="12"/>
    </row>
    <row r="9">
      <c r="A9" s="21" t="s">
        <v>5</v>
      </c>
      <c r="B9" s="18"/>
      <c r="C9" s="18"/>
      <c r="D9" s="19"/>
      <c r="E9" s="20">
        <v>43366.839999999997</v>
      </c>
      <c r="F9" s="12"/>
      <c r="G9" s="12"/>
      <c r="H9" s="12"/>
      <c r="I9" s="12"/>
      <c r="J9" s="12"/>
    </row>
    <row r="10" ht="28.5">
      <c r="A10" s="21" t="s">
        <v>6</v>
      </c>
      <c r="B10" s="196"/>
      <c r="C10" s="196"/>
      <c r="D10" s="196"/>
      <c r="E10" s="20">
        <v>94272.619999999995</v>
      </c>
      <c r="H10" s="12"/>
      <c r="I10" s="12"/>
      <c r="J10" s="12"/>
    </row>
    <row r="11">
      <c r="A11" s="21" t="s">
        <v>7</v>
      </c>
      <c r="B11" s="18"/>
      <c r="C11" s="18"/>
      <c r="D11" s="19"/>
      <c r="E11" s="22">
        <v>66998.949999999997</v>
      </c>
      <c r="F11" s="12"/>
      <c r="G11" s="12"/>
      <c r="H11" s="12"/>
      <c r="I11" s="12"/>
      <c r="J11" s="12"/>
    </row>
    <row r="12" ht="15">
      <c r="A12" s="23" t="s">
        <v>8</v>
      </c>
      <c r="B12" s="24"/>
      <c r="C12" s="24"/>
      <c r="D12" s="25"/>
      <c r="E12" s="26">
        <v>12016.93</v>
      </c>
      <c r="F12" s="12"/>
      <c r="G12" s="12"/>
      <c r="H12" s="12"/>
      <c r="I12" s="12"/>
      <c r="J12" s="12"/>
    </row>
    <row r="13" ht="4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ht="35.25" customHeight="1" outlineLevel="1">
      <c r="A14" s="28" t="s">
        <v>9</v>
      </c>
      <c r="B14" s="28" t="s">
        <v>10</v>
      </c>
      <c r="C14" s="28" t="s">
        <v>11</v>
      </c>
      <c r="D14" s="28" t="s">
        <v>12</v>
      </c>
      <c r="E14" s="29" t="s">
        <v>13</v>
      </c>
      <c r="F14" s="28" t="s">
        <v>14</v>
      </c>
      <c r="G14" s="30" t="s">
        <v>15</v>
      </c>
      <c r="H14" s="28" t="s">
        <v>16</v>
      </c>
      <c r="I14" s="31" t="s">
        <v>17</v>
      </c>
      <c r="J14" s="28" t="s">
        <v>18</v>
      </c>
      <c r="K14" s="28" t="s">
        <v>19</v>
      </c>
      <c r="L14" s="28" t="s">
        <v>20</v>
      </c>
    </row>
    <row r="15" s="32" customFormat="1" ht="19.5" customHeight="1" outlineLevel="1">
      <c r="A15" s="33"/>
      <c r="B15" s="34" t="s">
        <v>21</v>
      </c>
      <c r="C15" s="35"/>
      <c r="D15" s="36"/>
      <c r="E15" s="37"/>
      <c r="F15" s="34"/>
      <c r="G15" s="34"/>
      <c r="H15" s="34"/>
      <c r="I15" s="34"/>
      <c r="J15" s="34"/>
      <c r="K15" s="34"/>
      <c r="L15" s="38"/>
    </row>
    <row r="16" ht="14.25" customHeight="1" outlineLevel="1">
      <c r="A16" s="39">
        <v>1</v>
      </c>
      <c r="B16" s="122"/>
      <c r="C16" s="40"/>
      <c r="D16" s="40"/>
      <c r="E16" s="41"/>
      <c r="F16" s="42"/>
      <c r="G16" s="42"/>
      <c r="H16" s="40"/>
      <c r="I16" s="40"/>
      <c r="J16" s="40"/>
      <c r="K16" s="43"/>
      <c r="L16" s="44"/>
    </row>
    <row r="17" ht="14.25" customHeight="1" outlineLevel="1">
      <c r="A17" s="89">
        <v>2</v>
      </c>
      <c r="B17" s="90" t="s">
        <v>44</v>
      </c>
      <c r="C17" s="46" t="s">
        <v>45</v>
      </c>
      <c r="D17" s="46" t="s">
        <v>46</v>
      </c>
      <c r="E17" s="174" t="s">
        <v>454</v>
      </c>
      <c r="F17" s="48" t="s">
        <v>48</v>
      </c>
      <c r="G17" s="48"/>
      <c r="H17" s="46"/>
      <c r="I17" s="40" t="s">
        <v>41</v>
      </c>
      <c r="J17" s="46"/>
      <c r="K17" s="49"/>
      <c r="L17" s="50"/>
    </row>
    <row r="18" ht="14.25" customHeight="1" outlineLevel="1">
      <c r="A18" s="89">
        <v>3</v>
      </c>
      <c r="B18" s="90" t="s">
        <v>44</v>
      </c>
      <c r="C18" s="46" t="s">
        <v>150</v>
      </c>
      <c r="D18" s="46" t="s">
        <v>453</v>
      </c>
      <c r="E18" s="316"/>
      <c r="F18" s="48" t="s">
        <v>48</v>
      </c>
      <c r="G18" s="48"/>
      <c r="H18" s="46"/>
      <c r="I18" s="40" t="s">
        <v>41</v>
      </c>
      <c r="J18" s="46"/>
      <c r="K18" s="49"/>
      <c r="L18" s="50"/>
    </row>
    <row r="19" ht="14.25" customHeight="1" outlineLevel="1">
      <c r="A19" s="89">
        <v>4</v>
      </c>
      <c r="B19" s="155" t="s">
        <v>44</v>
      </c>
      <c r="C19" s="46" t="s">
        <v>645</v>
      </c>
      <c r="D19" s="46" t="s">
        <v>646</v>
      </c>
      <c r="E19" s="96" t="s">
        <v>745</v>
      </c>
      <c r="F19" s="48" t="s">
        <v>48</v>
      </c>
      <c r="G19" s="48"/>
      <c r="H19" s="46"/>
      <c r="I19" s="40" t="s">
        <v>41</v>
      </c>
      <c r="J19" s="46"/>
      <c r="K19" s="49"/>
      <c r="L19" s="50"/>
    </row>
    <row r="20" ht="14.25" customHeight="1" outlineLevel="1">
      <c r="A20" s="45">
        <v>5</v>
      </c>
      <c r="B20" s="46"/>
      <c r="C20" s="46"/>
      <c r="D20" s="46"/>
      <c r="E20" s="47"/>
      <c r="F20" s="48"/>
      <c r="G20" s="48"/>
      <c r="H20" s="46"/>
      <c r="I20" s="40"/>
      <c r="J20" s="46"/>
      <c r="K20" s="49"/>
      <c r="L20" s="50"/>
    </row>
    <row r="21" ht="14.25" customHeight="1" outlineLevel="1">
      <c r="A21" s="45">
        <v>6</v>
      </c>
      <c r="B21" s="46"/>
      <c r="C21" s="46"/>
      <c r="D21" s="46"/>
      <c r="E21" s="47"/>
      <c r="F21" s="48"/>
      <c r="G21" s="48"/>
      <c r="H21" s="46"/>
      <c r="I21" s="40"/>
      <c r="J21" s="46"/>
      <c r="K21" s="49"/>
      <c r="L21" s="50"/>
    </row>
    <row r="22" ht="14.25" customHeight="1" outlineLevel="1">
      <c r="A22" s="45">
        <v>7</v>
      </c>
      <c r="B22" s="46"/>
      <c r="C22" s="46"/>
      <c r="D22" s="46"/>
      <c r="E22" s="47"/>
      <c r="F22" s="48"/>
      <c r="G22" s="48"/>
      <c r="H22" s="46"/>
      <c r="I22" s="40"/>
      <c r="J22" s="46"/>
      <c r="K22" s="49"/>
      <c r="L22" s="50"/>
    </row>
    <row r="23" ht="14.25" customHeight="1" outlineLevel="1">
      <c r="A23" s="45">
        <v>8</v>
      </c>
      <c r="B23" s="46"/>
      <c r="C23" s="46"/>
      <c r="D23" s="46"/>
      <c r="E23" s="47"/>
      <c r="F23" s="48"/>
      <c r="G23" s="48"/>
      <c r="H23" s="46"/>
      <c r="I23" s="40"/>
      <c r="J23" s="46"/>
      <c r="K23" s="49"/>
      <c r="L23" s="50"/>
    </row>
    <row r="24" ht="14.25" customHeight="1" outlineLevel="1">
      <c r="A24" s="39">
        <v>9</v>
      </c>
      <c r="B24" s="46"/>
      <c r="C24" s="46"/>
      <c r="D24" s="46"/>
      <c r="E24" s="47"/>
      <c r="F24" s="48"/>
      <c r="G24" s="48"/>
      <c r="H24" s="46"/>
      <c r="I24" s="40"/>
      <c r="J24" s="46"/>
      <c r="K24" s="49"/>
      <c r="L24" s="50"/>
    </row>
    <row r="25" ht="14.25" customHeight="1" outlineLevel="1">
      <c r="A25" s="45">
        <v>10</v>
      </c>
      <c r="B25" s="46"/>
      <c r="C25" s="46"/>
      <c r="D25" s="46"/>
      <c r="E25" s="47"/>
      <c r="F25" s="48"/>
      <c r="G25" s="48"/>
      <c r="H25" s="46"/>
      <c r="I25" s="40"/>
      <c r="J25" s="46"/>
      <c r="K25" s="49"/>
      <c r="L25" s="50"/>
    </row>
    <row r="26" ht="14.25" customHeight="1" outlineLevel="1">
      <c r="A26" s="45">
        <v>11</v>
      </c>
      <c r="B26" s="46"/>
      <c r="C26" s="46"/>
      <c r="D26" s="46"/>
      <c r="E26" s="47"/>
      <c r="F26" s="48"/>
      <c r="G26" s="48"/>
      <c r="H26" s="46"/>
      <c r="I26" s="40"/>
      <c r="J26" s="46"/>
      <c r="K26" s="49"/>
      <c r="L26" s="50"/>
    </row>
    <row r="27" ht="14.25" customHeight="1" outlineLevel="1">
      <c r="A27" s="39">
        <v>12</v>
      </c>
      <c r="B27" s="46"/>
      <c r="C27" s="46"/>
      <c r="D27" s="46"/>
      <c r="E27" s="47"/>
      <c r="F27" s="48"/>
      <c r="G27" s="48"/>
      <c r="H27" s="46"/>
      <c r="I27" s="40"/>
      <c r="J27" s="46"/>
      <c r="K27" s="49"/>
      <c r="L27" s="50"/>
    </row>
    <row r="28" ht="14.25" customHeight="1" outlineLevel="1">
      <c r="A28" s="45">
        <v>13</v>
      </c>
      <c r="B28" s="46"/>
      <c r="C28" s="46"/>
      <c r="D28" s="46"/>
      <c r="E28" s="47"/>
      <c r="F28" s="48"/>
      <c r="G28" s="48"/>
      <c r="H28" s="46"/>
      <c r="I28" s="40"/>
      <c r="J28" s="46"/>
      <c r="K28" s="49"/>
      <c r="L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8"/>
      <c r="H29" s="46"/>
      <c r="I29" s="40"/>
      <c r="J29" s="46"/>
      <c r="K29" s="49"/>
      <c r="L29" s="50"/>
    </row>
    <row r="30" ht="14.25" customHeight="1" outlineLevel="1">
      <c r="A30" s="45">
        <v>15</v>
      </c>
      <c r="B30" s="46"/>
      <c r="C30" s="46"/>
      <c r="D30" s="46"/>
      <c r="E30" s="47"/>
      <c r="F30" s="48"/>
      <c r="G30" s="48"/>
      <c r="H30" s="46"/>
      <c r="I30" s="40"/>
      <c r="J30" s="46"/>
      <c r="K30" s="49"/>
      <c r="L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8"/>
      <c r="H31" s="46"/>
      <c r="I31" s="40"/>
      <c r="J31" s="46"/>
      <c r="K31" s="49"/>
      <c r="L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8"/>
      <c r="H32" s="46"/>
      <c r="I32" s="40"/>
      <c r="J32" s="46"/>
      <c r="K32" s="49"/>
      <c r="L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8"/>
      <c r="H33" s="46"/>
      <c r="I33" s="40"/>
      <c r="J33" s="46"/>
      <c r="K33" s="49"/>
      <c r="L33" s="50"/>
    </row>
    <row r="34" ht="14.25" customHeight="1" outlineLevel="1">
      <c r="A34" s="45">
        <v>19</v>
      </c>
      <c r="B34" s="46"/>
      <c r="C34" s="46"/>
      <c r="D34" s="46"/>
      <c r="E34" s="47"/>
      <c r="F34" s="48"/>
      <c r="G34" s="48"/>
      <c r="H34" s="46"/>
      <c r="I34" s="40"/>
      <c r="J34" s="46"/>
      <c r="K34" s="49"/>
      <c r="L34" s="50"/>
    </row>
    <row r="35" ht="14.25" customHeight="1" outlineLevel="1">
      <c r="A35" s="39">
        <v>20</v>
      </c>
      <c r="B35" s="46"/>
      <c r="C35" s="46"/>
      <c r="D35" s="46"/>
      <c r="E35" s="47"/>
      <c r="F35" s="48"/>
      <c r="G35" s="48"/>
      <c r="H35" s="46"/>
      <c r="I35" s="40"/>
      <c r="J35" s="46"/>
      <c r="K35" s="49"/>
      <c r="L35" s="50"/>
    </row>
    <row r="36" s="32" customFormat="1" ht="19.5" customHeight="1" outlineLevel="1">
      <c r="A36" s="33"/>
      <c r="B36" s="34" t="s">
        <v>22</v>
      </c>
      <c r="C36" s="35"/>
      <c r="D36" s="36"/>
      <c r="E36" s="37"/>
      <c r="F36" s="34"/>
      <c r="G36" s="34"/>
      <c r="H36" s="34"/>
      <c r="I36" s="34"/>
      <c r="J36" s="34"/>
      <c r="K36" s="34"/>
      <c r="L36" s="38"/>
    </row>
    <row r="37" ht="14.25" customHeight="1" outlineLevel="1">
      <c r="A37" s="39">
        <v>1</v>
      </c>
      <c r="B37" s="40"/>
      <c r="C37" s="40"/>
      <c r="D37" s="40"/>
      <c r="E37" s="41"/>
      <c r="F37" s="42"/>
      <c r="G37" s="42"/>
      <c r="H37" s="40"/>
      <c r="I37" s="40"/>
      <c r="J37" s="40"/>
      <c r="K37" s="43"/>
      <c r="L37" s="44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8"/>
      <c r="H38" s="46"/>
      <c r="I38" s="40"/>
      <c r="J38" s="46"/>
      <c r="K38" s="49"/>
      <c r="L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8"/>
      <c r="H39" s="46"/>
      <c r="I39" s="40"/>
      <c r="J39" s="46"/>
      <c r="K39" s="49"/>
      <c r="L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8"/>
      <c r="H40" s="46"/>
      <c r="I40" s="40"/>
      <c r="J40" s="46"/>
      <c r="K40" s="49"/>
      <c r="L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8"/>
      <c r="H41" s="46"/>
      <c r="I41" s="40"/>
      <c r="J41" s="46"/>
      <c r="K41" s="49"/>
      <c r="L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8"/>
      <c r="H42" s="46"/>
      <c r="I42" s="40"/>
      <c r="J42" s="46"/>
      <c r="K42" s="49"/>
      <c r="L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8"/>
      <c r="H43" s="46"/>
      <c r="I43" s="40"/>
      <c r="J43" s="46"/>
      <c r="K43" s="49"/>
      <c r="L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8"/>
      <c r="H44" s="46"/>
      <c r="I44" s="40"/>
      <c r="J44" s="46"/>
      <c r="K44" s="49"/>
      <c r="L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8"/>
      <c r="H45" s="46"/>
      <c r="I45" s="40"/>
      <c r="J45" s="46"/>
      <c r="K45" s="49"/>
      <c r="L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8"/>
      <c r="H46" s="46"/>
      <c r="I46" s="40"/>
      <c r="J46" s="46"/>
      <c r="K46" s="49"/>
      <c r="L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8"/>
      <c r="H47" s="46"/>
      <c r="I47" s="40"/>
      <c r="J47" s="46"/>
      <c r="K47" s="49"/>
      <c r="L47" s="50"/>
    </row>
    <row r="48" ht="14.25" customHeight="1" outlineLevel="1">
      <c r="A48" s="39">
        <v>12</v>
      </c>
      <c r="B48" s="46"/>
      <c r="C48" s="46"/>
      <c r="D48" s="46"/>
      <c r="E48" s="47"/>
      <c r="F48" s="48"/>
      <c r="G48" s="48"/>
      <c r="H48" s="46"/>
      <c r="I48" s="40"/>
      <c r="J48" s="46"/>
      <c r="K48" s="49"/>
      <c r="L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8"/>
      <c r="H49" s="46"/>
      <c r="I49" s="40"/>
      <c r="J49" s="46"/>
      <c r="K49" s="49"/>
      <c r="L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8"/>
      <c r="H50" s="46"/>
      <c r="I50" s="40"/>
      <c r="J50" s="46"/>
      <c r="K50" s="49"/>
      <c r="L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8"/>
      <c r="H51" s="46"/>
      <c r="I51" s="40"/>
      <c r="J51" s="46"/>
      <c r="K51" s="49"/>
      <c r="L51" s="50"/>
    </row>
    <row r="52" ht="14.25" customHeight="1" outlineLevel="1">
      <c r="A52" s="45">
        <v>16</v>
      </c>
      <c r="B52" s="46"/>
      <c r="C52" s="46"/>
      <c r="D52" s="46"/>
      <c r="E52" s="47"/>
      <c r="F52" s="48"/>
      <c r="G52" s="48"/>
      <c r="H52" s="46"/>
      <c r="I52" s="40"/>
      <c r="J52" s="46"/>
      <c r="K52" s="49"/>
      <c r="L52" s="50"/>
    </row>
    <row r="53" ht="14.25" customHeight="1" outlineLevel="1">
      <c r="A53" s="45">
        <v>17</v>
      </c>
      <c r="B53" s="46"/>
      <c r="C53" s="46"/>
      <c r="D53" s="46"/>
      <c r="E53" s="47"/>
      <c r="F53" s="48"/>
      <c r="G53" s="48"/>
      <c r="H53" s="46"/>
      <c r="I53" s="40"/>
      <c r="J53" s="46"/>
      <c r="K53" s="49"/>
      <c r="L53" s="50"/>
    </row>
    <row r="54" ht="14.25" customHeight="1" outlineLevel="1">
      <c r="A54" s="45">
        <v>18</v>
      </c>
      <c r="B54" s="46"/>
      <c r="C54" s="46"/>
      <c r="D54" s="46"/>
      <c r="E54" s="47"/>
      <c r="F54" s="48"/>
      <c r="G54" s="48"/>
      <c r="H54" s="46"/>
      <c r="I54" s="40"/>
      <c r="J54" s="46"/>
      <c r="K54" s="49"/>
      <c r="L54" s="50"/>
    </row>
    <row r="55" ht="14.25" customHeight="1" outlineLevel="1">
      <c r="A55" s="45">
        <v>19</v>
      </c>
      <c r="B55" s="46"/>
      <c r="C55" s="46"/>
      <c r="D55" s="46"/>
      <c r="E55" s="47"/>
      <c r="F55" s="48"/>
      <c r="G55" s="48"/>
      <c r="H55" s="46"/>
      <c r="I55" s="40"/>
      <c r="J55" s="46"/>
      <c r="K55" s="49"/>
      <c r="L55" s="50"/>
    </row>
    <row r="56" ht="14.25" customHeight="1" outlineLevel="1">
      <c r="A56" s="39">
        <v>20</v>
      </c>
      <c r="B56" s="46"/>
      <c r="C56" s="46"/>
      <c r="D56" s="46"/>
      <c r="E56" s="47"/>
      <c r="F56" s="48"/>
      <c r="G56" s="48"/>
      <c r="H56" s="46"/>
      <c r="I56" s="40"/>
      <c r="J56" s="46"/>
      <c r="K56" s="49"/>
      <c r="L56" s="50"/>
    </row>
    <row r="57" s="32" customFormat="1" ht="19.5" customHeight="1" outlineLevel="1">
      <c r="A57" s="33"/>
      <c r="B57" s="239" t="s">
        <v>23</v>
      </c>
      <c r="C57" s="179"/>
      <c r="D57" s="180"/>
      <c r="E57" s="181"/>
      <c r="F57" s="171"/>
      <c r="G57" s="171"/>
      <c r="H57" s="34"/>
      <c r="I57" s="34"/>
      <c r="J57" s="34"/>
      <c r="K57" s="34"/>
      <c r="L57" s="38"/>
    </row>
    <row r="58" ht="27" customHeight="1" outlineLevel="1">
      <c r="A58" s="224">
        <v>1</v>
      </c>
      <c r="B58" s="105" t="s">
        <v>115</v>
      </c>
      <c r="C58" s="105" t="s">
        <v>492</v>
      </c>
      <c r="D58" s="105" t="s">
        <v>493</v>
      </c>
      <c r="E58" s="346">
        <v>170000</v>
      </c>
      <c r="F58" s="336" t="s">
        <v>758</v>
      </c>
      <c r="G58" s="336" t="s">
        <v>39</v>
      </c>
      <c r="H58" s="162" t="s">
        <v>357</v>
      </c>
      <c r="I58" s="40" t="s">
        <v>41</v>
      </c>
      <c r="J58" s="52"/>
      <c r="K58" s="55" t="s">
        <v>42</v>
      </c>
      <c r="L58" s="56"/>
    </row>
    <row r="59" ht="14.25" customHeight="1" outlineLevel="1">
      <c r="A59" s="45">
        <v>2</v>
      </c>
      <c r="B59" s="40"/>
      <c r="C59" s="40"/>
      <c r="D59" s="40"/>
      <c r="E59" s="41"/>
      <c r="F59" s="42"/>
      <c r="G59" s="42"/>
      <c r="H59" s="46"/>
      <c r="I59" s="40"/>
      <c r="J59" s="46"/>
      <c r="K59" s="49"/>
      <c r="L59" s="50"/>
    </row>
    <row r="60" ht="14.25" customHeight="1" outlineLevel="1">
      <c r="A60" s="45">
        <v>3</v>
      </c>
      <c r="B60" s="46"/>
      <c r="C60" s="46"/>
      <c r="D60" s="46"/>
      <c r="E60" s="47"/>
      <c r="F60" s="48"/>
      <c r="G60" s="48"/>
      <c r="H60" s="46"/>
      <c r="I60" s="40"/>
      <c r="J60" s="46"/>
      <c r="K60" s="49"/>
      <c r="L60" s="50"/>
    </row>
    <row r="61" ht="14.25" customHeight="1" outlineLevel="1">
      <c r="A61" s="45">
        <v>4</v>
      </c>
      <c r="B61" s="46"/>
      <c r="C61" s="46"/>
      <c r="D61" s="46"/>
      <c r="E61" s="47"/>
      <c r="F61" s="48"/>
      <c r="G61" s="48"/>
      <c r="H61" s="46"/>
      <c r="I61" s="40"/>
      <c r="J61" s="46"/>
      <c r="K61" s="49"/>
      <c r="L61" s="50"/>
    </row>
    <row r="62" ht="14.25" customHeight="1" outlineLevel="1">
      <c r="A62" s="45">
        <v>5</v>
      </c>
      <c r="B62" s="46"/>
      <c r="C62" s="46"/>
      <c r="D62" s="46"/>
      <c r="E62" s="47"/>
      <c r="F62" s="48"/>
      <c r="G62" s="48"/>
      <c r="H62" s="46"/>
      <c r="I62" s="40"/>
      <c r="J62" s="46"/>
      <c r="K62" s="49"/>
      <c r="L62" s="50"/>
    </row>
    <row r="63" ht="14.25" customHeight="1" outlineLevel="1">
      <c r="A63" s="45">
        <v>6</v>
      </c>
      <c r="B63" s="46"/>
      <c r="C63" s="46"/>
      <c r="D63" s="46"/>
      <c r="E63" s="47"/>
      <c r="F63" s="48"/>
      <c r="G63" s="48"/>
      <c r="H63" s="46"/>
      <c r="I63" s="40"/>
      <c r="J63" s="46"/>
      <c r="K63" s="49"/>
      <c r="L63" s="50"/>
    </row>
    <row r="64" ht="14.25" customHeight="1" outlineLevel="1">
      <c r="A64" s="45">
        <v>7</v>
      </c>
      <c r="B64" s="46"/>
      <c r="C64" s="46"/>
      <c r="D64" s="46"/>
      <c r="E64" s="47"/>
      <c r="F64" s="48"/>
      <c r="G64" s="48"/>
      <c r="H64" s="46"/>
      <c r="I64" s="40"/>
      <c r="J64" s="46"/>
      <c r="K64" s="49"/>
      <c r="L64" s="50"/>
    </row>
    <row r="65" ht="14.25" customHeight="1" outlineLevel="1">
      <c r="A65" s="45">
        <v>8</v>
      </c>
      <c r="B65" s="46"/>
      <c r="C65" s="46"/>
      <c r="D65" s="46"/>
      <c r="E65" s="47"/>
      <c r="F65" s="48"/>
      <c r="G65" s="48"/>
      <c r="H65" s="46"/>
      <c r="I65" s="40"/>
      <c r="J65" s="46"/>
      <c r="K65" s="49"/>
      <c r="L65" s="50"/>
    </row>
    <row r="66" ht="14.25" customHeight="1" outlineLevel="1">
      <c r="A66" s="39">
        <v>9</v>
      </c>
      <c r="B66" s="46"/>
      <c r="C66" s="46"/>
      <c r="D66" s="46"/>
      <c r="E66" s="47"/>
      <c r="F66" s="48"/>
      <c r="G66" s="48"/>
      <c r="H66" s="46"/>
      <c r="I66" s="40"/>
      <c r="J66" s="46"/>
      <c r="K66" s="49"/>
      <c r="L66" s="50"/>
    </row>
    <row r="67" ht="14.25" customHeight="1" outlineLevel="1">
      <c r="A67" s="45">
        <v>10</v>
      </c>
      <c r="B67" s="46"/>
      <c r="C67" s="46"/>
      <c r="D67" s="46"/>
      <c r="E67" s="47"/>
      <c r="F67" s="48"/>
      <c r="G67" s="48"/>
      <c r="H67" s="46"/>
      <c r="I67" s="40"/>
      <c r="J67" s="46"/>
      <c r="K67" s="49"/>
      <c r="L67" s="50"/>
    </row>
    <row r="68" ht="14.25" customHeight="1" outlineLevel="1">
      <c r="A68" s="45">
        <v>11</v>
      </c>
      <c r="B68" s="46"/>
      <c r="C68" s="46"/>
      <c r="D68" s="46"/>
      <c r="E68" s="47"/>
      <c r="F68" s="48"/>
      <c r="G68" s="48"/>
      <c r="H68" s="46"/>
      <c r="I68" s="40"/>
      <c r="J68" s="46"/>
      <c r="K68" s="49"/>
      <c r="L68" s="50"/>
    </row>
    <row r="69" ht="14.25" customHeight="1" outlineLevel="1">
      <c r="A69" s="45">
        <v>12</v>
      </c>
      <c r="B69" s="46"/>
      <c r="C69" s="46"/>
      <c r="D69" s="46"/>
      <c r="E69" s="47"/>
      <c r="F69" s="48"/>
      <c r="G69" s="48"/>
      <c r="H69" s="46"/>
      <c r="I69" s="40"/>
      <c r="J69" s="46"/>
      <c r="K69" s="49"/>
      <c r="L69" s="50"/>
    </row>
    <row r="70" ht="14.25" customHeight="1" outlineLevel="1">
      <c r="A70" s="45">
        <v>13</v>
      </c>
      <c r="B70" s="46"/>
      <c r="C70" s="46"/>
      <c r="D70" s="46"/>
      <c r="E70" s="47"/>
      <c r="F70" s="48"/>
      <c r="G70" s="48"/>
      <c r="H70" s="46"/>
      <c r="I70" s="40"/>
      <c r="J70" s="46"/>
      <c r="K70" s="49"/>
      <c r="L70" s="50"/>
    </row>
    <row r="71" ht="14.25" customHeight="1" outlineLevel="1">
      <c r="A71" s="45">
        <v>14</v>
      </c>
      <c r="B71" s="46"/>
      <c r="C71" s="46"/>
      <c r="D71" s="46"/>
      <c r="E71" s="47"/>
      <c r="F71" s="48"/>
      <c r="G71" s="48"/>
      <c r="H71" s="46"/>
      <c r="I71" s="40"/>
      <c r="J71" s="46"/>
      <c r="K71" s="49"/>
      <c r="L71" s="50"/>
    </row>
    <row r="72" ht="14.25" customHeight="1" outlineLevel="1">
      <c r="A72" s="45">
        <v>15</v>
      </c>
      <c r="B72" s="57"/>
      <c r="C72" s="57"/>
      <c r="D72" s="57"/>
      <c r="E72" s="58"/>
      <c r="F72" s="59"/>
      <c r="G72" s="59"/>
      <c r="H72" s="57"/>
      <c r="I72" s="40"/>
      <c r="J72" s="57"/>
      <c r="K72" s="60"/>
      <c r="L72" s="61"/>
    </row>
    <row r="73" s="32" customFormat="1" ht="19.5" customHeight="1" outlineLevel="1">
      <c r="A73" s="33"/>
      <c r="B73" s="34" t="s">
        <v>24</v>
      </c>
      <c r="C73" s="35"/>
      <c r="D73" s="36"/>
      <c r="E73" s="37"/>
      <c r="F73" s="34"/>
      <c r="G73" s="34"/>
      <c r="H73" s="34"/>
      <c r="I73" s="34"/>
      <c r="J73" s="34"/>
      <c r="K73" s="34"/>
      <c r="L73" s="38"/>
    </row>
    <row r="74" ht="14.25" customHeight="1" outlineLevel="1">
      <c r="A74" s="62">
        <v>1</v>
      </c>
      <c r="B74" s="52"/>
      <c r="C74" s="52"/>
      <c r="D74" s="52"/>
      <c r="E74" s="53"/>
      <c r="F74" s="54"/>
      <c r="G74" s="54"/>
      <c r="H74" s="52"/>
      <c r="I74" s="40"/>
      <c r="J74" s="52"/>
      <c r="K74" s="55"/>
      <c r="L74" s="56"/>
    </row>
    <row r="75" ht="14.25" customHeight="1" outlineLevel="1">
      <c r="A75" s="45">
        <v>2</v>
      </c>
      <c r="B75" s="46"/>
      <c r="C75" s="46"/>
      <c r="D75" s="46"/>
      <c r="E75" s="47"/>
      <c r="F75" s="48"/>
      <c r="G75" s="48"/>
      <c r="H75" s="46"/>
      <c r="I75" s="40"/>
      <c r="J75" s="46"/>
      <c r="K75" s="49"/>
      <c r="L75" s="50"/>
    </row>
    <row r="76" ht="14.25" customHeight="1" outlineLevel="1">
      <c r="A76" s="45">
        <v>3</v>
      </c>
      <c r="B76" s="46"/>
      <c r="C76" s="46"/>
      <c r="D76" s="46"/>
      <c r="E76" s="47"/>
      <c r="F76" s="48"/>
      <c r="G76" s="48"/>
      <c r="H76" s="46"/>
      <c r="I76" s="40"/>
      <c r="J76" s="46"/>
      <c r="K76" s="49"/>
      <c r="L76" s="50"/>
    </row>
    <row r="77" ht="14.25" customHeight="1" outlineLevel="1">
      <c r="A77" s="45">
        <v>4</v>
      </c>
      <c r="B77" s="46"/>
      <c r="C77" s="46"/>
      <c r="D77" s="46"/>
      <c r="E77" s="47"/>
      <c r="F77" s="48"/>
      <c r="G77" s="48"/>
      <c r="H77" s="46"/>
      <c r="I77" s="40"/>
      <c r="J77" s="46"/>
      <c r="K77" s="49"/>
      <c r="L77" s="50"/>
    </row>
    <row r="78" ht="14.25" customHeight="1" outlineLevel="1">
      <c r="A78" s="45">
        <v>5</v>
      </c>
      <c r="B78" s="46"/>
      <c r="C78" s="46"/>
      <c r="D78" s="46"/>
      <c r="E78" s="47"/>
      <c r="F78" s="48"/>
      <c r="G78" s="48"/>
      <c r="H78" s="46"/>
      <c r="I78" s="40"/>
      <c r="J78" s="46"/>
      <c r="K78" s="49"/>
      <c r="L78" s="50"/>
    </row>
    <row r="79" ht="14.25" customHeight="1" outlineLevel="1">
      <c r="A79" s="45">
        <v>6</v>
      </c>
      <c r="B79" s="46"/>
      <c r="C79" s="46"/>
      <c r="D79" s="46"/>
      <c r="E79" s="47"/>
      <c r="F79" s="48"/>
      <c r="G79" s="48"/>
      <c r="H79" s="46"/>
      <c r="I79" s="40"/>
      <c r="J79" s="46"/>
      <c r="K79" s="49"/>
      <c r="L79" s="50"/>
    </row>
    <row r="80" ht="14.25" customHeight="1" outlineLevel="1">
      <c r="A80" s="45">
        <v>7</v>
      </c>
      <c r="B80" s="46"/>
      <c r="C80" s="46"/>
      <c r="D80" s="46"/>
      <c r="E80" s="47"/>
      <c r="F80" s="48"/>
      <c r="G80" s="48"/>
      <c r="H80" s="46"/>
      <c r="I80" s="40"/>
      <c r="J80" s="46"/>
      <c r="K80" s="49"/>
      <c r="L80" s="50"/>
    </row>
    <row r="81" ht="14.25" customHeight="1" outlineLevel="1">
      <c r="A81" s="45">
        <v>8</v>
      </c>
      <c r="B81" s="46"/>
      <c r="C81" s="46"/>
      <c r="D81" s="46"/>
      <c r="E81" s="47"/>
      <c r="F81" s="48"/>
      <c r="G81" s="48"/>
      <c r="H81" s="46"/>
      <c r="I81" s="40"/>
      <c r="J81" s="46"/>
      <c r="K81" s="49"/>
      <c r="L81" s="50"/>
    </row>
    <row r="82" ht="14.25" customHeight="1" outlineLevel="1">
      <c r="A82" s="45">
        <v>9</v>
      </c>
      <c r="B82" s="46"/>
      <c r="C82" s="46"/>
      <c r="D82" s="46"/>
      <c r="E82" s="47"/>
      <c r="F82" s="48"/>
      <c r="G82" s="48"/>
      <c r="H82" s="46"/>
      <c r="I82" s="40"/>
      <c r="J82" s="46"/>
      <c r="K82" s="49"/>
      <c r="L82" s="50"/>
    </row>
    <row r="83" ht="14.25" customHeight="1" outlineLevel="1">
      <c r="A83" s="45">
        <v>10</v>
      </c>
      <c r="B83" s="46"/>
      <c r="C83" s="46"/>
      <c r="D83" s="46"/>
      <c r="E83" s="47"/>
      <c r="F83" s="48"/>
      <c r="G83" s="48"/>
      <c r="H83" s="46"/>
      <c r="I83" s="40"/>
      <c r="J83" s="46"/>
      <c r="K83" s="49"/>
      <c r="L83" s="50"/>
    </row>
    <row r="84" ht="14.25" customHeight="1" outlineLevel="1">
      <c r="A84" s="45">
        <v>11</v>
      </c>
      <c r="B84" s="46"/>
      <c r="C84" s="46"/>
      <c r="D84" s="46"/>
      <c r="E84" s="47"/>
      <c r="F84" s="48"/>
      <c r="G84" s="48"/>
      <c r="H84" s="46"/>
      <c r="I84" s="40"/>
      <c r="J84" s="46"/>
      <c r="K84" s="49"/>
      <c r="L84" s="50"/>
    </row>
    <row r="85" ht="14.25" customHeight="1" outlineLevel="1">
      <c r="A85" s="45">
        <v>12</v>
      </c>
      <c r="B85" s="46"/>
      <c r="C85" s="46"/>
      <c r="D85" s="46"/>
      <c r="E85" s="47"/>
      <c r="F85" s="48"/>
      <c r="G85" s="48"/>
      <c r="H85" s="46"/>
      <c r="I85" s="40"/>
      <c r="J85" s="46"/>
      <c r="K85" s="49"/>
      <c r="L85" s="50"/>
    </row>
    <row r="86" ht="14.25" customHeight="1" outlineLevel="1">
      <c r="A86" s="45">
        <v>13</v>
      </c>
      <c r="B86" s="46"/>
      <c r="C86" s="46"/>
      <c r="D86" s="46"/>
      <c r="E86" s="47"/>
      <c r="F86" s="48"/>
      <c r="G86" s="48"/>
      <c r="H86" s="46"/>
      <c r="I86" s="40"/>
      <c r="J86" s="46"/>
      <c r="K86" s="49"/>
      <c r="L86" s="50"/>
    </row>
    <row r="87" ht="14.25" customHeight="1" outlineLevel="1">
      <c r="A87" s="45">
        <v>14</v>
      </c>
      <c r="B87" s="46"/>
      <c r="C87" s="46"/>
      <c r="D87" s="46"/>
      <c r="E87" s="47"/>
      <c r="F87" s="48"/>
      <c r="G87" s="48"/>
      <c r="H87" s="46"/>
      <c r="I87" s="40"/>
      <c r="J87" s="46"/>
      <c r="K87" s="49"/>
      <c r="L87" s="50"/>
    </row>
    <row r="88" ht="14.25" customHeight="1" outlineLevel="1">
      <c r="A88" s="45">
        <v>15</v>
      </c>
      <c r="B88" s="57"/>
      <c r="C88" s="57"/>
      <c r="D88" s="57"/>
      <c r="E88" s="58"/>
      <c r="F88" s="59"/>
      <c r="G88" s="59"/>
      <c r="H88" s="57"/>
      <c r="I88" s="40"/>
      <c r="J88" s="57"/>
      <c r="K88" s="60"/>
      <c r="L88" s="61"/>
    </row>
    <row r="89" s="32" customFormat="1" ht="19.5" customHeight="1" outlineLevel="1">
      <c r="A89" s="33"/>
      <c r="B89" s="34" t="s">
        <v>25</v>
      </c>
      <c r="C89" s="35"/>
      <c r="D89" s="36"/>
      <c r="E89" s="37"/>
      <c r="F89" s="34"/>
      <c r="G89" s="34"/>
      <c r="H89" s="34"/>
      <c r="I89" s="34"/>
      <c r="J89" s="34"/>
      <c r="K89" s="34"/>
      <c r="L89" s="38"/>
    </row>
    <row r="90" ht="14.25" customHeight="1" outlineLevel="1">
      <c r="A90" s="45">
        <v>1</v>
      </c>
      <c r="B90" s="52" t="s">
        <v>759</v>
      </c>
      <c r="C90" s="52" t="s">
        <v>760</v>
      </c>
      <c r="D90" s="52" t="s">
        <v>439</v>
      </c>
      <c r="E90" s="296">
        <v>3500</v>
      </c>
      <c r="F90" s="54" t="s">
        <v>761</v>
      </c>
      <c r="G90" s="54"/>
      <c r="H90" s="170" t="s">
        <v>762</v>
      </c>
      <c r="I90" s="40"/>
      <c r="J90" s="52"/>
      <c r="K90" s="55" t="s">
        <v>42</v>
      </c>
      <c r="L90" s="56"/>
    </row>
    <row r="91" ht="14.25" customHeight="1" outlineLevel="1">
      <c r="A91" s="45">
        <v>2</v>
      </c>
      <c r="B91" s="46"/>
      <c r="C91" s="46"/>
      <c r="D91" s="46"/>
      <c r="E91" s="47"/>
      <c r="F91" s="48"/>
      <c r="G91" s="48"/>
      <c r="H91" s="46"/>
      <c r="I91" s="40"/>
      <c r="J91" s="46"/>
      <c r="K91" s="49"/>
      <c r="L91" s="50"/>
    </row>
    <row r="92" ht="14.25" customHeight="1" outlineLevel="1">
      <c r="A92" s="45">
        <v>3</v>
      </c>
      <c r="B92" s="46"/>
      <c r="C92" s="46"/>
      <c r="D92" s="46"/>
      <c r="E92" s="47"/>
      <c r="F92" s="48"/>
      <c r="G92" s="48"/>
      <c r="H92" s="46"/>
      <c r="I92" s="40"/>
      <c r="J92" s="46"/>
      <c r="K92" s="49"/>
      <c r="L92" s="50"/>
    </row>
    <row r="93" ht="14.25" customHeight="1" outlineLevel="1">
      <c r="A93" s="45">
        <v>4</v>
      </c>
      <c r="B93" s="46"/>
      <c r="C93" s="46"/>
      <c r="D93" s="46"/>
      <c r="E93" s="47"/>
      <c r="F93" s="48"/>
      <c r="G93" s="48"/>
      <c r="H93" s="46"/>
      <c r="I93" s="40"/>
      <c r="J93" s="46"/>
      <c r="K93" s="49"/>
      <c r="L93" s="50"/>
    </row>
    <row r="94" ht="14.25" customHeight="1" outlineLevel="1">
      <c r="A94" s="45">
        <v>5</v>
      </c>
      <c r="B94" s="46"/>
      <c r="C94" s="46"/>
      <c r="D94" s="46"/>
      <c r="E94" s="47"/>
      <c r="F94" s="48"/>
      <c r="G94" s="48"/>
      <c r="H94" s="46"/>
      <c r="I94" s="40"/>
      <c r="J94" s="46"/>
      <c r="K94" s="49"/>
      <c r="L94" s="50"/>
    </row>
    <row r="95" ht="14.25" customHeight="1" outlineLevel="1">
      <c r="A95" s="45">
        <v>6</v>
      </c>
      <c r="B95" s="46"/>
      <c r="C95" s="46"/>
      <c r="D95" s="46"/>
      <c r="E95" s="47"/>
      <c r="F95" s="48"/>
      <c r="G95" s="48"/>
      <c r="H95" s="46"/>
      <c r="I95" s="40"/>
      <c r="J95" s="46"/>
      <c r="K95" s="49"/>
      <c r="L95" s="50"/>
    </row>
    <row r="96" ht="14.25" customHeight="1" outlineLevel="1">
      <c r="A96" s="45">
        <v>7</v>
      </c>
      <c r="B96" s="46"/>
      <c r="C96" s="46"/>
      <c r="D96" s="46"/>
      <c r="E96" s="47"/>
      <c r="F96" s="48"/>
      <c r="G96" s="48"/>
      <c r="H96" s="46"/>
      <c r="I96" s="40"/>
      <c r="J96" s="46"/>
      <c r="K96" s="49"/>
      <c r="L96" s="50"/>
    </row>
    <row r="97" ht="14.25" customHeight="1" outlineLevel="1">
      <c r="A97" s="45">
        <v>8</v>
      </c>
      <c r="B97" s="46"/>
      <c r="C97" s="46"/>
      <c r="D97" s="46"/>
      <c r="E97" s="47"/>
      <c r="F97" s="48"/>
      <c r="G97" s="48"/>
      <c r="H97" s="46"/>
      <c r="I97" s="40"/>
      <c r="J97" s="46"/>
      <c r="K97" s="49"/>
      <c r="L97" s="50"/>
    </row>
    <row r="98" ht="14.25" customHeight="1" outlineLevel="1">
      <c r="A98" s="45">
        <v>9</v>
      </c>
      <c r="B98" s="46"/>
      <c r="C98" s="46"/>
      <c r="D98" s="46"/>
      <c r="E98" s="47"/>
      <c r="F98" s="48"/>
      <c r="G98" s="48"/>
      <c r="H98" s="46"/>
      <c r="I98" s="40"/>
      <c r="J98" s="46"/>
      <c r="K98" s="49"/>
      <c r="L98" s="50"/>
    </row>
    <row r="99" ht="14.25" customHeight="1" outlineLevel="1">
      <c r="A99" s="45">
        <v>10</v>
      </c>
      <c r="B99" s="57"/>
      <c r="C99" s="57"/>
      <c r="D99" s="57"/>
      <c r="E99" s="58"/>
      <c r="F99" s="59"/>
      <c r="G99" s="59"/>
      <c r="H99" s="57"/>
      <c r="I99" s="40"/>
      <c r="J99" s="57"/>
      <c r="K99" s="60"/>
      <c r="L99" s="61"/>
    </row>
    <row r="100" s="32" customFormat="1" ht="19.5" customHeight="1" outlineLevel="1">
      <c r="A100" s="33"/>
      <c r="B100" s="171" t="s">
        <v>26</v>
      </c>
      <c r="C100" s="35"/>
      <c r="D100" s="36"/>
      <c r="E100" s="37"/>
      <c r="F100" s="34"/>
      <c r="G100" s="34"/>
      <c r="H100" s="34"/>
      <c r="I100" s="34"/>
      <c r="J100" s="34"/>
      <c r="K100" s="34"/>
      <c r="L100" s="38"/>
    </row>
    <row r="101" ht="14.25" customHeight="1" outlineLevel="1">
      <c r="A101" s="62">
        <v>1</v>
      </c>
      <c r="B101" s="363" t="s">
        <v>445</v>
      </c>
      <c r="C101" s="364" t="s">
        <v>648</v>
      </c>
      <c r="D101" s="364" t="s">
        <v>649</v>
      </c>
      <c r="E101" s="365">
        <v>50000000</v>
      </c>
      <c r="F101" s="366" t="s">
        <v>755</v>
      </c>
      <c r="G101" s="257"/>
      <c r="H101" s="313"/>
      <c r="I101" s="40"/>
      <c r="J101" s="313" t="s">
        <v>763</v>
      </c>
      <c r="K101" s="55"/>
      <c r="L101" s="56"/>
    </row>
    <row r="102" ht="14.25" customHeight="1" outlineLevel="1">
      <c r="A102" s="39">
        <v>2</v>
      </c>
      <c r="B102" s="116" t="s">
        <v>445</v>
      </c>
      <c r="C102" s="360" t="s">
        <v>648</v>
      </c>
      <c r="D102" s="360" t="s">
        <v>649</v>
      </c>
      <c r="E102" s="361" t="s">
        <v>754</v>
      </c>
      <c r="F102" s="362" t="s">
        <v>755</v>
      </c>
      <c r="G102" s="54"/>
      <c r="H102" s="52"/>
      <c r="I102" s="40"/>
      <c r="J102" s="52" t="s">
        <v>756</v>
      </c>
      <c r="K102" s="43"/>
      <c r="L102" s="44"/>
    </row>
    <row r="103" ht="14.25" customHeight="1" outlineLevel="1">
      <c r="A103" s="39">
        <v>3</v>
      </c>
      <c r="B103" s="40"/>
      <c r="C103" s="40"/>
      <c r="D103" s="40"/>
      <c r="E103" s="41"/>
      <c r="F103" s="42"/>
      <c r="G103" s="42"/>
      <c r="H103" s="40"/>
      <c r="I103" s="40"/>
      <c r="J103" s="40"/>
      <c r="K103" s="43"/>
      <c r="L103" s="44"/>
    </row>
    <row r="104" ht="14.25" customHeight="1" outlineLevel="1">
      <c r="A104" s="45">
        <v>4</v>
      </c>
      <c r="B104" s="46"/>
      <c r="C104" s="46"/>
      <c r="D104" s="46"/>
      <c r="E104" s="47"/>
      <c r="F104" s="48"/>
      <c r="G104" s="48"/>
      <c r="H104" s="46"/>
      <c r="I104" s="40"/>
      <c r="J104" s="46"/>
      <c r="K104" s="49"/>
      <c r="L104" s="50"/>
    </row>
    <row r="105" ht="14.25" customHeight="1" outlineLevel="1">
      <c r="A105" s="63">
        <v>5</v>
      </c>
      <c r="B105" s="57"/>
      <c r="C105" s="57"/>
      <c r="D105" s="57"/>
      <c r="E105" s="58"/>
      <c r="F105" s="59"/>
      <c r="G105" s="59"/>
      <c r="H105" s="57"/>
      <c r="I105" s="57"/>
      <c r="J105" s="57"/>
      <c r="K105" s="60"/>
      <c r="L105" s="61"/>
    </row>
    <row r="106" ht="23.100000000000001" customHeight="1">
      <c r="A106" s="64" t="s">
        <v>27</v>
      </c>
      <c r="B106" s="65"/>
      <c r="C106" s="65"/>
      <c r="D106" s="65"/>
      <c r="E106" s="66">
        <f>SUM(E15:E105)</f>
        <v>50173500</v>
      </c>
    </row>
    <row r="107" ht="23.100000000000001" customHeight="1">
      <c r="A107" s="64" t="s">
        <v>28</v>
      </c>
      <c r="B107" s="65"/>
      <c r="C107" s="65"/>
      <c r="D107" s="65"/>
      <c r="E107" s="66">
        <f>E4-E106</f>
        <v>-48510802</v>
      </c>
      <c r="F107" s="67"/>
      <c r="G107" s="67"/>
    </row>
    <row r="108" ht="24.75" customHeight="1">
      <c r="E108" s="1"/>
    </row>
    <row r="109" ht="30" customHeight="1">
      <c r="A109" s="68" t="s">
        <v>29</v>
      </c>
      <c r="B109" s="69"/>
      <c r="C109" s="69"/>
      <c r="D109" s="70"/>
      <c r="E109" s="71">
        <f>SUM(E110:E113)</f>
        <v>28960.139999999999</v>
      </c>
      <c r="F109" s="12"/>
      <c r="G109" s="12"/>
      <c r="H109" s="12"/>
      <c r="I109" s="12"/>
      <c r="J109" s="12"/>
    </row>
    <row r="110" ht="15" customHeight="1">
      <c r="A110" s="13" t="s">
        <v>30</v>
      </c>
      <c r="B110" s="14"/>
      <c r="C110" s="14"/>
      <c r="D110" s="15"/>
      <c r="E110" s="16">
        <v>28960.139999999999</v>
      </c>
      <c r="F110" s="12"/>
      <c r="G110" s="12"/>
      <c r="H110" s="12"/>
      <c r="I110" s="12"/>
      <c r="J110" s="12"/>
    </row>
    <row r="111">
      <c r="A111" s="72"/>
      <c r="B111" s="73"/>
      <c r="C111" s="73"/>
      <c r="D111" s="74"/>
      <c r="E111" s="75"/>
      <c r="F111" s="12"/>
      <c r="G111" s="12"/>
      <c r="H111" s="12"/>
      <c r="I111" s="12"/>
      <c r="J111" s="12"/>
    </row>
    <row r="112">
      <c r="A112" s="21"/>
      <c r="B112" s="18"/>
      <c r="C112" s="18"/>
      <c r="D112" s="19"/>
      <c r="E112" s="20"/>
      <c r="F112" s="12"/>
      <c r="G112" s="12"/>
      <c r="H112" s="12"/>
      <c r="I112" s="12"/>
      <c r="J112" s="12"/>
    </row>
    <row r="113" ht="15">
      <c r="A113" s="76"/>
      <c r="B113" s="24"/>
      <c r="C113" s="24"/>
      <c r="D113" s="25"/>
      <c r="E113" s="26"/>
      <c r="F113" s="27"/>
      <c r="G113" s="27"/>
      <c r="H113" s="27"/>
      <c r="I113" s="27"/>
      <c r="J113" s="27"/>
    </row>
    <row r="114" ht="6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 ht="28.5" outlineLevel="1">
      <c r="A115" s="28" t="s">
        <v>9</v>
      </c>
      <c r="B115" s="28" t="s">
        <v>10</v>
      </c>
      <c r="C115" s="28" t="s">
        <v>11</v>
      </c>
      <c r="D115" s="28" t="s">
        <v>12</v>
      </c>
      <c r="E115" s="29" t="s">
        <v>13</v>
      </c>
      <c r="F115" s="28" t="s">
        <v>14</v>
      </c>
      <c r="G115" s="30" t="s">
        <v>15</v>
      </c>
      <c r="H115" s="28" t="s">
        <v>16</v>
      </c>
      <c r="I115" s="31" t="s">
        <v>17</v>
      </c>
      <c r="J115" s="28" t="s">
        <v>18</v>
      </c>
      <c r="K115" s="28" t="s">
        <v>19</v>
      </c>
      <c r="L115" s="28" t="s">
        <v>20</v>
      </c>
    </row>
    <row r="116" ht="15" outlineLevel="1">
      <c r="A116" s="77"/>
      <c r="B116" s="78" t="s">
        <v>31</v>
      </c>
      <c r="C116" s="79"/>
      <c r="D116" s="80"/>
      <c r="E116" s="81"/>
      <c r="F116" s="78"/>
      <c r="G116" s="78"/>
      <c r="H116" s="78"/>
      <c r="I116" s="78"/>
      <c r="J116" s="78"/>
      <c r="K116" s="78"/>
      <c r="L116" s="78"/>
    </row>
    <row r="117" outlineLevel="1">
      <c r="A117" s="39">
        <v>1</v>
      </c>
      <c r="B117" s="40"/>
      <c r="C117" s="40"/>
      <c r="D117" s="40"/>
      <c r="E117" s="41"/>
      <c r="F117" s="42"/>
      <c r="G117" s="42"/>
      <c r="H117" s="40"/>
      <c r="I117" s="40"/>
      <c r="J117" s="40"/>
      <c r="K117" s="43"/>
      <c r="L117" s="44"/>
    </row>
    <row r="118" outlineLevel="1">
      <c r="A118" s="45">
        <v>2</v>
      </c>
      <c r="B118" s="46"/>
      <c r="C118" s="46"/>
      <c r="D118" s="46"/>
      <c r="E118" s="47"/>
      <c r="F118" s="48"/>
      <c r="G118" s="48"/>
      <c r="H118" s="46"/>
      <c r="I118" s="40"/>
      <c r="J118" s="46"/>
      <c r="K118" s="49"/>
      <c r="L118" s="50"/>
    </row>
    <row r="119" outlineLevel="1">
      <c r="A119" s="45">
        <v>3</v>
      </c>
      <c r="B119" s="46"/>
      <c r="C119" s="46"/>
      <c r="D119" s="46"/>
      <c r="E119" s="47"/>
      <c r="F119" s="48"/>
      <c r="G119" s="48"/>
      <c r="H119" s="46"/>
      <c r="I119" s="40"/>
      <c r="J119" s="46"/>
      <c r="K119" s="49"/>
      <c r="L119" s="50"/>
    </row>
    <row r="120" outlineLevel="1">
      <c r="A120" s="45">
        <v>4</v>
      </c>
      <c r="B120" s="46"/>
      <c r="C120" s="46"/>
      <c r="D120" s="46"/>
      <c r="E120" s="47"/>
      <c r="F120" s="48"/>
      <c r="G120" s="48"/>
      <c r="H120" s="46"/>
      <c r="I120" s="40"/>
      <c r="J120" s="46"/>
      <c r="K120" s="49"/>
      <c r="L120" s="50"/>
    </row>
    <row r="121" ht="15.75" customHeight="1" outlineLevel="1">
      <c r="A121" s="45">
        <v>5</v>
      </c>
      <c r="B121" s="46"/>
      <c r="C121" s="46"/>
      <c r="D121" s="46"/>
      <c r="E121" s="47"/>
      <c r="F121" s="48"/>
      <c r="G121" s="48"/>
      <c r="H121" s="46"/>
      <c r="I121" s="40"/>
      <c r="J121" s="46"/>
      <c r="K121" s="49"/>
      <c r="L121" s="50"/>
    </row>
    <row r="122" outlineLevel="1">
      <c r="A122" s="45">
        <v>6</v>
      </c>
      <c r="B122" s="46"/>
      <c r="C122" s="46"/>
      <c r="D122" s="46"/>
      <c r="E122" s="47"/>
      <c r="F122" s="48"/>
      <c r="G122" s="48"/>
      <c r="H122" s="46"/>
      <c r="I122" s="40"/>
      <c r="J122" s="46"/>
      <c r="K122" s="49"/>
      <c r="L122" s="50"/>
    </row>
    <row r="123" outlineLevel="1">
      <c r="A123" s="45">
        <v>7</v>
      </c>
      <c r="B123" s="46"/>
      <c r="C123" s="46"/>
      <c r="D123" s="46"/>
      <c r="E123" s="47"/>
      <c r="F123" s="48"/>
      <c r="G123" s="48"/>
      <c r="H123" s="46"/>
      <c r="I123" s="40"/>
      <c r="J123" s="46"/>
      <c r="K123" s="49"/>
      <c r="L123" s="50"/>
    </row>
    <row r="124" outlineLevel="1">
      <c r="A124" s="45">
        <v>8</v>
      </c>
      <c r="B124" s="46"/>
      <c r="C124" s="46"/>
      <c r="D124" s="46"/>
      <c r="E124" s="47"/>
      <c r="F124" s="48"/>
      <c r="G124" s="48"/>
      <c r="H124" s="46"/>
      <c r="I124" s="40"/>
      <c r="J124" s="46"/>
      <c r="K124" s="49"/>
      <c r="L124" s="50"/>
    </row>
    <row r="125" outlineLevel="1">
      <c r="A125" s="39">
        <v>9</v>
      </c>
      <c r="B125" s="46"/>
      <c r="C125" s="46"/>
      <c r="D125" s="46"/>
      <c r="E125" s="47"/>
      <c r="F125" s="48"/>
      <c r="G125" s="48"/>
      <c r="H125" s="46"/>
      <c r="I125" s="40"/>
      <c r="J125" s="46"/>
      <c r="K125" s="49"/>
      <c r="L125" s="50"/>
    </row>
    <row r="126" outlineLevel="1">
      <c r="A126" s="45">
        <v>10</v>
      </c>
      <c r="B126" s="46"/>
      <c r="C126" s="46"/>
      <c r="D126" s="46"/>
      <c r="E126" s="47"/>
      <c r="F126" s="48"/>
      <c r="G126" s="48"/>
      <c r="H126" s="46"/>
      <c r="I126" s="40"/>
      <c r="J126" s="46"/>
      <c r="K126" s="49"/>
      <c r="L126" s="50"/>
    </row>
    <row r="127" outlineLevel="1">
      <c r="A127" s="45">
        <v>11</v>
      </c>
      <c r="B127" s="46"/>
      <c r="C127" s="46"/>
      <c r="D127" s="46"/>
      <c r="E127" s="47"/>
      <c r="F127" s="48"/>
      <c r="G127" s="48"/>
      <c r="H127" s="46"/>
      <c r="I127" s="40"/>
      <c r="J127" s="46"/>
      <c r="K127" s="49"/>
      <c r="L127" s="50"/>
    </row>
    <row r="128" outlineLevel="1">
      <c r="A128" s="45">
        <v>12</v>
      </c>
      <c r="B128" s="46"/>
      <c r="C128" s="46"/>
      <c r="D128" s="46"/>
      <c r="E128" s="47"/>
      <c r="F128" s="48"/>
      <c r="G128" s="48"/>
      <c r="H128" s="46"/>
      <c r="I128" s="40"/>
      <c r="J128" s="46"/>
      <c r="K128" s="49"/>
      <c r="L128" s="50"/>
    </row>
    <row r="129" outlineLevel="1">
      <c r="A129" s="45">
        <v>13</v>
      </c>
      <c r="B129" s="46"/>
      <c r="C129" s="46"/>
      <c r="D129" s="46"/>
      <c r="E129" s="47"/>
      <c r="F129" s="48"/>
      <c r="G129" s="48"/>
      <c r="H129" s="46"/>
      <c r="I129" s="40"/>
      <c r="J129" s="46"/>
      <c r="K129" s="49"/>
      <c r="L129" s="50"/>
    </row>
    <row r="130" outlineLevel="1">
      <c r="A130" s="45">
        <v>14</v>
      </c>
      <c r="B130" s="46"/>
      <c r="C130" s="46"/>
      <c r="D130" s="46"/>
      <c r="E130" s="47"/>
      <c r="F130" s="48"/>
      <c r="G130" s="48"/>
      <c r="H130" s="46"/>
      <c r="I130" s="40"/>
      <c r="J130" s="46"/>
      <c r="K130" s="49"/>
      <c r="L130" s="50"/>
    </row>
    <row r="131" ht="15" outlineLevel="1">
      <c r="A131" s="45">
        <v>15</v>
      </c>
      <c r="B131" s="57"/>
      <c r="C131" s="57"/>
      <c r="D131" s="57"/>
      <c r="E131" s="58"/>
      <c r="F131" s="59"/>
      <c r="G131" s="59"/>
      <c r="H131" s="57"/>
      <c r="I131" s="40"/>
      <c r="J131" s="57"/>
      <c r="K131" s="60"/>
      <c r="L131" s="61"/>
    </row>
    <row r="132" ht="15" outlineLevel="1">
      <c r="A132" s="77"/>
      <c r="B132" s="78" t="s">
        <v>32</v>
      </c>
      <c r="C132" s="79"/>
      <c r="D132" s="80"/>
      <c r="E132" s="81"/>
      <c r="F132" s="78"/>
      <c r="G132" s="78"/>
      <c r="H132" s="78"/>
      <c r="I132" s="78"/>
      <c r="J132" s="78"/>
      <c r="K132" s="78"/>
      <c r="L132" s="78"/>
    </row>
    <row r="133" outlineLevel="1">
      <c r="A133" s="62">
        <v>1</v>
      </c>
      <c r="B133" s="52"/>
      <c r="C133" s="52"/>
      <c r="D133" s="52"/>
      <c r="E133" s="53"/>
      <c r="F133" s="54"/>
      <c r="G133" s="54"/>
      <c r="H133" s="52"/>
      <c r="I133" s="40"/>
      <c r="J133" s="52"/>
      <c r="K133" s="55"/>
      <c r="L133" s="56"/>
    </row>
    <row r="134" outlineLevel="1">
      <c r="A134" s="45">
        <v>2</v>
      </c>
      <c r="B134" s="46"/>
      <c r="C134" s="46"/>
      <c r="D134" s="46"/>
      <c r="E134" s="47"/>
      <c r="F134" s="48"/>
      <c r="G134" s="48"/>
      <c r="H134" s="46"/>
      <c r="I134" s="40"/>
      <c r="J134" s="46"/>
      <c r="K134" s="49"/>
      <c r="L134" s="50"/>
    </row>
    <row r="135" outlineLevel="1">
      <c r="A135" s="45">
        <v>3</v>
      </c>
      <c r="B135" s="46"/>
      <c r="C135" s="46"/>
      <c r="D135" s="46"/>
      <c r="E135" s="47"/>
      <c r="F135" s="48"/>
      <c r="G135" s="48"/>
      <c r="H135" s="46"/>
      <c r="I135" s="40"/>
      <c r="J135" s="46"/>
      <c r="K135" s="49"/>
      <c r="L135" s="50"/>
    </row>
    <row r="136" outlineLevel="1">
      <c r="A136" s="45">
        <v>4</v>
      </c>
      <c r="B136" s="46"/>
      <c r="C136" s="46"/>
      <c r="D136" s="46"/>
      <c r="E136" s="47"/>
      <c r="F136" s="48"/>
      <c r="G136" s="48"/>
      <c r="H136" s="46"/>
      <c r="I136" s="40"/>
      <c r="J136" s="46"/>
      <c r="K136" s="49"/>
      <c r="L136" s="50"/>
    </row>
    <row r="137" outlineLevel="1">
      <c r="A137" s="45">
        <v>5</v>
      </c>
      <c r="B137" s="46"/>
      <c r="C137" s="46"/>
      <c r="D137" s="46"/>
      <c r="E137" s="47"/>
      <c r="F137" s="48"/>
      <c r="G137" s="48"/>
      <c r="H137" s="46"/>
      <c r="I137" s="40"/>
      <c r="J137" s="46"/>
      <c r="K137" s="49"/>
      <c r="L137" s="50"/>
    </row>
    <row r="138" outlineLevel="1">
      <c r="A138" s="45">
        <v>6</v>
      </c>
      <c r="B138" s="46"/>
      <c r="C138" s="46"/>
      <c r="D138" s="46"/>
      <c r="E138" s="47"/>
      <c r="F138" s="48"/>
      <c r="G138" s="48"/>
      <c r="H138" s="46"/>
      <c r="I138" s="40"/>
      <c r="J138" s="46"/>
      <c r="K138" s="49"/>
      <c r="L138" s="50"/>
    </row>
    <row r="139" outlineLevel="1">
      <c r="A139" s="45">
        <v>7</v>
      </c>
      <c r="B139" s="46"/>
      <c r="C139" s="46"/>
      <c r="D139" s="46"/>
      <c r="E139" s="47"/>
      <c r="F139" s="48"/>
      <c r="G139" s="48"/>
      <c r="H139" s="46"/>
      <c r="I139" s="40"/>
      <c r="J139" s="46"/>
      <c r="K139" s="49"/>
      <c r="L139" s="50"/>
    </row>
    <row r="140" outlineLevel="1">
      <c r="A140" s="45">
        <v>8</v>
      </c>
      <c r="B140" s="46"/>
      <c r="C140" s="46"/>
      <c r="D140" s="46"/>
      <c r="E140" s="47"/>
      <c r="F140" s="48"/>
      <c r="G140" s="48"/>
      <c r="H140" s="46"/>
      <c r="I140" s="40"/>
      <c r="J140" s="46"/>
      <c r="K140" s="49"/>
      <c r="L140" s="50"/>
    </row>
    <row r="141" outlineLevel="1">
      <c r="A141" s="45">
        <v>9</v>
      </c>
      <c r="B141" s="46"/>
      <c r="C141" s="46"/>
      <c r="D141" s="46"/>
      <c r="E141" s="47"/>
      <c r="F141" s="48"/>
      <c r="G141" s="48"/>
      <c r="H141" s="46"/>
      <c r="I141" s="40"/>
      <c r="J141" s="46"/>
      <c r="K141" s="49"/>
      <c r="L141" s="50"/>
    </row>
    <row r="142" outlineLevel="1">
      <c r="A142" s="45">
        <v>10</v>
      </c>
      <c r="B142" s="46"/>
      <c r="C142" s="46"/>
      <c r="D142" s="46"/>
      <c r="E142" s="47"/>
      <c r="F142" s="48"/>
      <c r="G142" s="48"/>
      <c r="H142" s="46"/>
      <c r="I142" s="40"/>
      <c r="J142" s="46"/>
      <c r="K142" s="49"/>
      <c r="L142" s="50"/>
    </row>
    <row r="143" outlineLevel="1">
      <c r="A143" s="45">
        <v>11</v>
      </c>
      <c r="B143" s="46"/>
      <c r="C143" s="46"/>
      <c r="D143" s="46"/>
      <c r="E143" s="47"/>
      <c r="F143" s="48"/>
      <c r="G143" s="48"/>
      <c r="H143" s="46"/>
      <c r="I143" s="40"/>
      <c r="J143" s="46"/>
      <c r="K143" s="49"/>
      <c r="L143" s="50"/>
    </row>
    <row r="144" outlineLevel="1">
      <c r="A144" s="45">
        <v>12</v>
      </c>
      <c r="B144" s="46"/>
      <c r="C144" s="46"/>
      <c r="D144" s="46"/>
      <c r="E144" s="47"/>
      <c r="F144" s="48"/>
      <c r="G144" s="48"/>
      <c r="H144" s="46"/>
      <c r="I144" s="40"/>
      <c r="J144" s="46"/>
      <c r="K144" s="49"/>
      <c r="L144" s="50"/>
    </row>
    <row r="145" outlineLevel="1">
      <c r="A145" s="45">
        <v>13</v>
      </c>
      <c r="B145" s="46"/>
      <c r="C145" s="46"/>
      <c r="D145" s="46"/>
      <c r="E145" s="47"/>
      <c r="F145" s="48"/>
      <c r="G145" s="48"/>
      <c r="H145" s="46"/>
      <c r="I145" s="40"/>
      <c r="J145" s="46"/>
      <c r="K145" s="49"/>
      <c r="L145" s="50"/>
    </row>
    <row r="146" outlineLevel="1">
      <c r="A146" s="45">
        <v>14</v>
      </c>
      <c r="B146" s="46"/>
      <c r="C146" s="46"/>
      <c r="D146" s="46"/>
      <c r="E146" s="47"/>
      <c r="F146" s="48"/>
      <c r="G146" s="48"/>
      <c r="H146" s="46"/>
      <c r="I146" s="40"/>
      <c r="J146" s="46"/>
      <c r="K146" s="49"/>
      <c r="L146" s="50"/>
    </row>
    <row r="147" ht="15" outlineLevel="1">
      <c r="A147" s="45">
        <v>15</v>
      </c>
      <c r="B147" s="57"/>
      <c r="C147" s="57"/>
      <c r="D147" s="57"/>
      <c r="E147" s="58"/>
      <c r="F147" s="59"/>
      <c r="G147" s="59"/>
      <c r="H147" s="57"/>
      <c r="I147" s="40"/>
      <c r="J147" s="57"/>
      <c r="K147" s="60"/>
      <c r="L147" s="61"/>
    </row>
    <row r="148" ht="15" outlineLevel="1">
      <c r="A148" s="77"/>
      <c r="B148" s="78" t="s">
        <v>25</v>
      </c>
      <c r="C148" s="79"/>
      <c r="D148" s="80"/>
      <c r="E148" s="81"/>
      <c r="F148" s="78"/>
      <c r="G148" s="78"/>
      <c r="H148" s="78"/>
      <c r="I148" s="78"/>
      <c r="J148" s="78"/>
      <c r="K148" s="78"/>
      <c r="L148" s="78"/>
    </row>
    <row r="149" outlineLevel="1">
      <c r="A149" s="45">
        <v>1</v>
      </c>
      <c r="B149" s="52"/>
      <c r="C149" s="52"/>
      <c r="D149" s="52"/>
      <c r="E149" s="53"/>
      <c r="F149" s="54"/>
      <c r="G149" s="54"/>
      <c r="H149" s="52"/>
      <c r="I149" s="40"/>
      <c r="J149" s="52"/>
      <c r="K149" s="55"/>
      <c r="L149" s="56"/>
    </row>
    <row r="150" outlineLevel="1">
      <c r="A150" s="45">
        <v>2</v>
      </c>
      <c r="B150" s="46"/>
      <c r="C150" s="46"/>
      <c r="D150" s="46"/>
      <c r="E150" s="47"/>
      <c r="F150" s="48"/>
      <c r="G150" s="48"/>
      <c r="H150" s="46"/>
      <c r="I150" s="40"/>
      <c r="J150" s="46"/>
      <c r="K150" s="49"/>
      <c r="L150" s="50"/>
    </row>
    <row r="151" outlineLevel="1">
      <c r="A151" s="45">
        <v>3</v>
      </c>
      <c r="B151" s="46"/>
      <c r="C151" s="46"/>
      <c r="D151" s="46"/>
      <c r="E151" s="47"/>
      <c r="F151" s="48"/>
      <c r="G151" s="48"/>
      <c r="H151" s="46"/>
      <c r="I151" s="40"/>
      <c r="J151" s="46"/>
      <c r="K151" s="49"/>
      <c r="L151" s="50"/>
    </row>
    <row r="152" outlineLevel="1">
      <c r="A152" s="45">
        <v>4</v>
      </c>
      <c r="B152" s="46"/>
      <c r="C152" s="46"/>
      <c r="D152" s="46"/>
      <c r="E152" s="47"/>
      <c r="F152" s="48"/>
      <c r="G152" s="48"/>
      <c r="H152" s="46"/>
      <c r="I152" s="40"/>
      <c r="J152" s="46"/>
      <c r="K152" s="49"/>
      <c r="L152" s="50"/>
    </row>
    <row r="153" outlineLevel="1">
      <c r="A153" s="45">
        <v>5</v>
      </c>
      <c r="B153" s="46"/>
      <c r="C153" s="46"/>
      <c r="D153" s="46"/>
      <c r="E153" s="47"/>
      <c r="F153" s="48"/>
      <c r="G153" s="48"/>
      <c r="H153" s="46"/>
      <c r="I153" s="40"/>
      <c r="J153" s="46"/>
      <c r="K153" s="49"/>
      <c r="L153" s="50"/>
    </row>
    <row r="154" outlineLevel="1">
      <c r="A154" s="45">
        <v>6</v>
      </c>
      <c r="B154" s="46"/>
      <c r="C154" s="46"/>
      <c r="D154" s="46"/>
      <c r="E154" s="47"/>
      <c r="F154" s="48"/>
      <c r="G154" s="48"/>
      <c r="H154" s="46"/>
      <c r="I154" s="40"/>
      <c r="J154" s="46"/>
      <c r="K154" s="49"/>
      <c r="L154" s="50"/>
    </row>
    <row r="155" outlineLevel="1">
      <c r="A155" s="45">
        <v>7</v>
      </c>
      <c r="B155" s="46"/>
      <c r="C155" s="46"/>
      <c r="D155" s="46"/>
      <c r="E155" s="47"/>
      <c r="F155" s="48"/>
      <c r="G155" s="48"/>
      <c r="H155" s="46"/>
      <c r="I155" s="40"/>
      <c r="J155" s="46"/>
      <c r="K155" s="49"/>
      <c r="L155" s="50"/>
    </row>
    <row r="156" outlineLevel="1">
      <c r="A156" s="45">
        <v>8</v>
      </c>
      <c r="B156" s="46"/>
      <c r="C156" s="46"/>
      <c r="D156" s="46"/>
      <c r="E156" s="47"/>
      <c r="F156" s="48"/>
      <c r="G156" s="48"/>
      <c r="H156" s="46"/>
      <c r="I156" s="40"/>
      <c r="J156" s="46"/>
      <c r="K156" s="49"/>
      <c r="L156" s="50"/>
    </row>
    <row r="157" outlineLevel="1">
      <c r="A157" s="45">
        <v>9</v>
      </c>
      <c r="B157" s="46"/>
      <c r="C157" s="46"/>
      <c r="D157" s="46"/>
      <c r="E157" s="47"/>
      <c r="F157" s="48"/>
      <c r="G157" s="48"/>
      <c r="H157" s="46"/>
      <c r="I157" s="40"/>
      <c r="J157" s="46"/>
      <c r="K157" s="49"/>
      <c r="L157" s="50"/>
    </row>
    <row r="158" ht="15" outlineLevel="1">
      <c r="A158" s="45">
        <v>10</v>
      </c>
      <c r="B158" s="57"/>
      <c r="C158" s="57"/>
      <c r="D158" s="57"/>
      <c r="E158" s="58"/>
      <c r="F158" s="59"/>
      <c r="G158" s="59"/>
      <c r="H158" s="57"/>
      <c r="I158" s="40"/>
      <c r="J158" s="57"/>
      <c r="K158" s="60"/>
      <c r="L158" s="61"/>
    </row>
    <row r="159" ht="15" outlineLevel="1">
      <c r="A159" s="77"/>
      <c r="B159" s="78" t="s">
        <v>26</v>
      </c>
      <c r="C159" s="79"/>
      <c r="D159" s="80"/>
      <c r="E159" s="81"/>
      <c r="F159" s="78"/>
      <c r="G159" s="78"/>
      <c r="H159" s="78"/>
      <c r="I159" s="78"/>
      <c r="J159" s="78"/>
      <c r="K159" s="78"/>
      <c r="L159" s="78"/>
    </row>
    <row r="160" outlineLevel="1">
      <c r="A160" s="62">
        <v>1</v>
      </c>
      <c r="B160" s="52"/>
      <c r="C160" s="52"/>
      <c r="D160" s="52"/>
      <c r="E160" s="53"/>
      <c r="F160" s="54"/>
      <c r="G160" s="54"/>
      <c r="H160" s="52"/>
      <c r="I160" s="40"/>
      <c r="J160" s="52"/>
      <c r="K160" s="55"/>
      <c r="L160" s="56"/>
    </row>
    <row r="161" outlineLevel="1">
      <c r="A161" s="39">
        <v>2</v>
      </c>
      <c r="B161" s="40"/>
      <c r="C161" s="40"/>
      <c r="D161" s="40"/>
      <c r="E161" s="41"/>
      <c r="F161" s="42"/>
      <c r="G161" s="42"/>
      <c r="H161" s="40"/>
      <c r="I161" s="40"/>
      <c r="J161" s="40"/>
      <c r="K161" s="43"/>
      <c r="L161" s="44"/>
    </row>
    <row r="162" outlineLevel="1">
      <c r="A162" s="39">
        <v>3</v>
      </c>
      <c r="B162" s="40"/>
      <c r="C162" s="40"/>
      <c r="D162" s="40"/>
      <c r="E162" s="41"/>
      <c r="F162" s="42"/>
      <c r="G162" s="42"/>
      <c r="H162" s="40"/>
      <c r="I162" s="40"/>
      <c r="J162" s="40"/>
      <c r="K162" s="43"/>
      <c r="L162" s="44"/>
    </row>
    <row r="163" outlineLevel="1">
      <c r="A163" s="45">
        <v>4</v>
      </c>
      <c r="B163" s="46"/>
      <c r="C163" s="46"/>
      <c r="D163" s="46"/>
      <c r="E163" s="47"/>
      <c r="F163" s="48"/>
      <c r="G163" s="48"/>
      <c r="H163" s="46"/>
      <c r="I163" s="40"/>
      <c r="J163" s="46"/>
      <c r="K163" s="49"/>
      <c r="L163" s="50"/>
    </row>
    <row r="164" ht="15" outlineLevel="1">
      <c r="A164" s="63">
        <v>5</v>
      </c>
      <c r="B164" s="57"/>
      <c r="C164" s="57"/>
      <c r="D164" s="57"/>
      <c r="E164" s="58"/>
      <c r="F164" s="59"/>
      <c r="G164" s="59"/>
      <c r="H164" s="57"/>
      <c r="I164" s="57"/>
      <c r="J164" s="57"/>
      <c r="K164" s="60"/>
      <c r="L164" s="61"/>
    </row>
    <row r="165" ht="23.100000000000001" customHeight="1">
      <c r="A165" s="82" t="s">
        <v>33</v>
      </c>
      <c r="B165" s="83"/>
      <c r="C165" s="83"/>
      <c r="D165" s="84"/>
      <c r="E165" s="85">
        <f>SUM(E117:E164)</f>
        <v>0</v>
      </c>
    </row>
    <row r="166" ht="23.100000000000001" customHeight="1">
      <c r="A166" s="82" t="s">
        <v>28</v>
      </c>
      <c r="B166" s="83"/>
      <c r="C166" s="83"/>
      <c r="D166" s="84"/>
      <c r="E166" s="85">
        <f>E109-E165</f>
        <v>28960.139999999999</v>
      </c>
      <c r="F166" s="67"/>
      <c r="G166" s="67"/>
    </row>
  </sheetData>
  <mergeCells count="19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06:D106"/>
    <mergeCell ref="A107:D107"/>
    <mergeCell ref="A109:D109"/>
    <mergeCell ref="A110:D110"/>
    <mergeCell ref="A111:D111"/>
    <mergeCell ref="A112:D112"/>
    <mergeCell ref="A113:D113"/>
    <mergeCell ref="A165:D165"/>
    <mergeCell ref="A166:D166"/>
  </mergeCells>
  <printOptions headings="0" gridLines="0"/>
  <pageMargins left="0" right="0" top="0" bottom="0" header="0.29999999999999999" footer="0.29999999999999999"/>
  <pageSetup paperSize="9" scale="62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CF0084-001D-4EB0-B954-00930070007E}" type="list" allowBlank="1" errorStyle="stop" imeMode="noControl" operator="between" showDropDown="0" showErrorMessage="1" showInputMessage="1">
          <x14:formula1>
            <xm:f>ДаНет</xm:f>
          </x14:formula1>
          <xm:sqref>I37:I56 I58:I72 I74:I88 I90:I99 I101 I103:I105 I117:I131 I133:I147 I149:I158 I160:I164 I16 I20:I35</xm:sqref>
        </x14:dataValidation>
        <x14:dataValidation xr:uid="{00030087-00CC-4FC3-BC9B-00C700F000D4}" type="list" allowBlank="1" errorStyle="stop" imeMode="noControl" operator="between" showDropDown="0" showErrorMessage="1" showInputMessage="1">
          <x14:formula1>
            <xm:f>ДаНет</xm:f>
          </x14:formula1>
          <xm:sqref>I17:I19</xm:sqref>
        </x14:dataValidation>
        <x14:dataValidation xr:uid="{00630005-001B-4556-AFB8-00F40027008C}" type="list" allowBlank="1" errorStyle="stop" imeMode="noControl" operator="between" showDropDown="0" showErrorMessage="1" showInputMessage="1">
          <x14:formula1>
            <xm:f>ДаНет</xm:f>
          </x14:formula1>
          <xm:sqref>I102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:A2"/>
    </sheetView>
  </sheetViews>
  <sheetFormatPr defaultRowHeight="14.25"/>
  <sheetData>
    <row r="1">
      <c r="A1" t="s">
        <v>41</v>
      </c>
    </row>
    <row r="2">
      <c r="A2" t="s">
        <v>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Оксана Петровна</dc:creator>
  <cp:lastModifiedBy>Лазарева Лариса</cp:lastModifiedBy>
  <cp:revision>269</cp:revision>
  <dcterms:created xsi:type="dcterms:W3CDTF">2019-04-18T08:02:48Z</dcterms:created>
  <dcterms:modified xsi:type="dcterms:W3CDTF">2026-04-01T11:53:18Z</dcterms:modified>
</cp:coreProperties>
</file>
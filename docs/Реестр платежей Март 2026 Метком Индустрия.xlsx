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P:\01. Корпоративная папка\06. Финансовые документы\04. Реестр платежей\06. Реестр платежей Метком Индустрия\"/>
    </mc:Choice>
  </mc:AlternateContent>
  <bookViews>
    <workbookView xWindow="-105" yWindow="-105" windowWidth="23250" windowHeight="12450" tabRatio="849" activeTab="30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3" r:id="rId30"/>
    <sheet name="31" sheetId="34" r:id="rId31"/>
    <sheet name="Тех.Лист" sheetId="32" state="hidden" r:id="rId32"/>
  </sheets>
  <definedNames>
    <definedName name="Z_0B5B4FAE_B353_4A05_99F6_BD7D6C7696CA_.wvu.Rows" localSheetId="7" hidden="1">'08'!$10:$84</definedName>
    <definedName name="Z_3784030C_584B_439C_8C22_F35D4C0C2F20_.wvu.Rows" localSheetId="7" hidden="1">'08'!$10:$84</definedName>
    <definedName name="Z_426687FD_750A_4CE4_9CD7_456268DEAEB9_.wvu.Rows" localSheetId="6" hidden="1">'07'!$10:$75</definedName>
    <definedName name="Z_4BC8836F_67FA_4ADD_8BF2_2849727F82ED_.wvu.Rows" localSheetId="5" hidden="1">'06'!$10:$75</definedName>
    <definedName name="Z_4BC8836F_67FA_4ADD_8BF2_2849727F82ED_.wvu.Rows" localSheetId="7" hidden="1">'08'!$10:$84</definedName>
    <definedName name="Z_4BC8836F_67FA_4ADD_8BF2_2849727F82ED_.wvu.Rows" localSheetId="19" hidden="1">'20'!$10:$75</definedName>
    <definedName name="Z_525A67BF_0EC6_479A_827A_4EE55011310F_.wvu.Rows" localSheetId="0" hidden="1">'01'!$11:$81</definedName>
    <definedName name="Z_525A67BF_0EC6_479A_827A_4EE55011310F_.wvu.Rows" localSheetId="1" hidden="1">'02'!$10:$75</definedName>
    <definedName name="Z_525A67BF_0EC6_479A_827A_4EE55011310F_.wvu.Rows" localSheetId="2" hidden="1">'03'!$10:$75</definedName>
    <definedName name="Z_525A67BF_0EC6_479A_827A_4EE55011310F_.wvu.Rows" localSheetId="3" hidden="1">'04'!$10:$75</definedName>
    <definedName name="Z_525A67BF_0EC6_479A_827A_4EE55011310F_.wvu.Rows" localSheetId="4" hidden="1">'05'!$10:$75</definedName>
    <definedName name="Z_525A67BF_0EC6_479A_827A_4EE55011310F_.wvu.Rows" localSheetId="8" hidden="1">'09'!$10:$75</definedName>
    <definedName name="Z_525A67BF_0EC6_479A_827A_4EE55011310F_.wvu.Rows" localSheetId="9" hidden="1">'10'!$10:$75</definedName>
    <definedName name="Z_525A67BF_0EC6_479A_827A_4EE55011310F_.wvu.Rows" localSheetId="10" hidden="1">'11'!$10:$75</definedName>
    <definedName name="Z_525A67BF_0EC6_479A_827A_4EE55011310F_.wvu.Rows" localSheetId="11" hidden="1">'12'!$10:$75</definedName>
    <definedName name="Z_525A67BF_0EC6_479A_827A_4EE55011310F_.wvu.Rows" localSheetId="13" hidden="1">'14'!$10:$75</definedName>
    <definedName name="Z_525A67BF_0EC6_479A_827A_4EE55011310F_.wvu.Rows" localSheetId="15" hidden="1">'16'!$10:$75</definedName>
    <definedName name="Z_525A67BF_0EC6_479A_827A_4EE55011310F_.wvu.Rows" localSheetId="16" hidden="1">'17'!$10:$75</definedName>
    <definedName name="Z_525A67BF_0EC6_479A_827A_4EE55011310F_.wvu.Rows" localSheetId="17" hidden="1">'18'!$10:$75</definedName>
    <definedName name="Z_525A67BF_0EC6_479A_827A_4EE55011310F_.wvu.Rows" localSheetId="18" hidden="1">'19'!$10:$75</definedName>
    <definedName name="Z_525A67BF_0EC6_479A_827A_4EE55011310F_.wvu.Rows" localSheetId="22" hidden="1">'23'!$10:$75</definedName>
    <definedName name="Z_525A67BF_0EC6_479A_827A_4EE55011310F_.wvu.Rows" localSheetId="23" hidden="1">'24'!$10:$75</definedName>
    <definedName name="Z_525A67BF_0EC6_479A_827A_4EE55011310F_.wvu.Rows" localSheetId="24" hidden="1">'25'!$10:$75</definedName>
    <definedName name="Z_525A67BF_0EC6_479A_827A_4EE55011310F_.wvu.Rows" localSheetId="25" hidden="1">'26'!$10:$75</definedName>
    <definedName name="Z_525A67BF_0EC6_479A_827A_4EE55011310F_.wvu.Rows" localSheetId="26" hidden="1">'27'!$60:$60</definedName>
    <definedName name="Z_525A67BF_0EC6_479A_827A_4EE55011310F_.wvu.Rows" localSheetId="27" hidden="1">'28'!$10:$75</definedName>
    <definedName name="Z_525A67BF_0EC6_479A_827A_4EE55011310F_.wvu.Rows" localSheetId="28" hidden="1">'29'!$10:$75</definedName>
    <definedName name="Z_6668B387_912B_41D3_A438_086D34482F31_.wvu.Rows" localSheetId="21" hidden="1">'22'!$10:$75</definedName>
    <definedName name="Z_6668B387_912B_41D3_A438_086D34482F31_.wvu.Rows" localSheetId="22" hidden="1">'23'!$10:$75</definedName>
    <definedName name="Z_6668B387_912B_41D3_A438_086D34482F31_.wvu.Rows" localSheetId="23" hidden="1">'24'!$10:$75</definedName>
    <definedName name="Z_6668B387_912B_41D3_A438_086D34482F31_.wvu.Rows" localSheetId="28" hidden="1">'29'!$10:$75</definedName>
    <definedName name="Z_744BD12D_C8AC_449A_9ACA_1F55F56C7796_.wvu.Rows" localSheetId="7" hidden="1">'08'!$10:$84</definedName>
    <definedName name="Z_744BD12D_C8AC_449A_9ACA_1F55F56C7796_.wvu.Rows" localSheetId="22" hidden="1">'23'!$10:$75</definedName>
    <definedName name="Z_744BD12D_C8AC_449A_9ACA_1F55F56C7796_.wvu.Rows" localSheetId="23" hidden="1">'24'!$10:$75</definedName>
    <definedName name="Z_744BD12D_C8AC_449A_9ACA_1F55F56C7796_.wvu.Rows" localSheetId="26" hidden="1">'27'!$10:$75</definedName>
    <definedName name="Z_744BD12D_C8AC_449A_9ACA_1F55F56C7796_.wvu.Rows" localSheetId="28" hidden="1">'29'!$10:$75</definedName>
    <definedName name="Z_7AFC5D51_FD9F_4863_8A51_4C412D6A5939_.wvu.Rows" localSheetId="7" hidden="1">'08'!$10:$84</definedName>
    <definedName name="Z_7AFC5D51_FD9F_4863_8A51_4C412D6A5939_.wvu.Rows" localSheetId="22" hidden="1">'23'!$10:$75</definedName>
    <definedName name="Z_7AFC5D51_FD9F_4863_8A51_4C412D6A5939_.wvu.Rows" localSheetId="23" hidden="1">'24'!$10:$75</definedName>
    <definedName name="Z_BE95F399_F8F3_4CBB_A91F_605EF249A9B6_.wvu.Rows" localSheetId="22" hidden="1">'23'!$10:$75</definedName>
    <definedName name="Z_C2F1D4B1_A1F1_448D_93DB_7A0865BB4FAC_.wvu.Rows" localSheetId="23" hidden="1">'24'!$10:$75</definedName>
    <definedName name="Z_EC8093C0_B7E2_4217_8482_B79AFD6E926F_.wvu.Rows" localSheetId="6" hidden="1">'07'!$10:$75</definedName>
    <definedName name="Z_EC8093C0_B7E2_4217_8482_B79AFD6E926F_.wvu.Rows" localSheetId="7" hidden="1">'08'!$10:$84</definedName>
    <definedName name="Z_FA3A1891_F2A6_4F77_B7A7_31E16BA7D8D7_.wvu.Rows" localSheetId="5" hidden="1">'06'!$10:$75</definedName>
    <definedName name="Z_FA3A1891_F2A6_4F77_B7A7_31E16BA7D8D7_.wvu.Rows" localSheetId="7" hidden="1">'08'!$10:$84</definedName>
    <definedName name="Z_FA3A1891_F2A6_4F77_B7A7_31E16BA7D8D7_.wvu.Rows" localSheetId="19" hidden="1">'20'!$10:$75</definedName>
    <definedName name="АЛЬТЕРНА">'01'!$A$4</definedName>
    <definedName name="ДаНет">Тех.Лист!$A$1:$A$2</definedName>
    <definedName name="С2">'01'!$C$2</definedName>
    <definedName name="число">'01'!$C$2</definedName>
  </definedNames>
  <calcPr calcId="152511" iterateDelta="1E-4"/>
  <customWorkbookViews>
    <customWorkbookView name="Амитон Денис Дмитриевич - Личное представление" guid="{525A67BF-0EC6-479A-827A-4EE55011310F}" mergeInterval="0" personalView="1" maximized="1" xWindow="-8" yWindow="-8" windowWidth="1936" windowHeight="1056" tabRatio="884" activeSheetId="31"/>
    <customWorkbookView name="Шведенко Александр Сергеевич - Личное представление" guid="{C4668806-6DBC-4F62-8BE0-1B89BD30B12D}" mergeInterval="0" personalView="1" maximized="1" windowWidth="1916" windowHeight="854" tabRatio="884" activeSheetId="28"/>
    <customWorkbookView name="Иванова Оксана Петровна - Личное представление" guid="{FA3A1891-F2A6-4F77-B7A7-31E16BA7D8D7}" mergeInterval="0" personalView="1" maximized="1" xWindow="-8" yWindow="-8" windowWidth="1936" windowHeight="1056" tabRatio="884" activeSheetId="28"/>
    <customWorkbookView name="Стадников Александр Юрьевич - Личное представление" guid="{EC8093C0-B7E2-4217-8482-B79AFD6E926F}" mergeInterval="0" personalView="1" maximized="1" xWindow="-8" yWindow="-8" windowWidth="1616" windowHeight="876" tabRatio="884" activeSheetId="28"/>
    <customWorkbookView name="Патлачева Наталья Викторовна - Личное представление" guid="{744BD12D-C8AC-449A-9ACA-1F55F56C7796}" mergeInterval="0" personalView="1" maximized="1" xWindow="-8" yWindow="-8" windowWidth="1936" windowHeight="1056" tabRatio="988" activeSheetId="28"/>
    <customWorkbookView name="Приезжева - Личное представление" guid="{0C483E96-A37A-425E-88F4-9E8400B3555F}" mergeInterval="0" personalView="1" maximized="1" xWindow="-8" yWindow="-8" windowWidth="1616" windowHeight="876" tabRatio="884" activeSheetId="28"/>
    <customWorkbookView name="rtpz_user2 - Личное представление" guid="{F9D3156F-53B3-4E72-BF5E-6FE9C00C4EB5}" mergeInterval="0" personalView="1" maximized="1" xWindow="54" yWindow="-8" windowWidth="1874" windowHeight="1096" tabRatio="884" activeSheetId="27"/>
    <customWorkbookView name="Патотова Светлана Юрьевна - Личное представление" guid="{B2CE1E24-888C-49F4-9769-3C51A085775C}" mergeInterval="0" personalView="1" maximized="1" xWindow="-8" yWindow="-8" windowWidth="1936" windowHeight="1056" tabRatio="884" activeSheetId="22"/>
    <customWorkbookView name="Пользователь для системы СБИС - Личное представление" guid="{E31F1E6C-DCD1-4C9A-AD5A-51D85C35BEB6}" mergeInterval="0" personalView="1" maximized="1" xWindow="1" yWindow="1" windowWidth="1920" windowHeight="850" tabRatio="988" activeSheetId="30"/>
    <customWorkbookView name="Шамшик - Личное представление" guid="{93136F3E-7733-498C-9224-BF45385180C3}" mergeInterval="0" personalView="1" maximized="1" xWindow="-8" yWindow="-8" windowWidth="1936" windowHeight="1056" tabRatio="884" activeSheetId="22"/>
    <customWorkbookView name="Рыжих Виктория Владимировна - Личное представление" guid="{0B5B4FAE-B353-4A05-99F6-BD7D6C7696CA}" mergeInterval="0" personalView="1" maximized="1" xWindow="-8" yWindow="-8" windowWidth="1616" windowHeight="876" tabRatio="884" activeSheetId="28" showFormulaBar="0"/>
    <customWorkbookView name="rtpz_user5 - Личное представление" guid="{6668B387-912B-41D3-A438-086D34482F31}" mergeInterval="0" personalView="1" maximized="1" windowWidth="1916" windowHeight="808" tabRatio="988" activeSheetId="21"/>
    <customWorkbookView name="Шалыгин Андрей Викторович - Личное представление" guid="{F8C10BD5-4C61-4F5D-A32A-61D0695B8D8E}" mergeInterval="0" personalView="1" maximized="1" xWindow="-8" yWindow="-8" windowWidth="1382" windowHeight="744" tabRatio="884" activeSheetId="27"/>
    <customWorkbookView name="Лазарева Лариса Юрьевна - Личное представление" guid="{426687FD-750A-4CE4-9CD7-456268DEAEB9}" mergeInterval="0" personalView="1" maximized="1" xWindow="-8" yWindow="-8" windowWidth="1936" windowHeight="1056" tabRatio="884" activeSheetId="24"/>
    <customWorkbookView name="manager7 - Личное представление" guid="{142AC03A-22E3-4231-8209-D1E90D0B392F}" mergeInterval="0" personalView="1" maximized="1" windowWidth="1670" windowHeight="807" tabRatio="884" activeSheetId="27"/>
    <customWorkbookView name="secretar - Личное представление" guid="{85202B59-7EA4-4FEE-83A9-85916C51E0F6}" mergeInterval="0" personalView="1" maximized="1" xWindow="1" yWindow="1" windowWidth="1502" windowHeight="763" tabRatio="884" activeSheetId="27"/>
    <customWorkbookView name="Артюшатский Александр Александрович - Личное представление" guid="{C2F1D4B1-A1F1-448D-93DB-7A0865BB4FAC}" mergeInterval="0" personalView="1" maximized="1" xWindow="-8" yWindow="-8" windowWidth="1936" windowHeight="1056" tabRatio="988" activeSheetId="27"/>
    <customWorkbookView name="Федина Анна Юрьевна - Личное представление" guid="{4BC8836F-67FA-4ADD-8BF2-2849727F82ED}" mergeInterval="0" personalView="1" maximized="1" xWindow="-8" yWindow="-8" windowWidth="1936" windowHeight="1056" tabRatio="884" activeSheetId="28"/>
    <customWorkbookView name="Вышлова Ирина Сергеевна - Личное представление" guid="{7AFC5D51-FD9F-4863-8A51-4C412D6A5939}" mergeInterval="0" personalView="1" maximized="1" xWindow="-8" yWindow="-8" windowWidth="1936" windowHeight="1056" tabRatio="988" activeSheetId="27" showComments="commIndAndComment"/>
    <customWorkbookView name="Коваленко - Личное представление" guid="{153EBAF3-54D0-4FF1-8F1D-7C3A305D289C}" mergeInterval="0" personalView="1" maximized="1" xWindow="-8" yWindow="-8" windowWidth="1936" windowHeight="1056" tabRatio="884" activeSheetId="29"/>
    <customWorkbookView name="Логинова Ольга Валерьевна - Личное представление" guid="{3784030C-584B-439C-8C22-F35D4C0C2F20}" mergeInterval="0" personalView="1" maximized="1" xWindow="-8" yWindow="32" windowWidth="1936" windowHeight="1056" tabRatio="884" activeSheetId="28"/>
    <customWorkbookView name="Кадиева Наталья Александровна - Личное представление" guid="{BE95F399-F8F3-4CBB-A91F-605EF249A9B6}" mergeInterval="0" personalView="1" maximized="1" windowWidth="1676" windowHeight="791" tabRatio="884" activeSheetId="28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2" i="34" l="1"/>
  <c r="E4" i="34"/>
  <c r="A4" i="34"/>
  <c r="E82" i="33"/>
  <c r="E4" i="33"/>
  <c r="A4" i="33"/>
  <c r="E83" i="33" l="1"/>
  <c r="E83" i="34"/>
  <c r="A4" i="18"/>
  <c r="A4" i="19"/>
  <c r="A4" i="20"/>
  <c r="A4" i="21"/>
  <c r="A4" i="22"/>
  <c r="A4" i="23"/>
  <c r="A4" i="24"/>
  <c r="A4" i="25"/>
  <c r="A4" i="26"/>
  <c r="A4" i="27"/>
  <c r="A4" i="28"/>
  <c r="A4" i="29"/>
  <c r="A4" i="17"/>
  <c r="A4" i="16"/>
  <c r="A4" i="15"/>
  <c r="A4" i="14"/>
  <c r="A4" i="13"/>
  <c r="A4" i="12"/>
  <c r="A4" i="11"/>
  <c r="A4" i="10"/>
  <c r="A4" i="9"/>
  <c r="A4" i="8"/>
  <c r="A4" i="7"/>
  <c r="A4" i="6"/>
  <c r="A4" i="5"/>
  <c r="A4" i="4"/>
  <c r="A4" i="3"/>
  <c r="A4" i="2"/>
  <c r="E82" i="5" l="1"/>
  <c r="E4" i="5"/>
  <c r="E82" i="6"/>
  <c r="E4" i="6"/>
  <c r="E82" i="7"/>
  <c r="E4" i="7"/>
  <c r="E82" i="8"/>
  <c r="E4" i="8"/>
  <c r="E82" i="9"/>
  <c r="E4" i="9"/>
  <c r="E82" i="10"/>
  <c r="E4" i="10"/>
  <c r="E82" i="11"/>
  <c r="E4" i="11"/>
  <c r="E82" i="12"/>
  <c r="E4" i="12"/>
  <c r="E82" i="13"/>
  <c r="E4" i="13"/>
  <c r="E82" i="14"/>
  <c r="E4" i="14"/>
  <c r="E82" i="15"/>
  <c r="E4" i="15"/>
  <c r="E82" i="16"/>
  <c r="E4" i="16"/>
  <c r="E82" i="17"/>
  <c r="E4" i="17"/>
  <c r="E82" i="18"/>
  <c r="E4" i="18"/>
  <c r="E82" i="19"/>
  <c r="E4" i="19"/>
  <c r="E82" i="20"/>
  <c r="E4" i="20"/>
  <c r="E82" i="21"/>
  <c r="E4" i="21"/>
  <c r="E82" i="22"/>
  <c r="E4" i="22"/>
  <c r="E82" i="23"/>
  <c r="E4" i="23"/>
  <c r="E82" i="24"/>
  <c r="E4" i="24"/>
  <c r="E82" i="25"/>
  <c r="E4" i="25"/>
  <c r="E82" i="26"/>
  <c r="E4" i="26"/>
  <c r="E82" i="27"/>
  <c r="E4" i="27"/>
  <c r="E82" i="28"/>
  <c r="E4" i="28"/>
  <c r="E82" i="29"/>
  <c r="E4" i="29"/>
  <c r="E82" i="4"/>
  <c r="E4" i="4"/>
  <c r="C2" i="2"/>
  <c r="C2" i="3" s="1"/>
  <c r="C2" i="4" s="1"/>
  <c r="C2" i="5" s="1"/>
  <c r="C2" i="6" s="1"/>
  <c r="C2" i="7" s="1"/>
  <c r="C2" i="8" s="1"/>
  <c r="C2" i="9" s="1"/>
  <c r="C2" i="10" s="1"/>
  <c r="C2" i="11" s="1"/>
  <c r="C2" i="12" s="1"/>
  <c r="C2" i="13" s="1"/>
  <c r="C2" i="14" s="1"/>
  <c r="C2" i="15" s="1"/>
  <c r="C2" i="16" s="1"/>
  <c r="C2" i="17" s="1"/>
  <c r="C2" i="18" s="1"/>
  <c r="C2" i="19" s="1"/>
  <c r="C2" i="20" s="1"/>
  <c r="C2" i="21" s="1"/>
  <c r="C2" i="22" s="1"/>
  <c r="C2" i="23" s="1"/>
  <c r="C2" i="24" s="1"/>
  <c r="C2" i="25" s="1"/>
  <c r="C2" i="26" s="1"/>
  <c r="C2" i="27" s="1"/>
  <c r="C2" i="28" s="1"/>
  <c r="C2" i="29" s="1"/>
  <c r="C2" i="33" s="1"/>
  <c r="C2" i="34" s="1"/>
  <c r="E82" i="3"/>
  <c r="E4" i="3"/>
  <c r="E82" i="2"/>
  <c r="E4" i="2"/>
  <c r="E83" i="23" l="1"/>
  <c r="E83" i="21"/>
  <c r="E83" i="5"/>
  <c r="E83" i="24"/>
  <c r="E83" i="17"/>
  <c r="E83" i="10"/>
  <c r="E83" i="26"/>
  <c r="E83" i="20"/>
  <c r="E83" i="16"/>
  <c r="E83" i="8"/>
  <c r="E83" i="2"/>
  <c r="E83" i="4"/>
  <c r="E83" i="29"/>
  <c r="E83" i="27"/>
  <c r="E83" i="25"/>
  <c r="E83" i="3"/>
  <c r="E83" i="15"/>
  <c r="E83" i="13"/>
  <c r="E83" i="11"/>
  <c r="E83" i="9"/>
  <c r="E83" i="7"/>
  <c r="E83" i="6"/>
  <c r="E83" i="18"/>
  <c r="E83" i="22"/>
  <c r="E83" i="28"/>
  <c r="E83" i="19"/>
  <c r="E83" i="14"/>
  <c r="E83" i="12"/>
  <c r="E4" i="1"/>
  <c r="E82" i="1" l="1"/>
  <c r="E83" i="1" l="1"/>
</calcChain>
</file>

<file path=xl/sharedStrings.xml><?xml version="1.0" encoding="utf-8"?>
<sst xmlns="http://schemas.openxmlformats.org/spreadsheetml/2006/main" count="685" uniqueCount="48">
  <si>
    <t>№ п/п</t>
  </si>
  <si>
    <t>Инициатор платежа</t>
  </si>
  <si>
    <t>Контрагент - Получатель</t>
  </si>
  <si>
    <t>Договор/Счет</t>
  </si>
  <si>
    <t>Сумма  к оплате</t>
  </si>
  <si>
    <t>Назначение платежа</t>
  </si>
  <si>
    <t>Бюджет/Статья</t>
  </si>
  <si>
    <t>Примечание</t>
  </si>
  <si>
    <t>Отметка об оплате</t>
  </si>
  <si>
    <t>Спец. Распоряжение</t>
  </si>
  <si>
    <t>Коммерческий отдел (Закупка товара / Логистика / Снабжение/ ВЭД / Хранение / ПРР / Маркетинг)</t>
  </si>
  <si>
    <t>Бухгалтерия  (Налоги / ЗП / ЕСН / прочие платежи бух. службы)</t>
  </si>
  <si>
    <t>ФЭО  (Кредиты/ Лизинг / Проценты / прочие платежи)</t>
  </si>
  <si>
    <t>ДЕФИЦИТ  /  ПРОФИЦИТ с Остатка на начало дня</t>
  </si>
  <si>
    <t xml:space="preserve">Подразделение - плательщик </t>
  </si>
  <si>
    <t>АХР (IT служба / Юр служба / Секретариат / Кадры)</t>
  </si>
  <si>
    <t xml:space="preserve"> ПРОИЗВОДСТВЕННЫЙ комплекс / ТЕХ служба </t>
  </si>
  <si>
    <t>Наличие Договора</t>
  </si>
  <si>
    <t>Да</t>
  </si>
  <si>
    <t>Нет</t>
  </si>
  <si>
    <t>ИТОГО АЛЬТЕРНА РАСХОДЫ ПО РЕЕСТРУ</t>
  </si>
  <si>
    <t>счёт ПРОМСВЯЗЬБАНК 61778</t>
  </si>
  <si>
    <t>АО Метком Индустрия</t>
  </si>
  <si>
    <t>Луганская</t>
  </si>
  <si>
    <t>АО ВТБ Регистратор</t>
  </si>
  <si>
    <t>Счёт №2026022333/РС от 01.03.2026</t>
  </si>
  <si>
    <t>Абонентская плата за март 2026 г.</t>
  </si>
  <si>
    <t>Дмитриева О. В.</t>
  </si>
  <si>
    <t xml:space="preserve"> Бабич В. Д.</t>
  </si>
  <si>
    <t>арендная плата</t>
  </si>
  <si>
    <t>ндфл аренда</t>
  </si>
  <si>
    <t>Реестр закрыт!!!</t>
  </si>
  <si>
    <t xml:space="preserve">Сбер </t>
  </si>
  <si>
    <t>отдельным платежом</t>
  </si>
  <si>
    <t>зарплата за февраль 2026 г.</t>
  </si>
  <si>
    <t>ИФНС по ЕНП</t>
  </si>
  <si>
    <t>КБК 18201061201010000510</t>
  </si>
  <si>
    <t>ОСФР ПО РОСТОВСКОЙ ОБЛАСТИ , Л/С 04584Ф58010)</t>
  </si>
  <si>
    <t>КБК 79710212000061000160</t>
  </si>
  <si>
    <t>Страховые взносы по НС и ПЗ за февраль 2026 г</t>
  </si>
  <si>
    <t>Страх. взносы за февраль 2026 г.</t>
  </si>
  <si>
    <t>оплачен</t>
  </si>
  <si>
    <t>зарплата за первую половину марта 2026 г.</t>
  </si>
  <si>
    <t>НДФЛ (период с 01.03-22.03.2026 г.)</t>
  </si>
  <si>
    <t>Скороходов</t>
  </si>
  <si>
    <t>АО РСИЦ</t>
  </si>
  <si>
    <t>СЧЁТ № 5161478-5282755/NIC-D от 23.03.2026</t>
  </si>
  <si>
    <t>Продление доменя ltpz.ru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</si>
</sst>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F800]dddd\,\ mmmm\ dd\,\ yyyy"/>
    <numFmt numFmtId="165" formatCode="_-* #,##0.00_р_._-;\-* #,##0.00_р_._-;_-* &quot;-&quot;??_р_._-;_-@_-"/>
    <numFmt numFmtId="166" formatCode="#,##0.00_ ;[Red]\-#,##0.00\ 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u/>
      <sz val="12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sz val="12"/>
      <name val="Times New Roman"/>
    </font>
    <font>
      <sz val="1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"/>
        <bgColor indexed="2"/>
      </patternFill>
    </fill>
    <fill>
      <patternFill patternType="solid">
        <fgColor rgb="FFFFCCFF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1" fillId="0" borderId="0"/>
    <xf numFmtId="0" fontId="11" fillId="0" borderId="0"/>
    <xf numFmtId="0" fontId="11" fillId="0" borderId="0"/>
  </cellStyleXfs>
  <cellXfs count="73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 wrapText="1"/>
    </xf>
    <xf numFmtId="0" fontId="1" fillId="0" borderId="0" xfId="1"/>
    <xf numFmtId="0" fontId="3" fillId="0" borderId="0" xfId="1" applyFont="1"/>
    <xf numFmtId="164" fontId="4" fillId="2" borderId="1" xfId="1" applyNumberFormat="1" applyFont="1" applyFill="1" applyBorder="1" applyAlignment="1" applyProtection="1">
      <alignment horizontal="center" vertical="center"/>
      <protection locked="0"/>
    </xf>
    <xf numFmtId="165" fontId="3" fillId="0" borderId="0" xfId="1" applyNumberFormat="1" applyFont="1"/>
    <xf numFmtId="0" fontId="3" fillId="0" borderId="0" xfId="1" applyFont="1" applyAlignment="1">
      <alignment wrapText="1"/>
    </xf>
    <xf numFmtId="166" fontId="5" fillId="3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0" xfId="1" applyFont="1" applyAlignment="1">
      <alignment horizontal="center" vertical="center" wrapText="1"/>
    </xf>
    <xf numFmtId="166" fontId="7" fillId="0" borderId="8" xfId="1" applyNumberFormat="1" applyFont="1" applyBorder="1" applyAlignment="1" applyProtection="1">
      <alignment horizontal="right" vertical="center" wrapText="1"/>
      <protection locked="0"/>
    </xf>
    <xf numFmtId="166" fontId="7" fillId="0" borderId="12" xfId="1" applyNumberFormat="1" applyFont="1" applyBorder="1" applyAlignment="1" applyProtection="1">
      <alignment horizontal="right" vertical="center" wrapText="1"/>
      <protection locked="0"/>
    </xf>
    <xf numFmtId="166" fontId="7" fillId="0" borderId="16" xfId="1" applyNumberFormat="1" applyFont="1" applyBorder="1" applyAlignment="1" applyProtection="1">
      <alignment horizontal="right" vertical="center" wrapText="1"/>
      <protection locked="0"/>
    </xf>
    <xf numFmtId="0" fontId="7" fillId="0" borderId="0" xfId="1" applyFont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165" fontId="8" fillId="0" borderId="17" xfId="1" applyNumberFormat="1" applyFont="1" applyBorder="1" applyAlignment="1">
      <alignment horizontal="center" vertical="center" wrapText="1"/>
    </xf>
    <xf numFmtId="0" fontId="3" fillId="4" borderId="2" xfId="1" applyFont="1" applyFill="1" applyBorder="1" applyAlignment="1">
      <alignment vertical="center"/>
    </xf>
    <xf numFmtId="0" fontId="3" fillId="4" borderId="3" xfId="1" applyFont="1" applyFill="1" applyBorder="1" applyAlignment="1">
      <alignment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left" vertical="center"/>
    </xf>
    <xf numFmtId="166" fontId="3" fillId="4" borderId="3" xfId="1" applyNumberFormat="1" applyFont="1" applyFill="1" applyBorder="1" applyAlignment="1">
      <alignment vertical="center"/>
    </xf>
    <xf numFmtId="0" fontId="3" fillId="4" borderId="4" xfId="1" applyFont="1" applyFill="1" applyBorder="1" applyAlignment="1">
      <alignment vertical="center"/>
    </xf>
    <xf numFmtId="0" fontId="1" fillId="0" borderId="0" xfId="1" applyAlignment="1">
      <alignment vertical="center"/>
    </xf>
    <xf numFmtId="0" fontId="2" fillId="0" borderId="18" xfId="1" applyFont="1" applyBorder="1" applyProtection="1">
      <protection locked="0"/>
    </xf>
    <xf numFmtId="0" fontId="2" fillId="0" borderId="19" xfId="1" applyFont="1" applyBorder="1" applyProtection="1">
      <protection locked="0"/>
    </xf>
    <xf numFmtId="166" fontId="2" fillId="0" borderId="19" xfId="1" applyNumberFormat="1" applyFont="1" applyBorder="1" applyProtection="1">
      <protection locked="0"/>
    </xf>
    <xf numFmtId="0" fontId="2" fillId="0" borderId="19" xfId="1" applyFont="1" applyBorder="1" applyAlignment="1" applyProtection="1">
      <alignment wrapText="1"/>
      <protection locked="0"/>
    </xf>
    <xf numFmtId="0" fontId="1" fillId="0" borderId="19" xfId="1" applyBorder="1"/>
    <xf numFmtId="0" fontId="1" fillId="0" borderId="20" xfId="1" applyBorder="1"/>
    <xf numFmtId="0" fontId="2" fillId="0" borderId="21" xfId="1" applyFont="1" applyBorder="1" applyProtection="1">
      <protection locked="0"/>
    </xf>
    <xf numFmtId="0" fontId="2" fillId="0" borderId="22" xfId="1" applyFont="1" applyBorder="1" applyProtection="1">
      <protection locked="0"/>
    </xf>
    <xf numFmtId="166" fontId="2" fillId="0" borderId="22" xfId="1" applyNumberFormat="1" applyFont="1" applyBorder="1" applyProtection="1">
      <protection locked="0"/>
    </xf>
    <xf numFmtId="0" fontId="2" fillId="0" borderId="22" xfId="1" applyFont="1" applyBorder="1" applyAlignment="1" applyProtection="1">
      <alignment wrapText="1"/>
      <protection locked="0"/>
    </xf>
    <xf numFmtId="0" fontId="1" fillId="0" borderId="22" xfId="1" applyBorder="1"/>
    <xf numFmtId="0" fontId="1" fillId="0" borderId="23" xfId="1" applyBorder="1"/>
    <xf numFmtId="0" fontId="2" fillId="0" borderId="24" xfId="1" applyFont="1" applyBorder="1" applyProtection="1">
      <protection locked="0"/>
    </xf>
    <xf numFmtId="166" fontId="2" fillId="0" borderId="24" xfId="1" applyNumberFormat="1" applyFont="1" applyBorder="1" applyProtection="1">
      <protection locked="0"/>
    </xf>
    <xf numFmtId="0" fontId="2" fillId="0" borderId="24" xfId="1" applyFont="1" applyBorder="1" applyAlignment="1" applyProtection="1">
      <alignment wrapText="1"/>
      <protection locked="0"/>
    </xf>
    <xf numFmtId="0" fontId="1" fillId="0" borderId="24" xfId="1" applyBorder="1"/>
    <xf numFmtId="0" fontId="1" fillId="0" borderId="25" xfId="1" applyBorder="1"/>
    <xf numFmtId="0" fontId="2" fillId="0" borderId="26" xfId="1" applyFont="1" applyBorder="1" applyProtection="1">
      <protection locked="0"/>
    </xf>
    <xf numFmtId="0" fontId="2" fillId="0" borderId="27" xfId="1" applyFont="1" applyBorder="1" applyProtection="1">
      <protection locked="0"/>
    </xf>
    <xf numFmtId="166" fontId="2" fillId="0" borderId="27" xfId="1" applyNumberFormat="1" applyFont="1" applyBorder="1" applyProtection="1">
      <protection locked="0"/>
    </xf>
    <xf numFmtId="0" fontId="2" fillId="0" borderId="27" xfId="1" applyFont="1" applyBorder="1" applyAlignment="1" applyProtection="1">
      <alignment wrapText="1"/>
      <protection locked="0"/>
    </xf>
    <xf numFmtId="0" fontId="1" fillId="0" borderId="27" xfId="1" applyBorder="1"/>
    <xf numFmtId="0" fontId="1" fillId="0" borderId="28" xfId="1" applyBorder="1"/>
    <xf numFmtId="0" fontId="2" fillId="0" borderId="29" xfId="1" applyFont="1" applyBorder="1" applyProtection="1">
      <protection locked="0"/>
    </xf>
    <xf numFmtId="166" fontId="3" fillId="3" borderId="1" xfId="1" applyNumberFormat="1" applyFont="1" applyFill="1" applyBorder="1"/>
    <xf numFmtId="0" fontId="9" fillId="0" borderId="0" xfId="1" applyFont="1"/>
    <xf numFmtId="0" fontId="10" fillId="0" borderId="1" xfId="0" applyFont="1" applyBorder="1" applyAlignment="1">
      <alignment horizontal="center" vertical="center" wrapText="1"/>
    </xf>
    <xf numFmtId="0" fontId="8" fillId="5" borderId="17" xfId="1" applyFont="1" applyFill="1" applyBorder="1" applyAlignment="1">
      <alignment horizontal="center" vertical="center" wrapText="1"/>
    </xf>
    <xf numFmtId="0" fontId="3" fillId="6" borderId="22" xfId="1" applyFont="1" applyFill="1" applyBorder="1" applyProtection="1">
      <protection locked="0"/>
    </xf>
    <xf numFmtId="0" fontId="12" fillId="7" borderId="0" xfId="1" applyFont="1" applyFill="1" applyAlignment="1">
      <alignment horizontal="center" vertical="center" wrapText="1"/>
    </xf>
    <xf numFmtId="0" fontId="3" fillId="0" borderId="22" xfId="1" applyFont="1" applyBorder="1" applyProtection="1">
      <protection locked="0"/>
    </xf>
    <xf numFmtId="166" fontId="2" fillId="8" borderId="27" xfId="1" applyNumberFormat="1" applyFont="1" applyFill="1" applyBorder="1" applyProtection="1">
      <protection locked="0"/>
    </xf>
    <xf numFmtId="166" fontId="2" fillId="8" borderId="22" xfId="1" applyNumberFormat="1" applyFont="1" applyFill="1" applyBorder="1" applyProtection="1">
      <protection locked="0"/>
    </xf>
    <xf numFmtId="166" fontId="13" fillId="8" borderId="22" xfId="1" applyNumberFormat="1" applyFont="1" applyFill="1" applyBorder="1" applyProtection="1">
      <protection locked="0"/>
    </xf>
    <xf numFmtId="0" fontId="6" fillId="0" borderId="13" xfId="1" applyFont="1" applyBorder="1" applyAlignment="1" applyProtection="1">
      <alignment horizontal="right" vertical="center" wrapText="1"/>
      <protection locked="0"/>
    </xf>
    <xf numFmtId="0" fontId="6" fillId="0" borderId="14" xfId="1" applyFont="1" applyBorder="1" applyAlignment="1" applyProtection="1">
      <alignment horizontal="right" vertical="center" wrapText="1"/>
      <protection locked="0"/>
    </xf>
    <xf numFmtId="0" fontId="6" fillId="0" borderId="15" xfId="1" applyFont="1" applyBorder="1" applyAlignment="1" applyProtection="1">
      <alignment horizontal="right" vertical="center" wrapText="1"/>
      <protection locked="0"/>
    </xf>
    <xf numFmtId="0" fontId="3" fillId="3" borderId="2" xfId="1" applyFont="1" applyFill="1" applyBorder="1" applyAlignment="1">
      <alignment horizontal="left"/>
    </xf>
    <xf numFmtId="0" fontId="3" fillId="3" borderId="3" xfId="1" applyFont="1" applyFill="1" applyBorder="1" applyAlignment="1">
      <alignment horizontal="left"/>
    </xf>
    <xf numFmtId="0" fontId="2" fillId="0" borderId="0" xfId="1" applyFont="1" applyAlignment="1">
      <alignment horizontal="center" wrapText="1"/>
    </xf>
    <xf numFmtId="0" fontId="5" fillId="3" borderId="2" xfId="1" applyFont="1" applyFill="1" applyBorder="1" applyAlignment="1" applyProtection="1">
      <alignment horizontal="center" vertical="center" wrapText="1"/>
      <protection locked="0"/>
    </xf>
    <xf numFmtId="0" fontId="5" fillId="3" borderId="3" xfId="1" applyFont="1" applyFill="1" applyBorder="1" applyAlignment="1" applyProtection="1">
      <alignment horizontal="center" vertical="center" wrapText="1"/>
      <protection locked="0"/>
    </xf>
    <xf numFmtId="0" fontId="5" fillId="3" borderId="4" xfId="1" applyFont="1" applyFill="1" applyBorder="1" applyAlignment="1" applyProtection="1">
      <alignment horizontal="center" vertical="center" wrapText="1"/>
      <protection locked="0"/>
    </xf>
    <xf numFmtId="0" fontId="6" fillId="0" borderId="5" xfId="1" applyFont="1" applyBorder="1" applyAlignment="1" applyProtection="1">
      <alignment horizontal="right" vertical="center" wrapText="1"/>
      <protection locked="0"/>
    </xf>
    <xf numFmtId="0" fontId="6" fillId="0" borderId="6" xfId="1" applyFont="1" applyBorder="1" applyAlignment="1" applyProtection="1">
      <alignment horizontal="right" vertical="center" wrapText="1"/>
      <protection locked="0"/>
    </xf>
    <xf numFmtId="0" fontId="6" fillId="0" borderId="7" xfId="1" applyFont="1" applyBorder="1" applyAlignment="1" applyProtection="1">
      <alignment horizontal="right" vertical="center" wrapText="1"/>
      <protection locked="0"/>
    </xf>
    <xf numFmtId="0" fontId="6" fillId="0" borderId="9" xfId="1" applyFont="1" applyBorder="1" applyAlignment="1" applyProtection="1">
      <alignment horizontal="right" vertical="center" wrapText="1"/>
      <protection locked="0"/>
    </xf>
    <xf numFmtId="0" fontId="6" fillId="0" borderId="10" xfId="1" applyFont="1" applyBorder="1" applyAlignment="1" applyProtection="1">
      <alignment horizontal="right" vertical="center" wrapText="1"/>
      <protection locked="0"/>
    </xf>
    <xf numFmtId="0" fontId="6" fillId="0" borderId="11" xfId="1" applyFont="1" applyBorder="1" applyAlignment="1" applyProtection="1">
      <alignment horizontal="right" vertical="center" wrapText="1"/>
      <protection locked="0"/>
    </xf>
    <xf numFmtId="0" fontId="7" fillId="0" borderId="9" xfId="1" applyFont="1" applyBorder="1" applyAlignment="1" applyProtection="1">
      <alignment horizontal="right" vertical="center" wrapText="1"/>
      <protection locked="0"/>
    </xf>
  </cellXfs>
  <cellStyles count="5">
    <cellStyle name="Excel Built-in Normal" xfId="2"/>
    <cellStyle name="Excel Built-in Normal 1" xfId="3"/>
    <cellStyle name="Excel Built-in Normal 2" xfId="4"/>
    <cellStyle name="Обычный" xfId="0" builtinId="0"/>
    <cellStyle name="Обычный 2" xfId="1"/>
  </cellStyles>
  <dxfs count="0"/>
  <tableStyles count="0" defaultTableStyle="TableStyleMedium2" defaultPivotStyle="PivotStyleLight16"/>
  <colors>
    <mruColors>
      <color rgb="FFFFCCFF"/>
      <color rgb="FFFF99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" Type="http://schemas.openxmlformats.org/officeDocument/2006/relationships/printerSettings" Target="../printerSettings/printerSettings3.bin"/><Relationship Id="rId21" Type="http://schemas.openxmlformats.org/officeDocument/2006/relationships/printerSettings" Target="../printerSettings/printerSettings21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1.bin"/><Relationship Id="rId13" Type="http://schemas.openxmlformats.org/officeDocument/2006/relationships/printerSettings" Target="../printerSettings/printerSettings36.bin"/><Relationship Id="rId18" Type="http://schemas.openxmlformats.org/officeDocument/2006/relationships/printerSettings" Target="../printerSettings/printerSettings41.bin"/><Relationship Id="rId3" Type="http://schemas.openxmlformats.org/officeDocument/2006/relationships/printerSettings" Target="../printerSettings/printerSettings26.bin"/><Relationship Id="rId21" Type="http://schemas.openxmlformats.org/officeDocument/2006/relationships/printerSettings" Target="../printerSettings/printerSettings44.bin"/><Relationship Id="rId7" Type="http://schemas.openxmlformats.org/officeDocument/2006/relationships/printerSettings" Target="../printerSettings/printerSettings30.bin"/><Relationship Id="rId12" Type="http://schemas.openxmlformats.org/officeDocument/2006/relationships/printerSettings" Target="../printerSettings/printerSettings35.bin"/><Relationship Id="rId17" Type="http://schemas.openxmlformats.org/officeDocument/2006/relationships/printerSettings" Target="../printerSettings/printerSettings40.bin"/><Relationship Id="rId2" Type="http://schemas.openxmlformats.org/officeDocument/2006/relationships/printerSettings" Target="../printerSettings/printerSettings25.bin"/><Relationship Id="rId16" Type="http://schemas.openxmlformats.org/officeDocument/2006/relationships/printerSettings" Target="../printerSettings/printerSettings39.bin"/><Relationship Id="rId20" Type="http://schemas.openxmlformats.org/officeDocument/2006/relationships/printerSettings" Target="../printerSettings/printerSettings43.bin"/><Relationship Id="rId1" Type="http://schemas.openxmlformats.org/officeDocument/2006/relationships/printerSettings" Target="../printerSettings/printerSettings24.bin"/><Relationship Id="rId6" Type="http://schemas.openxmlformats.org/officeDocument/2006/relationships/printerSettings" Target="../printerSettings/printerSettings29.bin"/><Relationship Id="rId11" Type="http://schemas.openxmlformats.org/officeDocument/2006/relationships/printerSettings" Target="../printerSettings/printerSettings34.bin"/><Relationship Id="rId5" Type="http://schemas.openxmlformats.org/officeDocument/2006/relationships/printerSettings" Target="../printerSettings/printerSettings28.bin"/><Relationship Id="rId15" Type="http://schemas.openxmlformats.org/officeDocument/2006/relationships/printerSettings" Target="../printerSettings/printerSettings38.bin"/><Relationship Id="rId23" Type="http://schemas.openxmlformats.org/officeDocument/2006/relationships/printerSettings" Target="../printerSettings/printerSettings46.bin"/><Relationship Id="rId10" Type="http://schemas.openxmlformats.org/officeDocument/2006/relationships/printerSettings" Target="../printerSettings/printerSettings33.bin"/><Relationship Id="rId19" Type="http://schemas.openxmlformats.org/officeDocument/2006/relationships/printerSettings" Target="../printerSettings/printerSettings42.bin"/><Relationship Id="rId4" Type="http://schemas.openxmlformats.org/officeDocument/2006/relationships/printerSettings" Target="../printerSettings/printerSettings27.bin"/><Relationship Id="rId9" Type="http://schemas.openxmlformats.org/officeDocument/2006/relationships/printerSettings" Target="../printerSettings/printerSettings32.bin"/><Relationship Id="rId14" Type="http://schemas.openxmlformats.org/officeDocument/2006/relationships/printerSettings" Target="../printerSettings/printerSettings37.bin"/><Relationship Id="rId22" Type="http://schemas.openxmlformats.org/officeDocument/2006/relationships/printerSettings" Target="../printerSettings/printerSettings45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4.bin"/><Relationship Id="rId13" Type="http://schemas.openxmlformats.org/officeDocument/2006/relationships/printerSettings" Target="../printerSettings/printerSettings59.bin"/><Relationship Id="rId18" Type="http://schemas.openxmlformats.org/officeDocument/2006/relationships/printerSettings" Target="../printerSettings/printerSettings64.bin"/><Relationship Id="rId3" Type="http://schemas.openxmlformats.org/officeDocument/2006/relationships/printerSettings" Target="../printerSettings/printerSettings49.bin"/><Relationship Id="rId21" Type="http://schemas.openxmlformats.org/officeDocument/2006/relationships/printerSettings" Target="../printerSettings/printerSettings67.bin"/><Relationship Id="rId7" Type="http://schemas.openxmlformats.org/officeDocument/2006/relationships/printerSettings" Target="../printerSettings/printerSettings53.bin"/><Relationship Id="rId12" Type="http://schemas.openxmlformats.org/officeDocument/2006/relationships/printerSettings" Target="../printerSettings/printerSettings58.bin"/><Relationship Id="rId17" Type="http://schemas.openxmlformats.org/officeDocument/2006/relationships/printerSettings" Target="../printerSettings/printerSettings63.bin"/><Relationship Id="rId2" Type="http://schemas.openxmlformats.org/officeDocument/2006/relationships/printerSettings" Target="../printerSettings/printerSettings48.bin"/><Relationship Id="rId16" Type="http://schemas.openxmlformats.org/officeDocument/2006/relationships/printerSettings" Target="../printerSettings/printerSettings62.bin"/><Relationship Id="rId20" Type="http://schemas.openxmlformats.org/officeDocument/2006/relationships/printerSettings" Target="../printerSettings/printerSettings66.bin"/><Relationship Id="rId1" Type="http://schemas.openxmlformats.org/officeDocument/2006/relationships/printerSettings" Target="../printerSettings/printerSettings47.bin"/><Relationship Id="rId6" Type="http://schemas.openxmlformats.org/officeDocument/2006/relationships/printerSettings" Target="../printerSettings/printerSettings52.bin"/><Relationship Id="rId11" Type="http://schemas.openxmlformats.org/officeDocument/2006/relationships/printerSettings" Target="../printerSettings/printerSettings57.bin"/><Relationship Id="rId5" Type="http://schemas.openxmlformats.org/officeDocument/2006/relationships/printerSettings" Target="../printerSettings/printerSettings51.bin"/><Relationship Id="rId15" Type="http://schemas.openxmlformats.org/officeDocument/2006/relationships/printerSettings" Target="../printerSettings/printerSettings61.bin"/><Relationship Id="rId23" Type="http://schemas.openxmlformats.org/officeDocument/2006/relationships/printerSettings" Target="../printerSettings/printerSettings69.bin"/><Relationship Id="rId10" Type="http://schemas.openxmlformats.org/officeDocument/2006/relationships/printerSettings" Target="../printerSettings/printerSettings56.bin"/><Relationship Id="rId19" Type="http://schemas.openxmlformats.org/officeDocument/2006/relationships/printerSettings" Target="../printerSettings/printerSettings65.bin"/><Relationship Id="rId4" Type="http://schemas.openxmlformats.org/officeDocument/2006/relationships/printerSettings" Target="../printerSettings/printerSettings50.bin"/><Relationship Id="rId9" Type="http://schemas.openxmlformats.org/officeDocument/2006/relationships/printerSettings" Target="../printerSettings/printerSettings55.bin"/><Relationship Id="rId14" Type="http://schemas.openxmlformats.org/officeDocument/2006/relationships/printerSettings" Target="../printerSettings/printerSettings60.bin"/><Relationship Id="rId22" Type="http://schemas.openxmlformats.org/officeDocument/2006/relationships/printerSettings" Target="../printerSettings/printerSettings68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7.bin"/><Relationship Id="rId13" Type="http://schemas.openxmlformats.org/officeDocument/2006/relationships/printerSettings" Target="../printerSettings/printerSettings82.bin"/><Relationship Id="rId18" Type="http://schemas.openxmlformats.org/officeDocument/2006/relationships/printerSettings" Target="../printerSettings/printerSettings87.bin"/><Relationship Id="rId3" Type="http://schemas.openxmlformats.org/officeDocument/2006/relationships/printerSettings" Target="../printerSettings/printerSettings72.bin"/><Relationship Id="rId21" Type="http://schemas.openxmlformats.org/officeDocument/2006/relationships/printerSettings" Target="../printerSettings/printerSettings90.bin"/><Relationship Id="rId7" Type="http://schemas.openxmlformats.org/officeDocument/2006/relationships/printerSettings" Target="../printerSettings/printerSettings76.bin"/><Relationship Id="rId12" Type="http://schemas.openxmlformats.org/officeDocument/2006/relationships/printerSettings" Target="../printerSettings/printerSettings81.bin"/><Relationship Id="rId17" Type="http://schemas.openxmlformats.org/officeDocument/2006/relationships/printerSettings" Target="../printerSettings/printerSettings86.bin"/><Relationship Id="rId2" Type="http://schemas.openxmlformats.org/officeDocument/2006/relationships/printerSettings" Target="../printerSettings/printerSettings71.bin"/><Relationship Id="rId16" Type="http://schemas.openxmlformats.org/officeDocument/2006/relationships/printerSettings" Target="../printerSettings/printerSettings85.bin"/><Relationship Id="rId20" Type="http://schemas.openxmlformats.org/officeDocument/2006/relationships/printerSettings" Target="../printerSettings/printerSettings89.bin"/><Relationship Id="rId1" Type="http://schemas.openxmlformats.org/officeDocument/2006/relationships/printerSettings" Target="../printerSettings/printerSettings70.bin"/><Relationship Id="rId6" Type="http://schemas.openxmlformats.org/officeDocument/2006/relationships/printerSettings" Target="../printerSettings/printerSettings75.bin"/><Relationship Id="rId11" Type="http://schemas.openxmlformats.org/officeDocument/2006/relationships/printerSettings" Target="../printerSettings/printerSettings80.bin"/><Relationship Id="rId5" Type="http://schemas.openxmlformats.org/officeDocument/2006/relationships/printerSettings" Target="../printerSettings/printerSettings74.bin"/><Relationship Id="rId15" Type="http://schemas.openxmlformats.org/officeDocument/2006/relationships/printerSettings" Target="../printerSettings/printerSettings84.bin"/><Relationship Id="rId23" Type="http://schemas.openxmlformats.org/officeDocument/2006/relationships/printerSettings" Target="../printerSettings/printerSettings92.bin"/><Relationship Id="rId10" Type="http://schemas.openxmlformats.org/officeDocument/2006/relationships/printerSettings" Target="../printerSettings/printerSettings79.bin"/><Relationship Id="rId19" Type="http://schemas.openxmlformats.org/officeDocument/2006/relationships/printerSettings" Target="../printerSettings/printerSettings88.bin"/><Relationship Id="rId4" Type="http://schemas.openxmlformats.org/officeDocument/2006/relationships/printerSettings" Target="../printerSettings/printerSettings73.bin"/><Relationship Id="rId9" Type="http://schemas.openxmlformats.org/officeDocument/2006/relationships/printerSettings" Target="../printerSettings/printerSettings78.bin"/><Relationship Id="rId14" Type="http://schemas.openxmlformats.org/officeDocument/2006/relationships/printerSettings" Target="../printerSettings/printerSettings83.bin"/><Relationship Id="rId22" Type="http://schemas.openxmlformats.org/officeDocument/2006/relationships/printerSettings" Target="../printerSettings/printerSettings9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0.bin"/><Relationship Id="rId13" Type="http://schemas.openxmlformats.org/officeDocument/2006/relationships/printerSettings" Target="../printerSettings/printerSettings105.bin"/><Relationship Id="rId18" Type="http://schemas.openxmlformats.org/officeDocument/2006/relationships/printerSettings" Target="../printerSettings/printerSettings110.bin"/><Relationship Id="rId3" Type="http://schemas.openxmlformats.org/officeDocument/2006/relationships/printerSettings" Target="../printerSettings/printerSettings95.bin"/><Relationship Id="rId21" Type="http://schemas.openxmlformats.org/officeDocument/2006/relationships/printerSettings" Target="../printerSettings/printerSettings113.bin"/><Relationship Id="rId7" Type="http://schemas.openxmlformats.org/officeDocument/2006/relationships/printerSettings" Target="../printerSettings/printerSettings99.bin"/><Relationship Id="rId12" Type="http://schemas.openxmlformats.org/officeDocument/2006/relationships/printerSettings" Target="../printerSettings/printerSettings104.bin"/><Relationship Id="rId17" Type="http://schemas.openxmlformats.org/officeDocument/2006/relationships/printerSettings" Target="../printerSettings/printerSettings109.bin"/><Relationship Id="rId2" Type="http://schemas.openxmlformats.org/officeDocument/2006/relationships/printerSettings" Target="../printerSettings/printerSettings94.bin"/><Relationship Id="rId16" Type="http://schemas.openxmlformats.org/officeDocument/2006/relationships/printerSettings" Target="../printerSettings/printerSettings108.bin"/><Relationship Id="rId20" Type="http://schemas.openxmlformats.org/officeDocument/2006/relationships/printerSettings" Target="../printerSettings/printerSettings112.bin"/><Relationship Id="rId1" Type="http://schemas.openxmlformats.org/officeDocument/2006/relationships/printerSettings" Target="../printerSettings/printerSettings93.bin"/><Relationship Id="rId6" Type="http://schemas.openxmlformats.org/officeDocument/2006/relationships/printerSettings" Target="../printerSettings/printerSettings98.bin"/><Relationship Id="rId11" Type="http://schemas.openxmlformats.org/officeDocument/2006/relationships/printerSettings" Target="../printerSettings/printerSettings103.bin"/><Relationship Id="rId5" Type="http://schemas.openxmlformats.org/officeDocument/2006/relationships/printerSettings" Target="../printerSettings/printerSettings97.bin"/><Relationship Id="rId15" Type="http://schemas.openxmlformats.org/officeDocument/2006/relationships/printerSettings" Target="../printerSettings/printerSettings107.bin"/><Relationship Id="rId23" Type="http://schemas.openxmlformats.org/officeDocument/2006/relationships/printerSettings" Target="../printerSettings/printerSettings115.bin"/><Relationship Id="rId10" Type="http://schemas.openxmlformats.org/officeDocument/2006/relationships/printerSettings" Target="../printerSettings/printerSettings102.bin"/><Relationship Id="rId19" Type="http://schemas.openxmlformats.org/officeDocument/2006/relationships/printerSettings" Target="../printerSettings/printerSettings111.bin"/><Relationship Id="rId4" Type="http://schemas.openxmlformats.org/officeDocument/2006/relationships/printerSettings" Target="../printerSettings/printerSettings96.bin"/><Relationship Id="rId9" Type="http://schemas.openxmlformats.org/officeDocument/2006/relationships/printerSettings" Target="../printerSettings/printerSettings101.bin"/><Relationship Id="rId14" Type="http://schemas.openxmlformats.org/officeDocument/2006/relationships/printerSettings" Target="../printerSettings/printerSettings106.bin"/><Relationship Id="rId22" Type="http://schemas.openxmlformats.org/officeDocument/2006/relationships/printerSettings" Target="../printerSettings/printerSettings11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3.bin"/><Relationship Id="rId13" Type="http://schemas.openxmlformats.org/officeDocument/2006/relationships/printerSettings" Target="../printerSettings/printerSettings128.bin"/><Relationship Id="rId18" Type="http://schemas.openxmlformats.org/officeDocument/2006/relationships/printerSettings" Target="../printerSettings/printerSettings133.bin"/><Relationship Id="rId3" Type="http://schemas.openxmlformats.org/officeDocument/2006/relationships/printerSettings" Target="../printerSettings/printerSettings118.bin"/><Relationship Id="rId21" Type="http://schemas.openxmlformats.org/officeDocument/2006/relationships/printerSettings" Target="../printerSettings/printerSettings136.bin"/><Relationship Id="rId7" Type="http://schemas.openxmlformats.org/officeDocument/2006/relationships/printerSettings" Target="../printerSettings/printerSettings122.bin"/><Relationship Id="rId12" Type="http://schemas.openxmlformats.org/officeDocument/2006/relationships/printerSettings" Target="../printerSettings/printerSettings127.bin"/><Relationship Id="rId17" Type="http://schemas.openxmlformats.org/officeDocument/2006/relationships/printerSettings" Target="../printerSettings/printerSettings132.bin"/><Relationship Id="rId2" Type="http://schemas.openxmlformats.org/officeDocument/2006/relationships/printerSettings" Target="../printerSettings/printerSettings117.bin"/><Relationship Id="rId16" Type="http://schemas.openxmlformats.org/officeDocument/2006/relationships/printerSettings" Target="../printerSettings/printerSettings131.bin"/><Relationship Id="rId20" Type="http://schemas.openxmlformats.org/officeDocument/2006/relationships/printerSettings" Target="../printerSettings/printerSettings135.bin"/><Relationship Id="rId1" Type="http://schemas.openxmlformats.org/officeDocument/2006/relationships/printerSettings" Target="../printerSettings/printerSettings116.bin"/><Relationship Id="rId6" Type="http://schemas.openxmlformats.org/officeDocument/2006/relationships/printerSettings" Target="../printerSettings/printerSettings121.bin"/><Relationship Id="rId11" Type="http://schemas.openxmlformats.org/officeDocument/2006/relationships/printerSettings" Target="../printerSettings/printerSettings126.bin"/><Relationship Id="rId5" Type="http://schemas.openxmlformats.org/officeDocument/2006/relationships/printerSettings" Target="../printerSettings/printerSettings120.bin"/><Relationship Id="rId15" Type="http://schemas.openxmlformats.org/officeDocument/2006/relationships/printerSettings" Target="../printerSettings/printerSettings130.bin"/><Relationship Id="rId23" Type="http://schemas.openxmlformats.org/officeDocument/2006/relationships/printerSettings" Target="../printerSettings/printerSettings138.bin"/><Relationship Id="rId10" Type="http://schemas.openxmlformats.org/officeDocument/2006/relationships/printerSettings" Target="../printerSettings/printerSettings125.bin"/><Relationship Id="rId19" Type="http://schemas.openxmlformats.org/officeDocument/2006/relationships/printerSettings" Target="../printerSettings/printerSettings134.bin"/><Relationship Id="rId4" Type="http://schemas.openxmlformats.org/officeDocument/2006/relationships/printerSettings" Target="../printerSettings/printerSettings119.bin"/><Relationship Id="rId9" Type="http://schemas.openxmlformats.org/officeDocument/2006/relationships/printerSettings" Target="../printerSettings/printerSettings124.bin"/><Relationship Id="rId14" Type="http://schemas.openxmlformats.org/officeDocument/2006/relationships/printerSettings" Target="../printerSettings/printerSettings129.bin"/><Relationship Id="rId22" Type="http://schemas.openxmlformats.org/officeDocument/2006/relationships/printerSettings" Target="../printerSettings/printerSettings137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46.bin"/><Relationship Id="rId13" Type="http://schemas.openxmlformats.org/officeDocument/2006/relationships/printerSettings" Target="../printerSettings/printerSettings151.bin"/><Relationship Id="rId18" Type="http://schemas.openxmlformats.org/officeDocument/2006/relationships/printerSettings" Target="../printerSettings/printerSettings156.bin"/><Relationship Id="rId3" Type="http://schemas.openxmlformats.org/officeDocument/2006/relationships/printerSettings" Target="../printerSettings/printerSettings141.bin"/><Relationship Id="rId21" Type="http://schemas.openxmlformats.org/officeDocument/2006/relationships/printerSettings" Target="../printerSettings/printerSettings159.bin"/><Relationship Id="rId7" Type="http://schemas.openxmlformats.org/officeDocument/2006/relationships/printerSettings" Target="../printerSettings/printerSettings145.bin"/><Relationship Id="rId12" Type="http://schemas.openxmlformats.org/officeDocument/2006/relationships/printerSettings" Target="../printerSettings/printerSettings150.bin"/><Relationship Id="rId17" Type="http://schemas.openxmlformats.org/officeDocument/2006/relationships/printerSettings" Target="../printerSettings/printerSettings155.bin"/><Relationship Id="rId2" Type="http://schemas.openxmlformats.org/officeDocument/2006/relationships/printerSettings" Target="../printerSettings/printerSettings140.bin"/><Relationship Id="rId16" Type="http://schemas.openxmlformats.org/officeDocument/2006/relationships/printerSettings" Target="../printerSettings/printerSettings154.bin"/><Relationship Id="rId20" Type="http://schemas.openxmlformats.org/officeDocument/2006/relationships/printerSettings" Target="../printerSettings/printerSettings158.bin"/><Relationship Id="rId1" Type="http://schemas.openxmlformats.org/officeDocument/2006/relationships/printerSettings" Target="../printerSettings/printerSettings139.bin"/><Relationship Id="rId6" Type="http://schemas.openxmlformats.org/officeDocument/2006/relationships/printerSettings" Target="../printerSettings/printerSettings144.bin"/><Relationship Id="rId11" Type="http://schemas.openxmlformats.org/officeDocument/2006/relationships/printerSettings" Target="../printerSettings/printerSettings149.bin"/><Relationship Id="rId5" Type="http://schemas.openxmlformats.org/officeDocument/2006/relationships/printerSettings" Target="../printerSettings/printerSettings143.bin"/><Relationship Id="rId15" Type="http://schemas.openxmlformats.org/officeDocument/2006/relationships/printerSettings" Target="../printerSettings/printerSettings153.bin"/><Relationship Id="rId23" Type="http://schemas.openxmlformats.org/officeDocument/2006/relationships/printerSettings" Target="../printerSettings/printerSettings161.bin"/><Relationship Id="rId10" Type="http://schemas.openxmlformats.org/officeDocument/2006/relationships/printerSettings" Target="../printerSettings/printerSettings148.bin"/><Relationship Id="rId19" Type="http://schemas.openxmlformats.org/officeDocument/2006/relationships/printerSettings" Target="../printerSettings/printerSettings157.bin"/><Relationship Id="rId4" Type="http://schemas.openxmlformats.org/officeDocument/2006/relationships/printerSettings" Target="../printerSettings/printerSettings142.bin"/><Relationship Id="rId9" Type="http://schemas.openxmlformats.org/officeDocument/2006/relationships/printerSettings" Target="../printerSettings/printerSettings147.bin"/><Relationship Id="rId14" Type="http://schemas.openxmlformats.org/officeDocument/2006/relationships/printerSettings" Target="../printerSettings/printerSettings152.bin"/><Relationship Id="rId22" Type="http://schemas.openxmlformats.org/officeDocument/2006/relationships/printerSettings" Target="../printerSettings/printerSettings160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69.bin"/><Relationship Id="rId13" Type="http://schemas.openxmlformats.org/officeDocument/2006/relationships/printerSettings" Target="../printerSettings/printerSettings174.bin"/><Relationship Id="rId18" Type="http://schemas.openxmlformats.org/officeDocument/2006/relationships/printerSettings" Target="../printerSettings/printerSettings179.bin"/><Relationship Id="rId3" Type="http://schemas.openxmlformats.org/officeDocument/2006/relationships/printerSettings" Target="../printerSettings/printerSettings164.bin"/><Relationship Id="rId21" Type="http://schemas.openxmlformats.org/officeDocument/2006/relationships/printerSettings" Target="../printerSettings/printerSettings182.bin"/><Relationship Id="rId7" Type="http://schemas.openxmlformats.org/officeDocument/2006/relationships/printerSettings" Target="../printerSettings/printerSettings168.bin"/><Relationship Id="rId12" Type="http://schemas.openxmlformats.org/officeDocument/2006/relationships/printerSettings" Target="../printerSettings/printerSettings173.bin"/><Relationship Id="rId17" Type="http://schemas.openxmlformats.org/officeDocument/2006/relationships/printerSettings" Target="../printerSettings/printerSettings178.bin"/><Relationship Id="rId2" Type="http://schemas.openxmlformats.org/officeDocument/2006/relationships/printerSettings" Target="../printerSettings/printerSettings163.bin"/><Relationship Id="rId16" Type="http://schemas.openxmlformats.org/officeDocument/2006/relationships/printerSettings" Target="../printerSettings/printerSettings177.bin"/><Relationship Id="rId20" Type="http://schemas.openxmlformats.org/officeDocument/2006/relationships/printerSettings" Target="../printerSettings/printerSettings181.bin"/><Relationship Id="rId1" Type="http://schemas.openxmlformats.org/officeDocument/2006/relationships/printerSettings" Target="../printerSettings/printerSettings162.bin"/><Relationship Id="rId6" Type="http://schemas.openxmlformats.org/officeDocument/2006/relationships/printerSettings" Target="../printerSettings/printerSettings167.bin"/><Relationship Id="rId11" Type="http://schemas.openxmlformats.org/officeDocument/2006/relationships/printerSettings" Target="../printerSettings/printerSettings172.bin"/><Relationship Id="rId5" Type="http://schemas.openxmlformats.org/officeDocument/2006/relationships/printerSettings" Target="../printerSettings/printerSettings166.bin"/><Relationship Id="rId15" Type="http://schemas.openxmlformats.org/officeDocument/2006/relationships/printerSettings" Target="../printerSettings/printerSettings176.bin"/><Relationship Id="rId23" Type="http://schemas.openxmlformats.org/officeDocument/2006/relationships/printerSettings" Target="../printerSettings/printerSettings184.bin"/><Relationship Id="rId10" Type="http://schemas.openxmlformats.org/officeDocument/2006/relationships/printerSettings" Target="../printerSettings/printerSettings171.bin"/><Relationship Id="rId19" Type="http://schemas.openxmlformats.org/officeDocument/2006/relationships/printerSettings" Target="../printerSettings/printerSettings180.bin"/><Relationship Id="rId4" Type="http://schemas.openxmlformats.org/officeDocument/2006/relationships/printerSettings" Target="../printerSettings/printerSettings165.bin"/><Relationship Id="rId9" Type="http://schemas.openxmlformats.org/officeDocument/2006/relationships/printerSettings" Target="../printerSettings/printerSettings170.bin"/><Relationship Id="rId14" Type="http://schemas.openxmlformats.org/officeDocument/2006/relationships/printerSettings" Target="../printerSettings/printerSettings175.bin"/><Relationship Id="rId22" Type="http://schemas.openxmlformats.org/officeDocument/2006/relationships/printerSettings" Target="../printerSettings/printerSettings183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92.bin"/><Relationship Id="rId13" Type="http://schemas.openxmlformats.org/officeDocument/2006/relationships/printerSettings" Target="../printerSettings/printerSettings197.bin"/><Relationship Id="rId18" Type="http://schemas.openxmlformats.org/officeDocument/2006/relationships/printerSettings" Target="../printerSettings/printerSettings202.bin"/><Relationship Id="rId3" Type="http://schemas.openxmlformats.org/officeDocument/2006/relationships/printerSettings" Target="../printerSettings/printerSettings187.bin"/><Relationship Id="rId21" Type="http://schemas.openxmlformats.org/officeDocument/2006/relationships/printerSettings" Target="../printerSettings/printerSettings205.bin"/><Relationship Id="rId7" Type="http://schemas.openxmlformats.org/officeDocument/2006/relationships/printerSettings" Target="../printerSettings/printerSettings191.bin"/><Relationship Id="rId12" Type="http://schemas.openxmlformats.org/officeDocument/2006/relationships/printerSettings" Target="../printerSettings/printerSettings196.bin"/><Relationship Id="rId17" Type="http://schemas.openxmlformats.org/officeDocument/2006/relationships/printerSettings" Target="../printerSettings/printerSettings201.bin"/><Relationship Id="rId2" Type="http://schemas.openxmlformats.org/officeDocument/2006/relationships/printerSettings" Target="../printerSettings/printerSettings186.bin"/><Relationship Id="rId16" Type="http://schemas.openxmlformats.org/officeDocument/2006/relationships/printerSettings" Target="../printerSettings/printerSettings200.bin"/><Relationship Id="rId20" Type="http://schemas.openxmlformats.org/officeDocument/2006/relationships/printerSettings" Target="../printerSettings/printerSettings204.bin"/><Relationship Id="rId1" Type="http://schemas.openxmlformats.org/officeDocument/2006/relationships/printerSettings" Target="../printerSettings/printerSettings185.bin"/><Relationship Id="rId6" Type="http://schemas.openxmlformats.org/officeDocument/2006/relationships/printerSettings" Target="../printerSettings/printerSettings190.bin"/><Relationship Id="rId11" Type="http://schemas.openxmlformats.org/officeDocument/2006/relationships/printerSettings" Target="../printerSettings/printerSettings195.bin"/><Relationship Id="rId5" Type="http://schemas.openxmlformats.org/officeDocument/2006/relationships/printerSettings" Target="../printerSettings/printerSettings189.bin"/><Relationship Id="rId15" Type="http://schemas.openxmlformats.org/officeDocument/2006/relationships/printerSettings" Target="../printerSettings/printerSettings199.bin"/><Relationship Id="rId23" Type="http://schemas.openxmlformats.org/officeDocument/2006/relationships/printerSettings" Target="../printerSettings/printerSettings207.bin"/><Relationship Id="rId10" Type="http://schemas.openxmlformats.org/officeDocument/2006/relationships/printerSettings" Target="../printerSettings/printerSettings194.bin"/><Relationship Id="rId19" Type="http://schemas.openxmlformats.org/officeDocument/2006/relationships/printerSettings" Target="../printerSettings/printerSettings203.bin"/><Relationship Id="rId4" Type="http://schemas.openxmlformats.org/officeDocument/2006/relationships/printerSettings" Target="../printerSettings/printerSettings188.bin"/><Relationship Id="rId9" Type="http://schemas.openxmlformats.org/officeDocument/2006/relationships/printerSettings" Target="../printerSettings/printerSettings193.bin"/><Relationship Id="rId14" Type="http://schemas.openxmlformats.org/officeDocument/2006/relationships/printerSettings" Target="../printerSettings/printerSettings198.bin"/><Relationship Id="rId22" Type="http://schemas.openxmlformats.org/officeDocument/2006/relationships/printerSettings" Target="../printerSettings/printerSettings206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15.bin"/><Relationship Id="rId13" Type="http://schemas.openxmlformats.org/officeDocument/2006/relationships/printerSettings" Target="../printerSettings/printerSettings220.bin"/><Relationship Id="rId18" Type="http://schemas.openxmlformats.org/officeDocument/2006/relationships/printerSettings" Target="../printerSettings/printerSettings225.bin"/><Relationship Id="rId3" Type="http://schemas.openxmlformats.org/officeDocument/2006/relationships/printerSettings" Target="../printerSettings/printerSettings210.bin"/><Relationship Id="rId21" Type="http://schemas.openxmlformats.org/officeDocument/2006/relationships/printerSettings" Target="../printerSettings/printerSettings228.bin"/><Relationship Id="rId7" Type="http://schemas.openxmlformats.org/officeDocument/2006/relationships/printerSettings" Target="../printerSettings/printerSettings214.bin"/><Relationship Id="rId12" Type="http://schemas.openxmlformats.org/officeDocument/2006/relationships/printerSettings" Target="../printerSettings/printerSettings219.bin"/><Relationship Id="rId17" Type="http://schemas.openxmlformats.org/officeDocument/2006/relationships/printerSettings" Target="../printerSettings/printerSettings224.bin"/><Relationship Id="rId2" Type="http://schemas.openxmlformats.org/officeDocument/2006/relationships/printerSettings" Target="../printerSettings/printerSettings209.bin"/><Relationship Id="rId16" Type="http://schemas.openxmlformats.org/officeDocument/2006/relationships/printerSettings" Target="../printerSettings/printerSettings223.bin"/><Relationship Id="rId20" Type="http://schemas.openxmlformats.org/officeDocument/2006/relationships/printerSettings" Target="../printerSettings/printerSettings227.bin"/><Relationship Id="rId1" Type="http://schemas.openxmlformats.org/officeDocument/2006/relationships/printerSettings" Target="../printerSettings/printerSettings208.bin"/><Relationship Id="rId6" Type="http://schemas.openxmlformats.org/officeDocument/2006/relationships/printerSettings" Target="../printerSettings/printerSettings213.bin"/><Relationship Id="rId11" Type="http://schemas.openxmlformats.org/officeDocument/2006/relationships/printerSettings" Target="../printerSettings/printerSettings218.bin"/><Relationship Id="rId5" Type="http://schemas.openxmlformats.org/officeDocument/2006/relationships/printerSettings" Target="../printerSettings/printerSettings212.bin"/><Relationship Id="rId15" Type="http://schemas.openxmlformats.org/officeDocument/2006/relationships/printerSettings" Target="../printerSettings/printerSettings222.bin"/><Relationship Id="rId23" Type="http://schemas.openxmlformats.org/officeDocument/2006/relationships/printerSettings" Target="../printerSettings/printerSettings230.bin"/><Relationship Id="rId10" Type="http://schemas.openxmlformats.org/officeDocument/2006/relationships/printerSettings" Target="../printerSettings/printerSettings217.bin"/><Relationship Id="rId19" Type="http://schemas.openxmlformats.org/officeDocument/2006/relationships/printerSettings" Target="../printerSettings/printerSettings226.bin"/><Relationship Id="rId4" Type="http://schemas.openxmlformats.org/officeDocument/2006/relationships/printerSettings" Target="../printerSettings/printerSettings211.bin"/><Relationship Id="rId9" Type="http://schemas.openxmlformats.org/officeDocument/2006/relationships/printerSettings" Target="../printerSettings/printerSettings216.bin"/><Relationship Id="rId14" Type="http://schemas.openxmlformats.org/officeDocument/2006/relationships/printerSettings" Target="../printerSettings/printerSettings221.bin"/><Relationship Id="rId22" Type="http://schemas.openxmlformats.org/officeDocument/2006/relationships/printerSettings" Target="../printerSettings/printerSettings229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38.bin"/><Relationship Id="rId13" Type="http://schemas.openxmlformats.org/officeDocument/2006/relationships/printerSettings" Target="../printerSettings/printerSettings243.bin"/><Relationship Id="rId18" Type="http://schemas.openxmlformats.org/officeDocument/2006/relationships/printerSettings" Target="../printerSettings/printerSettings248.bin"/><Relationship Id="rId3" Type="http://schemas.openxmlformats.org/officeDocument/2006/relationships/printerSettings" Target="../printerSettings/printerSettings233.bin"/><Relationship Id="rId21" Type="http://schemas.openxmlformats.org/officeDocument/2006/relationships/printerSettings" Target="../printerSettings/printerSettings251.bin"/><Relationship Id="rId7" Type="http://schemas.openxmlformats.org/officeDocument/2006/relationships/printerSettings" Target="../printerSettings/printerSettings237.bin"/><Relationship Id="rId12" Type="http://schemas.openxmlformats.org/officeDocument/2006/relationships/printerSettings" Target="../printerSettings/printerSettings242.bin"/><Relationship Id="rId17" Type="http://schemas.openxmlformats.org/officeDocument/2006/relationships/printerSettings" Target="../printerSettings/printerSettings247.bin"/><Relationship Id="rId2" Type="http://schemas.openxmlformats.org/officeDocument/2006/relationships/printerSettings" Target="../printerSettings/printerSettings232.bin"/><Relationship Id="rId16" Type="http://schemas.openxmlformats.org/officeDocument/2006/relationships/printerSettings" Target="../printerSettings/printerSettings246.bin"/><Relationship Id="rId20" Type="http://schemas.openxmlformats.org/officeDocument/2006/relationships/printerSettings" Target="../printerSettings/printerSettings250.bin"/><Relationship Id="rId1" Type="http://schemas.openxmlformats.org/officeDocument/2006/relationships/printerSettings" Target="../printerSettings/printerSettings231.bin"/><Relationship Id="rId6" Type="http://schemas.openxmlformats.org/officeDocument/2006/relationships/printerSettings" Target="../printerSettings/printerSettings236.bin"/><Relationship Id="rId11" Type="http://schemas.openxmlformats.org/officeDocument/2006/relationships/printerSettings" Target="../printerSettings/printerSettings241.bin"/><Relationship Id="rId5" Type="http://schemas.openxmlformats.org/officeDocument/2006/relationships/printerSettings" Target="../printerSettings/printerSettings235.bin"/><Relationship Id="rId15" Type="http://schemas.openxmlformats.org/officeDocument/2006/relationships/printerSettings" Target="../printerSettings/printerSettings245.bin"/><Relationship Id="rId23" Type="http://schemas.openxmlformats.org/officeDocument/2006/relationships/printerSettings" Target="../printerSettings/printerSettings253.bin"/><Relationship Id="rId10" Type="http://schemas.openxmlformats.org/officeDocument/2006/relationships/printerSettings" Target="../printerSettings/printerSettings240.bin"/><Relationship Id="rId19" Type="http://schemas.openxmlformats.org/officeDocument/2006/relationships/printerSettings" Target="../printerSettings/printerSettings249.bin"/><Relationship Id="rId4" Type="http://schemas.openxmlformats.org/officeDocument/2006/relationships/printerSettings" Target="../printerSettings/printerSettings234.bin"/><Relationship Id="rId9" Type="http://schemas.openxmlformats.org/officeDocument/2006/relationships/printerSettings" Target="../printerSettings/printerSettings239.bin"/><Relationship Id="rId14" Type="http://schemas.openxmlformats.org/officeDocument/2006/relationships/printerSettings" Target="../printerSettings/printerSettings244.bin"/><Relationship Id="rId22" Type="http://schemas.openxmlformats.org/officeDocument/2006/relationships/printerSettings" Target="../printerSettings/printerSettings252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61.bin"/><Relationship Id="rId13" Type="http://schemas.openxmlformats.org/officeDocument/2006/relationships/printerSettings" Target="../printerSettings/printerSettings266.bin"/><Relationship Id="rId18" Type="http://schemas.openxmlformats.org/officeDocument/2006/relationships/printerSettings" Target="../printerSettings/printerSettings271.bin"/><Relationship Id="rId3" Type="http://schemas.openxmlformats.org/officeDocument/2006/relationships/printerSettings" Target="../printerSettings/printerSettings256.bin"/><Relationship Id="rId21" Type="http://schemas.openxmlformats.org/officeDocument/2006/relationships/printerSettings" Target="../printerSettings/printerSettings274.bin"/><Relationship Id="rId7" Type="http://schemas.openxmlformats.org/officeDocument/2006/relationships/printerSettings" Target="../printerSettings/printerSettings260.bin"/><Relationship Id="rId12" Type="http://schemas.openxmlformats.org/officeDocument/2006/relationships/printerSettings" Target="../printerSettings/printerSettings265.bin"/><Relationship Id="rId17" Type="http://schemas.openxmlformats.org/officeDocument/2006/relationships/printerSettings" Target="../printerSettings/printerSettings270.bin"/><Relationship Id="rId2" Type="http://schemas.openxmlformats.org/officeDocument/2006/relationships/printerSettings" Target="../printerSettings/printerSettings255.bin"/><Relationship Id="rId16" Type="http://schemas.openxmlformats.org/officeDocument/2006/relationships/printerSettings" Target="../printerSettings/printerSettings269.bin"/><Relationship Id="rId20" Type="http://schemas.openxmlformats.org/officeDocument/2006/relationships/printerSettings" Target="../printerSettings/printerSettings273.bin"/><Relationship Id="rId1" Type="http://schemas.openxmlformats.org/officeDocument/2006/relationships/printerSettings" Target="../printerSettings/printerSettings254.bin"/><Relationship Id="rId6" Type="http://schemas.openxmlformats.org/officeDocument/2006/relationships/printerSettings" Target="../printerSettings/printerSettings259.bin"/><Relationship Id="rId11" Type="http://schemas.openxmlformats.org/officeDocument/2006/relationships/printerSettings" Target="../printerSettings/printerSettings264.bin"/><Relationship Id="rId5" Type="http://schemas.openxmlformats.org/officeDocument/2006/relationships/printerSettings" Target="../printerSettings/printerSettings258.bin"/><Relationship Id="rId15" Type="http://schemas.openxmlformats.org/officeDocument/2006/relationships/printerSettings" Target="../printerSettings/printerSettings268.bin"/><Relationship Id="rId23" Type="http://schemas.openxmlformats.org/officeDocument/2006/relationships/printerSettings" Target="../printerSettings/printerSettings276.bin"/><Relationship Id="rId10" Type="http://schemas.openxmlformats.org/officeDocument/2006/relationships/printerSettings" Target="../printerSettings/printerSettings263.bin"/><Relationship Id="rId19" Type="http://schemas.openxmlformats.org/officeDocument/2006/relationships/printerSettings" Target="../printerSettings/printerSettings272.bin"/><Relationship Id="rId4" Type="http://schemas.openxmlformats.org/officeDocument/2006/relationships/printerSettings" Target="../printerSettings/printerSettings257.bin"/><Relationship Id="rId9" Type="http://schemas.openxmlformats.org/officeDocument/2006/relationships/printerSettings" Target="../printerSettings/printerSettings262.bin"/><Relationship Id="rId14" Type="http://schemas.openxmlformats.org/officeDocument/2006/relationships/printerSettings" Target="../printerSettings/printerSettings267.bin"/><Relationship Id="rId22" Type="http://schemas.openxmlformats.org/officeDocument/2006/relationships/printerSettings" Target="../printerSettings/printerSettings275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84.bin"/><Relationship Id="rId13" Type="http://schemas.openxmlformats.org/officeDocument/2006/relationships/printerSettings" Target="../printerSettings/printerSettings289.bin"/><Relationship Id="rId18" Type="http://schemas.openxmlformats.org/officeDocument/2006/relationships/printerSettings" Target="../printerSettings/printerSettings294.bin"/><Relationship Id="rId3" Type="http://schemas.openxmlformats.org/officeDocument/2006/relationships/printerSettings" Target="../printerSettings/printerSettings279.bin"/><Relationship Id="rId21" Type="http://schemas.openxmlformats.org/officeDocument/2006/relationships/printerSettings" Target="../printerSettings/printerSettings297.bin"/><Relationship Id="rId7" Type="http://schemas.openxmlformats.org/officeDocument/2006/relationships/printerSettings" Target="../printerSettings/printerSettings283.bin"/><Relationship Id="rId12" Type="http://schemas.openxmlformats.org/officeDocument/2006/relationships/printerSettings" Target="../printerSettings/printerSettings288.bin"/><Relationship Id="rId17" Type="http://schemas.openxmlformats.org/officeDocument/2006/relationships/printerSettings" Target="../printerSettings/printerSettings293.bin"/><Relationship Id="rId2" Type="http://schemas.openxmlformats.org/officeDocument/2006/relationships/printerSettings" Target="../printerSettings/printerSettings278.bin"/><Relationship Id="rId16" Type="http://schemas.openxmlformats.org/officeDocument/2006/relationships/printerSettings" Target="../printerSettings/printerSettings292.bin"/><Relationship Id="rId20" Type="http://schemas.openxmlformats.org/officeDocument/2006/relationships/printerSettings" Target="../printerSettings/printerSettings296.bin"/><Relationship Id="rId1" Type="http://schemas.openxmlformats.org/officeDocument/2006/relationships/printerSettings" Target="../printerSettings/printerSettings277.bin"/><Relationship Id="rId6" Type="http://schemas.openxmlformats.org/officeDocument/2006/relationships/printerSettings" Target="../printerSettings/printerSettings282.bin"/><Relationship Id="rId11" Type="http://schemas.openxmlformats.org/officeDocument/2006/relationships/printerSettings" Target="../printerSettings/printerSettings287.bin"/><Relationship Id="rId5" Type="http://schemas.openxmlformats.org/officeDocument/2006/relationships/printerSettings" Target="../printerSettings/printerSettings281.bin"/><Relationship Id="rId15" Type="http://schemas.openxmlformats.org/officeDocument/2006/relationships/printerSettings" Target="../printerSettings/printerSettings291.bin"/><Relationship Id="rId23" Type="http://schemas.openxmlformats.org/officeDocument/2006/relationships/printerSettings" Target="../printerSettings/printerSettings299.bin"/><Relationship Id="rId10" Type="http://schemas.openxmlformats.org/officeDocument/2006/relationships/printerSettings" Target="../printerSettings/printerSettings286.bin"/><Relationship Id="rId19" Type="http://schemas.openxmlformats.org/officeDocument/2006/relationships/printerSettings" Target="../printerSettings/printerSettings295.bin"/><Relationship Id="rId4" Type="http://schemas.openxmlformats.org/officeDocument/2006/relationships/printerSettings" Target="../printerSettings/printerSettings280.bin"/><Relationship Id="rId9" Type="http://schemas.openxmlformats.org/officeDocument/2006/relationships/printerSettings" Target="../printerSettings/printerSettings285.bin"/><Relationship Id="rId14" Type="http://schemas.openxmlformats.org/officeDocument/2006/relationships/printerSettings" Target="../printerSettings/printerSettings290.bin"/><Relationship Id="rId22" Type="http://schemas.openxmlformats.org/officeDocument/2006/relationships/printerSettings" Target="../printerSettings/printerSettings298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07.bin"/><Relationship Id="rId13" Type="http://schemas.openxmlformats.org/officeDocument/2006/relationships/printerSettings" Target="../printerSettings/printerSettings312.bin"/><Relationship Id="rId18" Type="http://schemas.openxmlformats.org/officeDocument/2006/relationships/printerSettings" Target="../printerSettings/printerSettings317.bin"/><Relationship Id="rId3" Type="http://schemas.openxmlformats.org/officeDocument/2006/relationships/printerSettings" Target="../printerSettings/printerSettings302.bin"/><Relationship Id="rId21" Type="http://schemas.openxmlformats.org/officeDocument/2006/relationships/printerSettings" Target="../printerSettings/printerSettings320.bin"/><Relationship Id="rId7" Type="http://schemas.openxmlformats.org/officeDocument/2006/relationships/printerSettings" Target="../printerSettings/printerSettings306.bin"/><Relationship Id="rId12" Type="http://schemas.openxmlformats.org/officeDocument/2006/relationships/printerSettings" Target="../printerSettings/printerSettings311.bin"/><Relationship Id="rId17" Type="http://schemas.openxmlformats.org/officeDocument/2006/relationships/printerSettings" Target="../printerSettings/printerSettings316.bin"/><Relationship Id="rId2" Type="http://schemas.openxmlformats.org/officeDocument/2006/relationships/printerSettings" Target="../printerSettings/printerSettings301.bin"/><Relationship Id="rId16" Type="http://schemas.openxmlformats.org/officeDocument/2006/relationships/printerSettings" Target="../printerSettings/printerSettings315.bin"/><Relationship Id="rId20" Type="http://schemas.openxmlformats.org/officeDocument/2006/relationships/printerSettings" Target="../printerSettings/printerSettings319.bin"/><Relationship Id="rId1" Type="http://schemas.openxmlformats.org/officeDocument/2006/relationships/printerSettings" Target="../printerSettings/printerSettings300.bin"/><Relationship Id="rId6" Type="http://schemas.openxmlformats.org/officeDocument/2006/relationships/printerSettings" Target="../printerSettings/printerSettings305.bin"/><Relationship Id="rId11" Type="http://schemas.openxmlformats.org/officeDocument/2006/relationships/printerSettings" Target="../printerSettings/printerSettings310.bin"/><Relationship Id="rId5" Type="http://schemas.openxmlformats.org/officeDocument/2006/relationships/printerSettings" Target="../printerSettings/printerSettings304.bin"/><Relationship Id="rId15" Type="http://schemas.openxmlformats.org/officeDocument/2006/relationships/printerSettings" Target="../printerSettings/printerSettings314.bin"/><Relationship Id="rId23" Type="http://schemas.openxmlformats.org/officeDocument/2006/relationships/printerSettings" Target="../printerSettings/printerSettings322.bin"/><Relationship Id="rId10" Type="http://schemas.openxmlformats.org/officeDocument/2006/relationships/printerSettings" Target="../printerSettings/printerSettings309.bin"/><Relationship Id="rId19" Type="http://schemas.openxmlformats.org/officeDocument/2006/relationships/printerSettings" Target="../printerSettings/printerSettings318.bin"/><Relationship Id="rId4" Type="http://schemas.openxmlformats.org/officeDocument/2006/relationships/printerSettings" Target="../printerSettings/printerSettings303.bin"/><Relationship Id="rId9" Type="http://schemas.openxmlformats.org/officeDocument/2006/relationships/printerSettings" Target="../printerSettings/printerSettings308.bin"/><Relationship Id="rId14" Type="http://schemas.openxmlformats.org/officeDocument/2006/relationships/printerSettings" Target="../printerSettings/printerSettings313.bin"/><Relationship Id="rId22" Type="http://schemas.openxmlformats.org/officeDocument/2006/relationships/printerSettings" Target="../printerSettings/printerSettings321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30.bin"/><Relationship Id="rId13" Type="http://schemas.openxmlformats.org/officeDocument/2006/relationships/printerSettings" Target="../printerSettings/printerSettings335.bin"/><Relationship Id="rId18" Type="http://schemas.openxmlformats.org/officeDocument/2006/relationships/printerSettings" Target="../printerSettings/printerSettings340.bin"/><Relationship Id="rId3" Type="http://schemas.openxmlformats.org/officeDocument/2006/relationships/printerSettings" Target="../printerSettings/printerSettings325.bin"/><Relationship Id="rId21" Type="http://schemas.openxmlformats.org/officeDocument/2006/relationships/printerSettings" Target="../printerSettings/printerSettings343.bin"/><Relationship Id="rId7" Type="http://schemas.openxmlformats.org/officeDocument/2006/relationships/printerSettings" Target="../printerSettings/printerSettings329.bin"/><Relationship Id="rId12" Type="http://schemas.openxmlformats.org/officeDocument/2006/relationships/printerSettings" Target="../printerSettings/printerSettings334.bin"/><Relationship Id="rId17" Type="http://schemas.openxmlformats.org/officeDocument/2006/relationships/printerSettings" Target="../printerSettings/printerSettings339.bin"/><Relationship Id="rId2" Type="http://schemas.openxmlformats.org/officeDocument/2006/relationships/printerSettings" Target="../printerSettings/printerSettings324.bin"/><Relationship Id="rId16" Type="http://schemas.openxmlformats.org/officeDocument/2006/relationships/printerSettings" Target="../printerSettings/printerSettings338.bin"/><Relationship Id="rId20" Type="http://schemas.openxmlformats.org/officeDocument/2006/relationships/printerSettings" Target="../printerSettings/printerSettings342.bin"/><Relationship Id="rId1" Type="http://schemas.openxmlformats.org/officeDocument/2006/relationships/printerSettings" Target="../printerSettings/printerSettings323.bin"/><Relationship Id="rId6" Type="http://schemas.openxmlformats.org/officeDocument/2006/relationships/printerSettings" Target="../printerSettings/printerSettings328.bin"/><Relationship Id="rId11" Type="http://schemas.openxmlformats.org/officeDocument/2006/relationships/printerSettings" Target="../printerSettings/printerSettings333.bin"/><Relationship Id="rId5" Type="http://schemas.openxmlformats.org/officeDocument/2006/relationships/printerSettings" Target="../printerSettings/printerSettings327.bin"/><Relationship Id="rId15" Type="http://schemas.openxmlformats.org/officeDocument/2006/relationships/printerSettings" Target="../printerSettings/printerSettings337.bin"/><Relationship Id="rId23" Type="http://schemas.openxmlformats.org/officeDocument/2006/relationships/printerSettings" Target="../printerSettings/printerSettings345.bin"/><Relationship Id="rId10" Type="http://schemas.openxmlformats.org/officeDocument/2006/relationships/printerSettings" Target="../printerSettings/printerSettings332.bin"/><Relationship Id="rId19" Type="http://schemas.openxmlformats.org/officeDocument/2006/relationships/printerSettings" Target="../printerSettings/printerSettings341.bin"/><Relationship Id="rId4" Type="http://schemas.openxmlformats.org/officeDocument/2006/relationships/printerSettings" Target="../printerSettings/printerSettings326.bin"/><Relationship Id="rId9" Type="http://schemas.openxmlformats.org/officeDocument/2006/relationships/printerSettings" Target="../printerSettings/printerSettings331.bin"/><Relationship Id="rId14" Type="http://schemas.openxmlformats.org/officeDocument/2006/relationships/printerSettings" Target="../printerSettings/printerSettings336.bin"/><Relationship Id="rId22" Type="http://schemas.openxmlformats.org/officeDocument/2006/relationships/printerSettings" Target="../printerSettings/printerSettings344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53.bin"/><Relationship Id="rId13" Type="http://schemas.openxmlformats.org/officeDocument/2006/relationships/printerSettings" Target="../printerSettings/printerSettings358.bin"/><Relationship Id="rId18" Type="http://schemas.openxmlformats.org/officeDocument/2006/relationships/printerSettings" Target="../printerSettings/printerSettings363.bin"/><Relationship Id="rId3" Type="http://schemas.openxmlformats.org/officeDocument/2006/relationships/printerSettings" Target="../printerSettings/printerSettings348.bin"/><Relationship Id="rId21" Type="http://schemas.openxmlformats.org/officeDocument/2006/relationships/printerSettings" Target="../printerSettings/printerSettings366.bin"/><Relationship Id="rId7" Type="http://schemas.openxmlformats.org/officeDocument/2006/relationships/printerSettings" Target="../printerSettings/printerSettings352.bin"/><Relationship Id="rId12" Type="http://schemas.openxmlformats.org/officeDocument/2006/relationships/printerSettings" Target="../printerSettings/printerSettings357.bin"/><Relationship Id="rId17" Type="http://schemas.openxmlformats.org/officeDocument/2006/relationships/printerSettings" Target="../printerSettings/printerSettings362.bin"/><Relationship Id="rId2" Type="http://schemas.openxmlformats.org/officeDocument/2006/relationships/printerSettings" Target="../printerSettings/printerSettings347.bin"/><Relationship Id="rId16" Type="http://schemas.openxmlformats.org/officeDocument/2006/relationships/printerSettings" Target="../printerSettings/printerSettings361.bin"/><Relationship Id="rId20" Type="http://schemas.openxmlformats.org/officeDocument/2006/relationships/printerSettings" Target="../printerSettings/printerSettings365.bin"/><Relationship Id="rId1" Type="http://schemas.openxmlformats.org/officeDocument/2006/relationships/printerSettings" Target="../printerSettings/printerSettings346.bin"/><Relationship Id="rId6" Type="http://schemas.openxmlformats.org/officeDocument/2006/relationships/printerSettings" Target="../printerSettings/printerSettings351.bin"/><Relationship Id="rId11" Type="http://schemas.openxmlformats.org/officeDocument/2006/relationships/printerSettings" Target="../printerSettings/printerSettings356.bin"/><Relationship Id="rId5" Type="http://schemas.openxmlformats.org/officeDocument/2006/relationships/printerSettings" Target="../printerSettings/printerSettings350.bin"/><Relationship Id="rId15" Type="http://schemas.openxmlformats.org/officeDocument/2006/relationships/printerSettings" Target="../printerSettings/printerSettings360.bin"/><Relationship Id="rId23" Type="http://schemas.openxmlformats.org/officeDocument/2006/relationships/printerSettings" Target="../printerSettings/printerSettings368.bin"/><Relationship Id="rId10" Type="http://schemas.openxmlformats.org/officeDocument/2006/relationships/printerSettings" Target="../printerSettings/printerSettings355.bin"/><Relationship Id="rId19" Type="http://schemas.openxmlformats.org/officeDocument/2006/relationships/printerSettings" Target="../printerSettings/printerSettings364.bin"/><Relationship Id="rId4" Type="http://schemas.openxmlformats.org/officeDocument/2006/relationships/printerSettings" Target="../printerSettings/printerSettings349.bin"/><Relationship Id="rId9" Type="http://schemas.openxmlformats.org/officeDocument/2006/relationships/printerSettings" Target="../printerSettings/printerSettings354.bin"/><Relationship Id="rId14" Type="http://schemas.openxmlformats.org/officeDocument/2006/relationships/printerSettings" Target="../printerSettings/printerSettings359.bin"/><Relationship Id="rId22" Type="http://schemas.openxmlformats.org/officeDocument/2006/relationships/printerSettings" Target="../printerSettings/printerSettings367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76.bin"/><Relationship Id="rId13" Type="http://schemas.openxmlformats.org/officeDocument/2006/relationships/printerSettings" Target="../printerSettings/printerSettings381.bin"/><Relationship Id="rId18" Type="http://schemas.openxmlformats.org/officeDocument/2006/relationships/printerSettings" Target="../printerSettings/printerSettings386.bin"/><Relationship Id="rId3" Type="http://schemas.openxmlformats.org/officeDocument/2006/relationships/printerSettings" Target="../printerSettings/printerSettings371.bin"/><Relationship Id="rId21" Type="http://schemas.openxmlformats.org/officeDocument/2006/relationships/printerSettings" Target="../printerSettings/printerSettings389.bin"/><Relationship Id="rId7" Type="http://schemas.openxmlformats.org/officeDocument/2006/relationships/printerSettings" Target="../printerSettings/printerSettings375.bin"/><Relationship Id="rId12" Type="http://schemas.openxmlformats.org/officeDocument/2006/relationships/printerSettings" Target="../printerSettings/printerSettings380.bin"/><Relationship Id="rId17" Type="http://schemas.openxmlformats.org/officeDocument/2006/relationships/printerSettings" Target="../printerSettings/printerSettings385.bin"/><Relationship Id="rId2" Type="http://schemas.openxmlformats.org/officeDocument/2006/relationships/printerSettings" Target="../printerSettings/printerSettings370.bin"/><Relationship Id="rId16" Type="http://schemas.openxmlformats.org/officeDocument/2006/relationships/printerSettings" Target="../printerSettings/printerSettings384.bin"/><Relationship Id="rId20" Type="http://schemas.openxmlformats.org/officeDocument/2006/relationships/printerSettings" Target="../printerSettings/printerSettings388.bin"/><Relationship Id="rId1" Type="http://schemas.openxmlformats.org/officeDocument/2006/relationships/printerSettings" Target="../printerSettings/printerSettings369.bin"/><Relationship Id="rId6" Type="http://schemas.openxmlformats.org/officeDocument/2006/relationships/printerSettings" Target="../printerSettings/printerSettings374.bin"/><Relationship Id="rId11" Type="http://schemas.openxmlformats.org/officeDocument/2006/relationships/printerSettings" Target="../printerSettings/printerSettings379.bin"/><Relationship Id="rId5" Type="http://schemas.openxmlformats.org/officeDocument/2006/relationships/printerSettings" Target="../printerSettings/printerSettings373.bin"/><Relationship Id="rId15" Type="http://schemas.openxmlformats.org/officeDocument/2006/relationships/printerSettings" Target="../printerSettings/printerSettings383.bin"/><Relationship Id="rId23" Type="http://schemas.openxmlformats.org/officeDocument/2006/relationships/printerSettings" Target="../printerSettings/printerSettings391.bin"/><Relationship Id="rId10" Type="http://schemas.openxmlformats.org/officeDocument/2006/relationships/printerSettings" Target="../printerSettings/printerSettings378.bin"/><Relationship Id="rId19" Type="http://schemas.openxmlformats.org/officeDocument/2006/relationships/printerSettings" Target="../printerSettings/printerSettings387.bin"/><Relationship Id="rId4" Type="http://schemas.openxmlformats.org/officeDocument/2006/relationships/printerSettings" Target="../printerSettings/printerSettings372.bin"/><Relationship Id="rId9" Type="http://schemas.openxmlformats.org/officeDocument/2006/relationships/printerSettings" Target="../printerSettings/printerSettings377.bin"/><Relationship Id="rId14" Type="http://schemas.openxmlformats.org/officeDocument/2006/relationships/printerSettings" Target="../printerSettings/printerSettings382.bin"/><Relationship Id="rId22" Type="http://schemas.openxmlformats.org/officeDocument/2006/relationships/printerSettings" Target="../printerSettings/printerSettings390.bin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99.bin"/><Relationship Id="rId13" Type="http://schemas.openxmlformats.org/officeDocument/2006/relationships/printerSettings" Target="../printerSettings/printerSettings404.bin"/><Relationship Id="rId18" Type="http://schemas.openxmlformats.org/officeDocument/2006/relationships/printerSettings" Target="../printerSettings/printerSettings409.bin"/><Relationship Id="rId3" Type="http://schemas.openxmlformats.org/officeDocument/2006/relationships/printerSettings" Target="../printerSettings/printerSettings394.bin"/><Relationship Id="rId21" Type="http://schemas.openxmlformats.org/officeDocument/2006/relationships/printerSettings" Target="../printerSettings/printerSettings412.bin"/><Relationship Id="rId7" Type="http://schemas.openxmlformats.org/officeDocument/2006/relationships/printerSettings" Target="../printerSettings/printerSettings398.bin"/><Relationship Id="rId12" Type="http://schemas.openxmlformats.org/officeDocument/2006/relationships/printerSettings" Target="../printerSettings/printerSettings403.bin"/><Relationship Id="rId17" Type="http://schemas.openxmlformats.org/officeDocument/2006/relationships/printerSettings" Target="../printerSettings/printerSettings408.bin"/><Relationship Id="rId2" Type="http://schemas.openxmlformats.org/officeDocument/2006/relationships/printerSettings" Target="../printerSettings/printerSettings393.bin"/><Relationship Id="rId16" Type="http://schemas.openxmlformats.org/officeDocument/2006/relationships/printerSettings" Target="../printerSettings/printerSettings407.bin"/><Relationship Id="rId20" Type="http://schemas.openxmlformats.org/officeDocument/2006/relationships/printerSettings" Target="../printerSettings/printerSettings411.bin"/><Relationship Id="rId1" Type="http://schemas.openxmlformats.org/officeDocument/2006/relationships/printerSettings" Target="../printerSettings/printerSettings392.bin"/><Relationship Id="rId6" Type="http://schemas.openxmlformats.org/officeDocument/2006/relationships/printerSettings" Target="../printerSettings/printerSettings397.bin"/><Relationship Id="rId11" Type="http://schemas.openxmlformats.org/officeDocument/2006/relationships/printerSettings" Target="../printerSettings/printerSettings402.bin"/><Relationship Id="rId5" Type="http://schemas.openxmlformats.org/officeDocument/2006/relationships/printerSettings" Target="../printerSettings/printerSettings396.bin"/><Relationship Id="rId15" Type="http://schemas.openxmlformats.org/officeDocument/2006/relationships/printerSettings" Target="../printerSettings/printerSettings406.bin"/><Relationship Id="rId23" Type="http://schemas.openxmlformats.org/officeDocument/2006/relationships/printerSettings" Target="../printerSettings/printerSettings414.bin"/><Relationship Id="rId10" Type="http://schemas.openxmlformats.org/officeDocument/2006/relationships/printerSettings" Target="../printerSettings/printerSettings401.bin"/><Relationship Id="rId19" Type="http://schemas.openxmlformats.org/officeDocument/2006/relationships/printerSettings" Target="../printerSettings/printerSettings410.bin"/><Relationship Id="rId4" Type="http://schemas.openxmlformats.org/officeDocument/2006/relationships/printerSettings" Target="../printerSettings/printerSettings395.bin"/><Relationship Id="rId9" Type="http://schemas.openxmlformats.org/officeDocument/2006/relationships/printerSettings" Target="../printerSettings/printerSettings400.bin"/><Relationship Id="rId14" Type="http://schemas.openxmlformats.org/officeDocument/2006/relationships/printerSettings" Target="../printerSettings/printerSettings405.bin"/><Relationship Id="rId22" Type="http://schemas.openxmlformats.org/officeDocument/2006/relationships/printerSettings" Target="../printerSettings/printerSettings413.bin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22.bin"/><Relationship Id="rId13" Type="http://schemas.openxmlformats.org/officeDocument/2006/relationships/printerSettings" Target="../printerSettings/printerSettings427.bin"/><Relationship Id="rId18" Type="http://schemas.openxmlformats.org/officeDocument/2006/relationships/printerSettings" Target="../printerSettings/printerSettings432.bin"/><Relationship Id="rId3" Type="http://schemas.openxmlformats.org/officeDocument/2006/relationships/printerSettings" Target="../printerSettings/printerSettings417.bin"/><Relationship Id="rId21" Type="http://schemas.openxmlformats.org/officeDocument/2006/relationships/printerSettings" Target="../printerSettings/printerSettings435.bin"/><Relationship Id="rId7" Type="http://schemas.openxmlformats.org/officeDocument/2006/relationships/printerSettings" Target="../printerSettings/printerSettings421.bin"/><Relationship Id="rId12" Type="http://schemas.openxmlformats.org/officeDocument/2006/relationships/printerSettings" Target="../printerSettings/printerSettings426.bin"/><Relationship Id="rId17" Type="http://schemas.openxmlformats.org/officeDocument/2006/relationships/printerSettings" Target="../printerSettings/printerSettings431.bin"/><Relationship Id="rId2" Type="http://schemas.openxmlformats.org/officeDocument/2006/relationships/printerSettings" Target="../printerSettings/printerSettings416.bin"/><Relationship Id="rId16" Type="http://schemas.openxmlformats.org/officeDocument/2006/relationships/printerSettings" Target="../printerSettings/printerSettings430.bin"/><Relationship Id="rId20" Type="http://schemas.openxmlformats.org/officeDocument/2006/relationships/printerSettings" Target="../printerSettings/printerSettings434.bin"/><Relationship Id="rId1" Type="http://schemas.openxmlformats.org/officeDocument/2006/relationships/printerSettings" Target="../printerSettings/printerSettings415.bin"/><Relationship Id="rId6" Type="http://schemas.openxmlformats.org/officeDocument/2006/relationships/printerSettings" Target="../printerSettings/printerSettings420.bin"/><Relationship Id="rId11" Type="http://schemas.openxmlformats.org/officeDocument/2006/relationships/printerSettings" Target="../printerSettings/printerSettings425.bin"/><Relationship Id="rId5" Type="http://schemas.openxmlformats.org/officeDocument/2006/relationships/printerSettings" Target="../printerSettings/printerSettings419.bin"/><Relationship Id="rId15" Type="http://schemas.openxmlformats.org/officeDocument/2006/relationships/printerSettings" Target="../printerSettings/printerSettings429.bin"/><Relationship Id="rId23" Type="http://schemas.openxmlformats.org/officeDocument/2006/relationships/printerSettings" Target="../printerSettings/printerSettings437.bin"/><Relationship Id="rId10" Type="http://schemas.openxmlformats.org/officeDocument/2006/relationships/printerSettings" Target="../printerSettings/printerSettings424.bin"/><Relationship Id="rId19" Type="http://schemas.openxmlformats.org/officeDocument/2006/relationships/printerSettings" Target="../printerSettings/printerSettings433.bin"/><Relationship Id="rId4" Type="http://schemas.openxmlformats.org/officeDocument/2006/relationships/printerSettings" Target="../printerSettings/printerSettings418.bin"/><Relationship Id="rId9" Type="http://schemas.openxmlformats.org/officeDocument/2006/relationships/printerSettings" Target="../printerSettings/printerSettings423.bin"/><Relationship Id="rId14" Type="http://schemas.openxmlformats.org/officeDocument/2006/relationships/printerSettings" Target="../printerSettings/printerSettings428.bin"/><Relationship Id="rId22" Type="http://schemas.openxmlformats.org/officeDocument/2006/relationships/printerSettings" Target="../printerSettings/printerSettings436.bin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45.bin"/><Relationship Id="rId13" Type="http://schemas.openxmlformats.org/officeDocument/2006/relationships/printerSettings" Target="../printerSettings/printerSettings450.bin"/><Relationship Id="rId18" Type="http://schemas.openxmlformats.org/officeDocument/2006/relationships/printerSettings" Target="../printerSettings/printerSettings455.bin"/><Relationship Id="rId3" Type="http://schemas.openxmlformats.org/officeDocument/2006/relationships/printerSettings" Target="../printerSettings/printerSettings440.bin"/><Relationship Id="rId21" Type="http://schemas.openxmlformats.org/officeDocument/2006/relationships/printerSettings" Target="../printerSettings/printerSettings458.bin"/><Relationship Id="rId7" Type="http://schemas.openxmlformats.org/officeDocument/2006/relationships/printerSettings" Target="../printerSettings/printerSettings444.bin"/><Relationship Id="rId12" Type="http://schemas.openxmlformats.org/officeDocument/2006/relationships/printerSettings" Target="../printerSettings/printerSettings449.bin"/><Relationship Id="rId17" Type="http://schemas.openxmlformats.org/officeDocument/2006/relationships/printerSettings" Target="../printerSettings/printerSettings454.bin"/><Relationship Id="rId2" Type="http://schemas.openxmlformats.org/officeDocument/2006/relationships/printerSettings" Target="../printerSettings/printerSettings439.bin"/><Relationship Id="rId16" Type="http://schemas.openxmlformats.org/officeDocument/2006/relationships/printerSettings" Target="../printerSettings/printerSettings453.bin"/><Relationship Id="rId20" Type="http://schemas.openxmlformats.org/officeDocument/2006/relationships/printerSettings" Target="../printerSettings/printerSettings457.bin"/><Relationship Id="rId1" Type="http://schemas.openxmlformats.org/officeDocument/2006/relationships/printerSettings" Target="../printerSettings/printerSettings438.bin"/><Relationship Id="rId6" Type="http://schemas.openxmlformats.org/officeDocument/2006/relationships/printerSettings" Target="../printerSettings/printerSettings443.bin"/><Relationship Id="rId11" Type="http://schemas.openxmlformats.org/officeDocument/2006/relationships/printerSettings" Target="../printerSettings/printerSettings448.bin"/><Relationship Id="rId5" Type="http://schemas.openxmlformats.org/officeDocument/2006/relationships/printerSettings" Target="../printerSettings/printerSettings442.bin"/><Relationship Id="rId15" Type="http://schemas.openxmlformats.org/officeDocument/2006/relationships/printerSettings" Target="../printerSettings/printerSettings452.bin"/><Relationship Id="rId23" Type="http://schemas.openxmlformats.org/officeDocument/2006/relationships/printerSettings" Target="../printerSettings/printerSettings460.bin"/><Relationship Id="rId10" Type="http://schemas.openxmlformats.org/officeDocument/2006/relationships/printerSettings" Target="../printerSettings/printerSettings447.bin"/><Relationship Id="rId19" Type="http://schemas.openxmlformats.org/officeDocument/2006/relationships/printerSettings" Target="../printerSettings/printerSettings456.bin"/><Relationship Id="rId4" Type="http://schemas.openxmlformats.org/officeDocument/2006/relationships/printerSettings" Target="../printerSettings/printerSettings441.bin"/><Relationship Id="rId9" Type="http://schemas.openxmlformats.org/officeDocument/2006/relationships/printerSettings" Target="../printerSettings/printerSettings446.bin"/><Relationship Id="rId14" Type="http://schemas.openxmlformats.org/officeDocument/2006/relationships/printerSettings" Target="../printerSettings/printerSettings451.bin"/><Relationship Id="rId22" Type="http://schemas.openxmlformats.org/officeDocument/2006/relationships/printerSettings" Target="../printerSettings/printerSettings459.bin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68.bin"/><Relationship Id="rId13" Type="http://schemas.openxmlformats.org/officeDocument/2006/relationships/printerSettings" Target="../printerSettings/printerSettings473.bin"/><Relationship Id="rId18" Type="http://schemas.openxmlformats.org/officeDocument/2006/relationships/printerSettings" Target="../printerSettings/printerSettings478.bin"/><Relationship Id="rId3" Type="http://schemas.openxmlformats.org/officeDocument/2006/relationships/printerSettings" Target="../printerSettings/printerSettings463.bin"/><Relationship Id="rId21" Type="http://schemas.openxmlformats.org/officeDocument/2006/relationships/printerSettings" Target="../printerSettings/printerSettings481.bin"/><Relationship Id="rId7" Type="http://schemas.openxmlformats.org/officeDocument/2006/relationships/printerSettings" Target="../printerSettings/printerSettings467.bin"/><Relationship Id="rId12" Type="http://schemas.openxmlformats.org/officeDocument/2006/relationships/printerSettings" Target="../printerSettings/printerSettings472.bin"/><Relationship Id="rId17" Type="http://schemas.openxmlformats.org/officeDocument/2006/relationships/printerSettings" Target="../printerSettings/printerSettings477.bin"/><Relationship Id="rId2" Type="http://schemas.openxmlformats.org/officeDocument/2006/relationships/printerSettings" Target="../printerSettings/printerSettings462.bin"/><Relationship Id="rId16" Type="http://schemas.openxmlformats.org/officeDocument/2006/relationships/printerSettings" Target="../printerSettings/printerSettings476.bin"/><Relationship Id="rId20" Type="http://schemas.openxmlformats.org/officeDocument/2006/relationships/printerSettings" Target="../printerSettings/printerSettings480.bin"/><Relationship Id="rId1" Type="http://schemas.openxmlformats.org/officeDocument/2006/relationships/printerSettings" Target="../printerSettings/printerSettings461.bin"/><Relationship Id="rId6" Type="http://schemas.openxmlformats.org/officeDocument/2006/relationships/printerSettings" Target="../printerSettings/printerSettings466.bin"/><Relationship Id="rId11" Type="http://schemas.openxmlformats.org/officeDocument/2006/relationships/printerSettings" Target="../printerSettings/printerSettings471.bin"/><Relationship Id="rId5" Type="http://schemas.openxmlformats.org/officeDocument/2006/relationships/printerSettings" Target="../printerSettings/printerSettings465.bin"/><Relationship Id="rId15" Type="http://schemas.openxmlformats.org/officeDocument/2006/relationships/printerSettings" Target="../printerSettings/printerSettings475.bin"/><Relationship Id="rId23" Type="http://schemas.openxmlformats.org/officeDocument/2006/relationships/printerSettings" Target="../printerSettings/printerSettings483.bin"/><Relationship Id="rId10" Type="http://schemas.openxmlformats.org/officeDocument/2006/relationships/printerSettings" Target="../printerSettings/printerSettings470.bin"/><Relationship Id="rId19" Type="http://schemas.openxmlformats.org/officeDocument/2006/relationships/printerSettings" Target="../printerSettings/printerSettings479.bin"/><Relationship Id="rId4" Type="http://schemas.openxmlformats.org/officeDocument/2006/relationships/printerSettings" Target="../printerSettings/printerSettings464.bin"/><Relationship Id="rId9" Type="http://schemas.openxmlformats.org/officeDocument/2006/relationships/printerSettings" Target="../printerSettings/printerSettings469.bin"/><Relationship Id="rId14" Type="http://schemas.openxmlformats.org/officeDocument/2006/relationships/printerSettings" Target="../printerSettings/printerSettings474.bin"/><Relationship Id="rId22" Type="http://schemas.openxmlformats.org/officeDocument/2006/relationships/printerSettings" Target="../printerSettings/printerSettings482.bin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91.bin"/><Relationship Id="rId13" Type="http://schemas.openxmlformats.org/officeDocument/2006/relationships/printerSettings" Target="../printerSettings/printerSettings496.bin"/><Relationship Id="rId18" Type="http://schemas.openxmlformats.org/officeDocument/2006/relationships/printerSettings" Target="../printerSettings/printerSettings501.bin"/><Relationship Id="rId3" Type="http://schemas.openxmlformats.org/officeDocument/2006/relationships/printerSettings" Target="../printerSettings/printerSettings486.bin"/><Relationship Id="rId21" Type="http://schemas.openxmlformats.org/officeDocument/2006/relationships/printerSettings" Target="../printerSettings/printerSettings504.bin"/><Relationship Id="rId7" Type="http://schemas.openxmlformats.org/officeDocument/2006/relationships/printerSettings" Target="../printerSettings/printerSettings490.bin"/><Relationship Id="rId12" Type="http://schemas.openxmlformats.org/officeDocument/2006/relationships/printerSettings" Target="../printerSettings/printerSettings495.bin"/><Relationship Id="rId17" Type="http://schemas.openxmlformats.org/officeDocument/2006/relationships/printerSettings" Target="../printerSettings/printerSettings500.bin"/><Relationship Id="rId2" Type="http://schemas.openxmlformats.org/officeDocument/2006/relationships/printerSettings" Target="../printerSettings/printerSettings485.bin"/><Relationship Id="rId16" Type="http://schemas.openxmlformats.org/officeDocument/2006/relationships/printerSettings" Target="../printerSettings/printerSettings499.bin"/><Relationship Id="rId20" Type="http://schemas.openxmlformats.org/officeDocument/2006/relationships/printerSettings" Target="../printerSettings/printerSettings503.bin"/><Relationship Id="rId1" Type="http://schemas.openxmlformats.org/officeDocument/2006/relationships/printerSettings" Target="../printerSettings/printerSettings484.bin"/><Relationship Id="rId6" Type="http://schemas.openxmlformats.org/officeDocument/2006/relationships/printerSettings" Target="../printerSettings/printerSettings489.bin"/><Relationship Id="rId11" Type="http://schemas.openxmlformats.org/officeDocument/2006/relationships/printerSettings" Target="../printerSettings/printerSettings494.bin"/><Relationship Id="rId5" Type="http://schemas.openxmlformats.org/officeDocument/2006/relationships/printerSettings" Target="../printerSettings/printerSettings488.bin"/><Relationship Id="rId15" Type="http://schemas.openxmlformats.org/officeDocument/2006/relationships/printerSettings" Target="../printerSettings/printerSettings498.bin"/><Relationship Id="rId23" Type="http://schemas.openxmlformats.org/officeDocument/2006/relationships/printerSettings" Target="../printerSettings/printerSettings506.bin"/><Relationship Id="rId10" Type="http://schemas.openxmlformats.org/officeDocument/2006/relationships/printerSettings" Target="../printerSettings/printerSettings493.bin"/><Relationship Id="rId19" Type="http://schemas.openxmlformats.org/officeDocument/2006/relationships/printerSettings" Target="../printerSettings/printerSettings502.bin"/><Relationship Id="rId4" Type="http://schemas.openxmlformats.org/officeDocument/2006/relationships/printerSettings" Target="../printerSettings/printerSettings487.bin"/><Relationship Id="rId9" Type="http://schemas.openxmlformats.org/officeDocument/2006/relationships/printerSettings" Target="../printerSettings/printerSettings492.bin"/><Relationship Id="rId14" Type="http://schemas.openxmlformats.org/officeDocument/2006/relationships/printerSettings" Target="../printerSettings/printerSettings497.bin"/><Relationship Id="rId22" Type="http://schemas.openxmlformats.org/officeDocument/2006/relationships/printerSettings" Target="../printerSettings/printerSettings505.bin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14.bin"/><Relationship Id="rId13" Type="http://schemas.openxmlformats.org/officeDocument/2006/relationships/printerSettings" Target="../printerSettings/printerSettings519.bin"/><Relationship Id="rId18" Type="http://schemas.openxmlformats.org/officeDocument/2006/relationships/printerSettings" Target="../printerSettings/printerSettings524.bin"/><Relationship Id="rId3" Type="http://schemas.openxmlformats.org/officeDocument/2006/relationships/printerSettings" Target="../printerSettings/printerSettings509.bin"/><Relationship Id="rId21" Type="http://schemas.openxmlformats.org/officeDocument/2006/relationships/printerSettings" Target="../printerSettings/printerSettings527.bin"/><Relationship Id="rId7" Type="http://schemas.openxmlformats.org/officeDocument/2006/relationships/printerSettings" Target="../printerSettings/printerSettings513.bin"/><Relationship Id="rId12" Type="http://schemas.openxmlformats.org/officeDocument/2006/relationships/printerSettings" Target="../printerSettings/printerSettings518.bin"/><Relationship Id="rId17" Type="http://schemas.openxmlformats.org/officeDocument/2006/relationships/printerSettings" Target="../printerSettings/printerSettings523.bin"/><Relationship Id="rId2" Type="http://schemas.openxmlformats.org/officeDocument/2006/relationships/printerSettings" Target="../printerSettings/printerSettings508.bin"/><Relationship Id="rId16" Type="http://schemas.openxmlformats.org/officeDocument/2006/relationships/printerSettings" Target="../printerSettings/printerSettings522.bin"/><Relationship Id="rId20" Type="http://schemas.openxmlformats.org/officeDocument/2006/relationships/printerSettings" Target="../printerSettings/printerSettings526.bin"/><Relationship Id="rId1" Type="http://schemas.openxmlformats.org/officeDocument/2006/relationships/printerSettings" Target="../printerSettings/printerSettings507.bin"/><Relationship Id="rId6" Type="http://schemas.openxmlformats.org/officeDocument/2006/relationships/printerSettings" Target="../printerSettings/printerSettings512.bin"/><Relationship Id="rId11" Type="http://schemas.openxmlformats.org/officeDocument/2006/relationships/printerSettings" Target="../printerSettings/printerSettings517.bin"/><Relationship Id="rId5" Type="http://schemas.openxmlformats.org/officeDocument/2006/relationships/printerSettings" Target="../printerSettings/printerSettings511.bin"/><Relationship Id="rId15" Type="http://schemas.openxmlformats.org/officeDocument/2006/relationships/printerSettings" Target="../printerSettings/printerSettings521.bin"/><Relationship Id="rId23" Type="http://schemas.openxmlformats.org/officeDocument/2006/relationships/printerSettings" Target="../printerSettings/printerSettings529.bin"/><Relationship Id="rId10" Type="http://schemas.openxmlformats.org/officeDocument/2006/relationships/printerSettings" Target="../printerSettings/printerSettings516.bin"/><Relationship Id="rId19" Type="http://schemas.openxmlformats.org/officeDocument/2006/relationships/printerSettings" Target="../printerSettings/printerSettings525.bin"/><Relationship Id="rId4" Type="http://schemas.openxmlformats.org/officeDocument/2006/relationships/printerSettings" Target="../printerSettings/printerSettings510.bin"/><Relationship Id="rId9" Type="http://schemas.openxmlformats.org/officeDocument/2006/relationships/printerSettings" Target="../printerSettings/printerSettings515.bin"/><Relationship Id="rId14" Type="http://schemas.openxmlformats.org/officeDocument/2006/relationships/printerSettings" Target="../printerSettings/printerSettings520.bin"/><Relationship Id="rId22" Type="http://schemas.openxmlformats.org/officeDocument/2006/relationships/printerSettings" Target="../printerSettings/printerSettings528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37.bin"/><Relationship Id="rId13" Type="http://schemas.openxmlformats.org/officeDocument/2006/relationships/printerSettings" Target="../printerSettings/printerSettings542.bin"/><Relationship Id="rId18" Type="http://schemas.openxmlformats.org/officeDocument/2006/relationships/printerSettings" Target="../printerSettings/printerSettings547.bin"/><Relationship Id="rId3" Type="http://schemas.openxmlformats.org/officeDocument/2006/relationships/printerSettings" Target="../printerSettings/printerSettings532.bin"/><Relationship Id="rId21" Type="http://schemas.openxmlformats.org/officeDocument/2006/relationships/printerSettings" Target="../printerSettings/printerSettings550.bin"/><Relationship Id="rId7" Type="http://schemas.openxmlformats.org/officeDocument/2006/relationships/printerSettings" Target="../printerSettings/printerSettings536.bin"/><Relationship Id="rId12" Type="http://schemas.openxmlformats.org/officeDocument/2006/relationships/printerSettings" Target="../printerSettings/printerSettings541.bin"/><Relationship Id="rId17" Type="http://schemas.openxmlformats.org/officeDocument/2006/relationships/printerSettings" Target="../printerSettings/printerSettings546.bin"/><Relationship Id="rId2" Type="http://schemas.openxmlformats.org/officeDocument/2006/relationships/printerSettings" Target="../printerSettings/printerSettings531.bin"/><Relationship Id="rId16" Type="http://schemas.openxmlformats.org/officeDocument/2006/relationships/printerSettings" Target="../printerSettings/printerSettings545.bin"/><Relationship Id="rId20" Type="http://schemas.openxmlformats.org/officeDocument/2006/relationships/printerSettings" Target="../printerSettings/printerSettings549.bin"/><Relationship Id="rId1" Type="http://schemas.openxmlformats.org/officeDocument/2006/relationships/printerSettings" Target="../printerSettings/printerSettings530.bin"/><Relationship Id="rId6" Type="http://schemas.openxmlformats.org/officeDocument/2006/relationships/printerSettings" Target="../printerSettings/printerSettings535.bin"/><Relationship Id="rId11" Type="http://schemas.openxmlformats.org/officeDocument/2006/relationships/printerSettings" Target="../printerSettings/printerSettings540.bin"/><Relationship Id="rId5" Type="http://schemas.openxmlformats.org/officeDocument/2006/relationships/printerSettings" Target="../printerSettings/printerSettings534.bin"/><Relationship Id="rId15" Type="http://schemas.openxmlformats.org/officeDocument/2006/relationships/printerSettings" Target="../printerSettings/printerSettings544.bin"/><Relationship Id="rId23" Type="http://schemas.openxmlformats.org/officeDocument/2006/relationships/printerSettings" Target="../printerSettings/printerSettings552.bin"/><Relationship Id="rId10" Type="http://schemas.openxmlformats.org/officeDocument/2006/relationships/printerSettings" Target="../printerSettings/printerSettings539.bin"/><Relationship Id="rId19" Type="http://schemas.openxmlformats.org/officeDocument/2006/relationships/printerSettings" Target="../printerSettings/printerSettings548.bin"/><Relationship Id="rId4" Type="http://schemas.openxmlformats.org/officeDocument/2006/relationships/printerSettings" Target="../printerSettings/printerSettings533.bin"/><Relationship Id="rId9" Type="http://schemas.openxmlformats.org/officeDocument/2006/relationships/printerSettings" Target="../printerSettings/printerSettings538.bin"/><Relationship Id="rId14" Type="http://schemas.openxmlformats.org/officeDocument/2006/relationships/printerSettings" Target="../printerSettings/printerSettings543.bin"/><Relationship Id="rId22" Type="http://schemas.openxmlformats.org/officeDocument/2006/relationships/printerSettings" Target="../printerSettings/printerSettings551.bin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60.bin"/><Relationship Id="rId13" Type="http://schemas.openxmlformats.org/officeDocument/2006/relationships/printerSettings" Target="../printerSettings/printerSettings565.bin"/><Relationship Id="rId18" Type="http://schemas.openxmlformats.org/officeDocument/2006/relationships/printerSettings" Target="../printerSettings/printerSettings570.bin"/><Relationship Id="rId3" Type="http://schemas.openxmlformats.org/officeDocument/2006/relationships/printerSettings" Target="../printerSettings/printerSettings555.bin"/><Relationship Id="rId21" Type="http://schemas.openxmlformats.org/officeDocument/2006/relationships/printerSettings" Target="../printerSettings/printerSettings573.bin"/><Relationship Id="rId7" Type="http://schemas.openxmlformats.org/officeDocument/2006/relationships/printerSettings" Target="../printerSettings/printerSettings559.bin"/><Relationship Id="rId12" Type="http://schemas.openxmlformats.org/officeDocument/2006/relationships/printerSettings" Target="../printerSettings/printerSettings564.bin"/><Relationship Id="rId17" Type="http://schemas.openxmlformats.org/officeDocument/2006/relationships/printerSettings" Target="../printerSettings/printerSettings569.bin"/><Relationship Id="rId2" Type="http://schemas.openxmlformats.org/officeDocument/2006/relationships/printerSettings" Target="../printerSettings/printerSettings554.bin"/><Relationship Id="rId16" Type="http://schemas.openxmlformats.org/officeDocument/2006/relationships/printerSettings" Target="../printerSettings/printerSettings568.bin"/><Relationship Id="rId20" Type="http://schemas.openxmlformats.org/officeDocument/2006/relationships/printerSettings" Target="../printerSettings/printerSettings572.bin"/><Relationship Id="rId1" Type="http://schemas.openxmlformats.org/officeDocument/2006/relationships/printerSettings" Target="../printerSettings/printerSettings553.bin"/><Relationship Id="rId6" Type="http://schemas.openxmlformats.org/officeDocument/2006/relationships/printerSettings" Target="../printerSettings/printerSettings558.bin"/><Relationship Id="rId11" Type="http://schemas.openxmlformats.org/officeDocument/2006/relationships/printerSettings" Target="../printerSettings/printerSettings563.bin"/><Relationship Id="rId5" Type="http://schemas.openxmlformats.org/officeDocument/2006/relationships/printerSettings" Target="../printerSettings/printerSettings557.bin"/><Relationship Id="rId15" Type="http://schemas.openxmlformats.org/officeDocument/2006/relationships/printerSettings" Target="../printerSettings/printerSettings567.bin"/><Relationship Id="rId23" Type="http://schemas.openxmlformats.org/officeDocument/2006/relationships/printerSettings" Target="../printerSettings/printerSettings575.bin"/><Relationship Id="rId10" Type="http://schemas.openxmlformats.org/officeDocument/2006/relationships/printerSettings" Target="../printerSettings/printerSettings562.bin"/><Relationship Id="rId19" Type="http://schemas.openxmlformats.org/officeDocument/2006/relationships/printerSettings" Target="../printerSettings/printerSettings571.bin"/><Relationship Id="rId4" Type="http://schemas.openxmlformats.org/officeDocument/2006/relationships/printerSettings" Target="../printerSettings/printerSettings556.bin"/><Relationship Id="rId9" Type="http://schemas.openxmlformats.org/officeDocument/2006/relationships/printerSettings" Target="../printerSettings/printerSettings561.bin"/><Relationship Id="rId14" Type="http://schemas.openxmlformats.org/officeDocument/2006/relationships/printerSettings" Target="../printerSettings/printerSettings566.bin"/><Relationship Id="rId22" Type="http://schemas.openxmlformats.org/officeDocument/2006/relationships/printerSettings" Target="../printerSettings/printerSettings574.bin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83.bin"/><Relationship Id="rId13" Type="http://schemas.openxmlformats.org/officeDocument/2006/relationships/printerSettings" Target="../printerSettings/printerSettings588.bin"/><Relationship Id="rId18" Type="http://schemas.openxmlformats.org/officeDocument/2006/relationships/printerSettings" Target="../printerSettings/printerSettings593.bin"/><Relationship Id="rId3" Type="http://schemas.openxmlformats.org/officeDocument/2006/relationships/printerSettings" Target="../printerSettings/printerSettings578.bin"/><Relationship Id="rId21" Type="http://schemas.openxmlformats.org/officeDocument/2006/relationships/printerSettings" Target="../printerSettings/printerSettings596.bin"/><Relationship Id="rId7" Type="http://schemas.openxmlformats.org/officeDocument/2006/relationships/printerSettings" Target="../printerSettings/printerSettings582.bin"/><Relationship Id="rId12" Type="http://schemas.openxmlformats.org/officeDocument/2006/relationships/printerSettings" Target="../printerSettings/printerSettings587.bin"/><Relationship Id="rId17" Type="http://schemas.openxmlformats.org/officeDocument/2006/relationships/printerSettings" Target="../printerSettings/printerSettings592.bin"/><Relationship Id="rId2" Type="http://schemas.openxmlformats.org/officeDocument/2006/relationships/printerSettings" Target="../printerSettings/printerSettings577.bin"/><Relationship Id="rId16" Type="http://schemas.openxmlformats.org/officeDocument/2006/relationships/printerSettings" Target="../printerSettings/printerSettings591.bin"/><Relationship Id="rId20" Type="http://schemas.openxmlformats.org/officeDocument/2006/relationships/printerSettings" Target="../printerSettings/printerSettings595.bin"/><Relationship Id="rId1" Type="http://schemas.openxmlformats.org/officeDocument/2006/relationships/printerSettings" Target="../printerSettings/printerSettings576.bin"/><Relationship Id="rId6" Type="http://schemas.openxmlformats.org/officeDocument/2006/relationships/printerSettings" Target="../printerSettings/printerSettings581.bin"/><Relationship Id="rId11" Type="http://schemas.openxmlformats.org/officeDocument/2006/relationships/printerSettings" Target="../printerSettings/printerSettings586.bin"/><Relationship Id="rId5" Type="http://schemas.openxmlformats.org/officeDocument/2006/relationships/printerSettings" Target="../printerSettings/printerSettings580.bin"/><Relationship Id="rId15" Type="http://schemas.openxmlformats.org/officeDocument/2006/relationships/printerSettings" Target="../printerSettings/printerSettings590.bin"/><Relationship Id="rId23" Type="http://schemas.openxmlformats.org/officeDocument/2006/relationships/printerSettings" Target="../printerSettings/printerSettings598.bin"/><Relationship Id="rId10" Type="http://schemas.openxmlformats.org/officeDocument/2006/relationships/printerSettings" Target="../printerSettings/printerSettings585.bin"/><Relationship Id="rId19" Type="http://schemas.openxmlformats.org/officeDocument/2006/relationships/printerSettings" Target="../printerSettings/printerSettings594.bin"/><Relationship Id="rId4" Type="http://schemas.openxmlformats.org/officeDocument/2006/relationships/printerSettings" Target="../printerSettings/printerSettings579.bin"/><Relationship Id="rId9" Type="http://schemas.openxmlformats.org/officeDocument/2006/relationships/printerSettings" Target="../printerSettings/printerSettings584.bin"/><Relationship Id="rId14" Type="http://schemas.openxmlformats.org/officeDocument/2006/relationships/printerSettings" Target="../printerSettings/printerSettings589.bin"/><Relationship Id="rId22" Type="http://schemas.openxmlformats.org/officeDocument/2006/relationships/printerSettings" Target="../printerSettings/printerSettings597.bin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06.bin"/><Relationship Id="rId13" Type="http://schemas.openxmlformats.org/officeDocument/2006/relationships/printerSettings" Target="../printerSettings/printerSettings611.bin"/><Relationship Id="rId18" Type="http://schemas.openxmlformats.org/officeDocument/2006/relationships/printerSettings" Target="../printerSettings/printerSettings616.bin"/><Relationship Id="rId3" Type="http://schemas.openxmlformats.org/officeDocument/2006/relationships/printerSettings" Target="../printerSettings/printerSettings601.bin"/><Relationship Id="rId21" Type="http://schemas.openxmlformats.org/officeDocument/2006/relationships/printerSettings" Target="../printerSettings/printerSettings619.bin"/><Relationship Id="rId7" Type="http://schemas.openxmlformats.org/officeDocument/2006/relationships/printerSettings" Target="../printerSettings/printerSettings605.bin"/><Relationship Id="rId12" Type="http://schemas.openxmlformats.org/officeDocument/2006/relationships/printerSettings" Target="../printerSettings/printerSettings610.bin"/><Relationship Id="rId17" Type="http://schemas.openxmlformats.org/officeDocument/2006/relationships/printerSettings" Target="../printerSettings/printerSettings615.bin"/><Relationship Id="rId2" Type="http://schemas.openxmlformats.org/officeDocument/2006/relationships/printerSettings" Target="../printerSettings/printerSettings600.bin"/><Relationship Id="rId16" Type="http://schemas.openxmlformats.org/officeDocument/2006/relationships/printerSettings" Target="../printerSettings/printerSettings614.bin"/><Relationship Id="rId20" Type="http://schemas.openxmlformats.org/officeDocument/2006/relationships/printerSettings" Target="../printerSettings/printerSettings618.bin"/><Relationship Id="rId1" Type="http://schemas.openxmlformats.org/officeDocument/2006/relationships/printerSettings" Target="../printerSettings/printerSettings599.bin"/><Relationship Id="rId6" Type="http://schemas.openxmlformats.org/officeDocument/2006/relationships/printerSettings" Target="../printerSettings/printerSettings604.bin"/><Relationship Id="rId11" Type="http://schemas.openxmlformats.org/officeDocument/2006/relationships/printerSettings" Target="../printerSettings/printerSettings609.bin"/><Relationship Id="rId5" Type="http://schemas.openxmlformats.org/officeDocument/2006/relationships/printerSettings" Target="../printerSettings/printerSettings603.bin"/><Relationship Id="rId15" Type="http://schemas.openxmlformats.org/officeDocument/2006/relationships/printerSettings" Target="../printerSettings/printerSettings613.bin"/><Relationship Id="rId23" Type="http://schemas.openxmlformats.org/officeDocument/2006/relationships/printerSettings" Target="../printerSettings/printerSettings621.bin"/><Relationship Id="rId10" Type="http://schemas.openxmlformats.org/officeDocument/2006/relationships/printerSettings" Target="../printerSettings/printerSettings608.bin"/><Relationship Id="rId19" Type="http://schemas.openxmlformats.org/officeDocument/2006/relationships/printerSettings" Target="../printerSettings/printerSettings617.bin"/><Relationship Id="rId4" Type="http://schemas.openxmlformats.org/officeDocument/2006/relationships/printerSettings" Target="../printerSettings/printerSettings602.bin"/><Relationship Id="rId9" Type="http://schemas.openxmlformats.org/officeDocument/2006/relationships/printerSettings" Target="../printerSettings/printerSettings607.bin"/><Relationship Id="rId14" Type="http://schemas.openxmlformats.org/officeDocument/2006/relationships/printerSettings" Target="../printerSettings/printerSettings612.bin"/><Relationship Id="rId22" Type="http://schemas.openxmlformats.org/officeDocument/2006/relationships/printerSettings" Target="../printerSettings/printerSettings620.bin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29.bin"/><Relationship Id="rId13" Type="http://schemas.openxmlformats.org/officeDocument/2006/relationships/printerSettings" Target="../printerSettings/printerSettings634.bin"/><Relationship Id="rId18" Type="http://schemas.openxmlformats.org/officeDocument/2006/relationships/printerSettings" Target="../printerSettings/printerSettings639.bin"/><Relationship Id="rId3" Type="http://schemas.openxmlformats.org/officeDocument/2006/relationships/printerSettings" Target="../printerSettings/printerSettings624.bin"/><Relationship Id="rId21" Type="http://schemas.openxmlformats.org/officeDocument/2006/relationships/printerSettings" Target="../printerSettings/printerSettings642.bin"/><Relationship Id="rId7" Type="http://schemas.openxmlformats.org/officeDocument/2006/relationships/printerSettings" Target="../printerSettings/printerSettings628.bin"/><Relationship Id="rId12" Type="http://schemas.openxmlformats.org/officeDocument/2006/relationships/printerSettings" Target="../printerSettings/printerSettings633.bin"/><Relationship Id="rId17" Type="http://schemas.openxmlformats.org/officeDocument/2006/relationships/printerSettings" Target="../printerSettings/printerSettings638.bin"/><Relationship Id="rId2" Type="http://schemas.openxmlformats.org/officeDocument/2006/relationships/printerSettings" Target="../printerSettings/printerSettings623.bin"/><Relationship Id="rId16" Type="http://schemas.openxmlformats.org/officeDocument/2006/relationships/printerSettings" Target="../printerSettings/printerSettings637.bin"/><Relationship Id="rId20" Type="http://schemas.openxmlformats.org/officeDocument/2006/relationships/printerSettings" Target="../printerSettings/printerSettings641.bin"/><Relationship Id="rId1" Type="http://schemas.openxmlformats.org/officeDocument/2006/relationships/printerSettings" Target="../printerSettings/printerSettings622.bin"/><Relationship Id="rId6" Type="http://schemas.openxmlformats.org/officeDocument/2006/relationships/printerSettings" Target="../printerSettings/printerSettings627.bin"/><Relationship Id="rId11" Type="http://schemas.openxmlformats.org/officeDocument/2006/relationships/printerSettings" Target="../printerSettings/printerSettings632.bin"/><Relationship Id="rId5" Type="http://schemas.openxmlformats.org/officeDocument/2006/relationships/printerSettings" Target="../printerSettings/printerSettings626.bin"/><Relationship Id="rId15" Type="http://schemas.openxmlformats.org/officeDocument/2006/relationships/printerSettings" Target="../printerSettings/printerSettings636.bin"/><Relationship Id="rId23" Type="http://schemas.openxmlformats.org/officeDocument/2006/relationships/printerSettings" Target="../printerSettings/printerSettings644.bin"/><Relationship Id="rId10" Type="http://schemas.openxmlformats.org/officeDocument/2006/relationships/printerSettings" Target="../printerSettings/printerSettings631.bin"/><Relationship Id="rId19" Type="http://schemas.openxmlformats.org/officeDocument/2006/relationships/printerSettings" Target="../printerSettings/printerSettings640.bin"/><Relationship Id="rId4" Type="http://schemas.openxmlformats.org/officeDocument/2006/relationships/printerSettings" Target="../printerSettings/printerSettings625.bin"/><Relationship Id="rId9" Type="http://schemas.openxmlformats.org/officeDocument/2006/relationships/printerSettings" Target="../printerSettings/printerSettings630.bin"/><Relationship Id="rId14" Type="http://schemas.openxmlformats.org/officeDocument/2006/relationships/printerSettings" Target="../printerSettings/printerSettings635.bin"/><Relationship Id="rId22" Type="http://schemas.openxmlformats.org/officeDocument/2006/relationships/printerSettings" Target="../printerSettings/printerSettings643.bin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52.bin"/><Relationship Id="rId13" Type="http://schemas.openxmlformats.org/officeDocument/2006/relationships/printerSettings" Target="../printerSettings/printerSettings657.bin"/><Relationship Id="rId18" Type="http://schemas.openxmlformats.org/officeDocument/2006/relationships/printerSettings" Target="../printerSettings/printerSettings662.bin"/><Relationship Id="rId3" Type="http://schemas.openxmlformats.org/officeDocument/2006/relationships/printerSettings" Target="../printerSettings/printerSettings647.bin"/><Relationship Id="rId21" Type="http://schemas.openxmlformats.org/officeDocument/2006/relationships/printerSettings" Target="../printerSettings/printerSettings665.bin"/><Relationship Id="rId7" Type="http://schemas.openxmlformats.org/officeDocument/2006/relationships/printerSettings" Target="../printerSettings/printerSettings651.bin"/><Relationship Id="rId12" Type="http://schemas.openxmlformats.org/officeDocument/2006/relationships/printerSettings" Target="../printerSettings/printerSettings656.bin"/><Relationship Id="rId17" Type="http://schemas.openxmlformats.org/officeDocument/2006/relationships/printerSettings" Target="../printerSettings/printerSettings661.bin"/><Relationship Id="rId2" Type="http://schemas.openxmlformats.org/officeDocument/2006/relationships/printerSettings" Target="../printerSettings/printerSettings646.bin"/><Relationship Id="rId16" Type="http://schemas.openxmlformats.org/officeDocument/2006/relationships/printerSettings" Target="../printerSettings/printerSettings660.bin"/><Relationship Id="rId20" Type="http://schemas.openxmlformats.org/officeDocument/2006/relationships/printerSettings" Target="../printerSettings/printerSettings664.bin"/><Relationship Id="rId1" Type="http://schemas.openxmlformats.org/officeDocument/2006/relationships/printerSettings" Target="../printerSettings/printerSettings645.bin"/><Relationship Id="rId6" Type="http://schemas.openxmlformats.org/officeDocument/2006/relationships/printerSettings" Target="../printerSettings/printerSettings650.bin"/><Relationship Id="rId11" Type="http://schemas.openxmlformats.org/officeDocument/2006/relationships/printerSettings" Target="../printerSettings/printerSettings655.bin"/><Relationship Id="rId5" Type="http://schemas.openxmlformats.org/officeDocument/2006/relationships/printerSettings" Target="../printerSettings/printerSettings649.bin"/><Relationship Id="rId15" Type="http://schemas.openxmlformats.org/officeDocument/2006/relationships/printerSettings" Target="../printerSettings/printerSettings659.bin"/><Relationship Id="rId23" Type="http://schemas.openxmlformats.org/officeDocument/2006/relationships/printerSettings" Target="../printerSettings/printerSettings667.bin"/><Relationship Id="rId10" Type="http://schemas.openxmlformats.org/officeDocument/2006/relationships/printerSettings" Target="../printerSettings/printerSettings654.bin"/><Relationship Id="rId19" Type="http://schemas.openxmlformats.org/officeDocument/2006/relationships/printerSettings" Target="../printerSettings/printerSettings663.bin"/><Relationship Id="rId4" Type="http://schemas.openxmlformats.org/officeDocument/2006/relationships/printerSettings" Target="../printerSettings/printerSettings648.bin"/><Relationship Id="rId9" Type="http://schemas.openxmlformats.org/officeDocument/2006/relationships/printerSettings" Target="../printerSettings/printerSettings653.bin"/><Relationship Id="rId14" Type="http://schemas.openxmlformats.org/officeDocument/2006/relationships/printerSettings" Target="../printerSettings/printerSettings658.bin"/><Relationship Id="rId22" Type="http://schemas.openxmlformats.org/officeDocument/2006/relationships/printerSettings" Target="../printerSettings/printerSettings66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workbookViewId="0">
      <selection activeCell="B50" sqref="B50:F50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v>46082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3" t="s">
        <v>22</v>
      </c>
      <c r="B4" s="64"/>
      <c r="C4" s="64"/>
      <c r="D4" s="65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/>
      <c r="F5" s="9"/>
      <c r="G5" s="9"/>
      <c r="H5" s="9"/>
      <c r="I5" s="9"/>
      <c r="J5" s="9"/>
    </row>
    <row r="6" spans="1:12" ht="14.45" x14ac:dyDescent="0.3">
      <c r="A6" s="69"/>
      <c r="B6" s="70"/>
      <c r="C6" s="70"/>
      <c r="D6" s="71"/>
      <c r="E6" s="11"/>
      <c r="F6" s="9"/>
      <c r="G6" s="9"/>
      <c r="H6" s="9"/>
      <c r="I6" s="9"/>
      <c r="J6" s="9"/>
    </row>
    <row r="7" spans="1:12" ht="14.45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4.45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3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>
      <selection activeCell="E14" sqref="E14"/>
      <pageMargins left="0.7" right="0.7" top="0.75" bottom="0.75" header="0.3" footer="0.3"/>
      <pageSetup paperSize="9" orientation="portrait" r:id="rId2"/>
    </customSheetView>
    <customSheetView guid="{FA3A1891-F2A6-4F77-B7A7-31E16BA7D8D7}" showGridLines="0">
      <selection activeCell="E14" sqref="E14"/>
      <pageMargins left="0.7" right="0.7" top="0.75" bottom="0.75" header="0.3" footer="0.3"/>
      <pageSetup paperSize="9" orientation="portrait" r:id="rId3"/>
    </customSheetView>
    <customSheetView guid="{EC8093C0-B7E2-4217-8482-B79AFD6E926F}" showGridLines="0">
      <selection activeCell="E14" sqref="E14"/>
      <pageMargins left="0.7" right="0.7" top="0.75" bottom="0.75" header="0.3" footer="0.3"/>
      <pageSetup paperSize="9" orientation="portrait" r:id="rId4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5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B2CE1E24-888C-49F4-9769-3C51A085775C}" showGridLines="0">
      <selection activeCell="E14" sqref="E14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9"/>
    </customSheetView>
    <customSheetView guid="{93136F3E-7733-498C-9224-BF45385180C3}" showGridLines="0">
      <selection activeCell="E14" sqref="E14"/>
      <pageMargins left="0.7" right="0.7" top="0.75" bottom="0.75" header="0.3" footer="0.3"/>
      <pageSetup paperSize="9" orientation="portrait" r:id="rId10"/>
    </customSheetView>
    <customSheetView guid="{0B5B4FAE-B353-4A05-99F6-BD7D6C7696CA}" showGridLines="0">
      <selection activeCell="E14" sqref="E14"/>
      <pageMargins left="0.7" right="0.7" top="0.75" bottom="0.75" header="0.3" footer="0.3"/>
      <pageSetup paperSize="9" orientation="portrait" r:id="rId11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2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3"/>
    </customSheetView>
    <customSheetView guid="{426687FD-750A-4CE4-9CD7-456268DEAEB9}" showGridLines="0">
      <selection activeCell="E14" sqref="E14"/>
      <pageMargins left="0.7" right="0.7" top="0.75" bottom="0.75" header="0.3" footer="0.3"/>
      <pageSetup paperSize="9" orientation="portrait" r:id="rId14"/>
    </customSheetView>
    <customSheetView guid="{142AC03A-22E3-4231-8209-D1E90D0B392F}" showGridLines="0">
      <selection activeCell="E14" sqref="E14"/>
      <pageMargins left="0.7" right="0.7" top="0.75" bottom="0.75" header="0.3" footer="0.3"/>
      <pageSetup paperSize="9" orientation="portrait" r:id="rId15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4BC8836F-67FA-4ADD-8BF2-2849727F82ED}" showGridLines="0">
      <selection activeCell="E14" sqref="E14"/>
      <pageMargins left="0.7" right="0.7" top="0.75" bottom="0.75" header="0.3" footer="0.3"/>
      <pageSetup paperSize="9" orientation="portrait" r:id="rId18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19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20"/>
    </customSheetView>
    <customSheetView guid="{3784030C-584B-439C-8C22-F35D4C0C2F20}" showGridLines="0">
      <selection activeCell="E14" sqref="E14"/>
      <pageMargins left="0.7" right="0.7" top="0.75" bottom="0.75" header="0.3" footer="0.3"/>
      <pageSetup paperSize="9" orientation="portrait" r:id="rId21"/>
    </customSheetView>
    <customSheetView guid="{BE95F399-F8F3-4CBB-A91F-605EF249A9B6}" showGridLines="0">
      <selection activeCell="E14" sqref="E14"/>
      <pageMargins left="0.7" right="0.7" top="0.75" bottom="0.75" header="0.3" footer="0.3"/>
      <pageSetup paperSize="9" orientation="portrait" r:id="rId22"/>
    </customSheetView>
  </customSheetViews>
  <mergeCells count="9">
    <mergeCell ref="A9:D9"/>
    <mergeCell ref="A82:D82"/>
    <mergeCell ref="A83:D83"/>
    <mergeCell ref="E1:F1"/>
    <mergeCell ref="A4:D4"/>
    <mergeCell ref="A5:D5"/>
    <mergeCell ref="A6:D6"/>
    <mergeCell ref="A7:D7"/>
    <mergeCell ref="A8:D8"/>
  </mergeCells>
  <dataValidations disablePrompts="1"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С2+1</f>
        <v>46083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3" t="str">
        <f>АЛЬТЕРНА</f>
        <v>АО Метком Индустрия</v>
      </c>
      <c r="B4" s="64"/>
      <c r="C4" s="64"/>
      <c r="D4" s="65"/>
      <c r="E4" s="8">
        <f>SUM(E5:E9)</f>
        <v>261162.43</v>
      </c>
      <c r="F4" s="52" t="s">
        <v>31</v>
      </c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>
        <v>261162.43</v>
      </c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261162.43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 topLeftCell="A46">
      <selection activeCell="E18" sqref="E18"/>
      <pageMargins left="0.7" right="0.7" top="0.75" bottom="0.75" header="0.3" footer="0.3"/>
      <pageSetup paperSize="9" orientation="portrait" r:id="rId2"/>
    </customSheetView>
    <customSheetView guid="{FA3A1891-F2A6-4F77-B7A7-31E16BA7D8D7}" showGridLines="0" topLeftCell="A46">
      <selection activeCell="E18" sqref="E18"/>
      <pageMargins left="0.7" right="0.7" top="0.75" bottom="0.75" header="0.3" footer="0.3"/>
      <pageSetup paperSize="9" orientation="portrait" r:id="rId3"/>
    </customSheetView>
    <customSheetView guid="{EC8093C0-B7E2-4217-8482-B79AFD6E926F}" showGridLines="0" topLeftCell="A46">
      <selection activeCell="E18" sqref="E18"/>
      <pageMargins left="0.7" right="0.7" top="0.75" bottom="0.75" header="0.3" footer="0.3"/>
      <pageSetup paperSize="9" orientation="portrait" r:id="rId4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5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B2CE1E24-888C-49F4-9769-3C51A085775C}" showGridLines="0" topLeftCell="A46">
      <selection activeCell="E18" sqref="E18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9"/>
    </customSheetView>
    <customSheetView guid="{93136F3E-7733-498C-9224-BF45385180C3}" showGridLines="0" topLeftCell="A46">
      <selection activeCell="E18" sqref="E18"/>
      <pageMargins left="0.7" right="0.7" top="0.75" bottom="0.75" header="0.3" footer="0.3"/>
      <pageSetup paperSize="9" orientation="portrait" r:id="rId10"/>
    </customSheetView>
    <customSheetView guid="{0B5B4FAE-B353-4A05-99F6-BD7D6C7696CA}" showGridLines="0" topLeftCell="A46">
      <selection activeCell="E18" sqref="E18"/>
      <pageMargins left="0.7" right="0.7" top="0.75" bottom="0.75" header="0.3" footer="0.3"/>
      <pageSetup paperSize="9" orientation="portrait" r:id="rId11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2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3"/>
    </customSheetView>
    <customSheetView guid="{426687FD-750A-4CE4-9CD7-456268DEAEB9}" showGridLines="0" topLeftCell="A46">
      <selection activeCell="E18" sqref="E18"/>
      <pageMargins left="0.7" right="0.7" top="0.75" bottom="0.75" header="0.3" footer="0.3"/>
      <pageSetup paperSize="9" orientation="portrait" r:id="rId14"/>
    </customSheetView>
    <customSheetView guid="{142AC03A-22E3-4231-8209-D1E90D0B392F}" showGridLines="0" topLeftCell="A46">
      <selection activeCell="E18" sqref="E18"/>
      <pageMargins left="0.7" right="0.7" top="0.75" bottom="0.75" header="0.3" footer="0.3"/>
      <pageSetup paperSize="9" orientation="portrait" r:id="rId15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4BC8836F-67FA-4ADD-8BF2-2849727F82ED}" showGridLines="0" topLeftCell="A46">
      <selection activeCell="E18" sqref="E18"/>
      <pageMargins left="0.7" right="0.7" top="0.75" bottom="0.75" header="0.3" footer="0.3"/>
      <pageSetup paperSize="9" orientation="portrait" r:id="rId18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19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20"/>
    </customSheetView>
    <customSheetView guid="{3784030C-584B-439C-8C22-F35D4C0C2F20}" showGridLines="0" topLeftCell="A46">
      <selection activeCell="E18" sqref="E18"/>
      <pageMargins left="0.7" right="0.7" top="0.75" bottom="0.75" header="0.3" footer="0.3"/>
      <pageSetup paperSize="9" orientation="portrait" r:id="rId21"/>
    </customSheetView>
    <customSheetView guid="{BE95F399-F8F3-4CBB-A91F-605EF249A9B6}" showGridLines="0" topLeftCell="A46">
      <selection activeCell="E18" sqref="E18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'02'!C2+1</f>
        <v>46084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3" t="str">
        <f>АЛЬТЕРНА</f>
        <v>АО Метком Индустрия</v>
      </c>
      <c r="B4" s="64"/>
      <c r="C4" s="64"/>
      <c r="D4" s="65"/>
      <c r="E4" s="8">
        <f>SUM(E5:E9)</f>
        <v>261162.43</v>
      </c>
      <c r="F4" s="52" t="s">
        <v>31</v>
      </c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>
        <v>261162.43</v>
      </c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261162.43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 topLeftCell="A61">
      <selection activeCell="F81" sqref="F81:F82"/>
      <pageMargins left="0.7" right="0.7" top="0.75" bottom="0.75" header="0.3" footer="0.3"/>
      <pageSetup paperSize="9" orientation="portrait" r:id="rId2"/>
    </customSheetView>
    <customSheetView guid="{FA3A1891-F2A6-4F77-B7A7-31E16BA7D8D7}" showGridLines="0" topLeftCell="A61">
      <selection activeCell="F81" sqref="F81:F82"/>
      <pageMargins left="0.7" right="0.7" top="0.75" bottom="0.75" header="0.3" footer="0.3"/>
      <pageSetup paperSize="9" orientation="portrait" r:id="rId3"/>
    </customSheetView>
    <customSheetView guid="{EC8093C0-B7E2-4217-8482-B79AFD6E926F}" showGridLines="0" topLeftCell="A61">
      <selection activeCell="F81" sqref="F81:F82"/>
      <pageMargins left="0.7" right="0.7" top="0.75" bottom="0.75" header="0.3" footer="0.3"/>
      <pageSetup paperSize="9" orientation="portrait" r:id="rId4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5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B2CE1E24-888C-49F4-9769-3C51A085775C}" showGridLines="0" topLeftCell="A61">
      <selection activeCell="F81" sqref="F81:F82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9"/>
    </customSheetView>
    <customSheetView guid="{93136F3E-7733-498C-9224-BF45385180C3}" showGridLines="0" topLeftCell="A61">
      <selection activeCell="F81" sqref="F81:F82"/>
      <pageMargins left="0.7" right="0.7" top="0.75" bottom="0.75" header="0.3" footer="0.3"/>
      <pageSetup paperSize="9" orientation="portrait" r:id="rId10"/>
    </customSheetView>
    <customSheetView guid="{0B5B4FAE-B353-4A05-99F6-BD7D6C7696CA}" showGridLines="0" topLeftCell="A61">
      <selection activeCell="F81" sqref="F81:F82"/>
      <pageMargins left="0.7" right="0.7" top="0.75" bottom="0.75" header="0.3" footer="0.3"/>
      <pageSetup paperSize="9" orientation="portrait" r:id="rId11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2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3"/>
    </customSheetView>
    <customSheetView guid="{426687FD-750A-4CE4-9CD7-456268DEAEB9}" showGridLines="0" topLeftCell="A61">
      <selection activeCell="F81" sqref="F81:F82"/>
      <pageMargins left="0.7" right="0.7" top="0.75" bottom="0.75" header="0.3" footer="0.3"/>
      <pageSetup paperSize="9" orientation="portrait" r:id="rId14"/>
    </customSheetView>
    <customSheetView guid="{142AC03A-22E3-4231-8209-D1E90D0B392F}" showGridLines="0" topLeftCell="A61">
      <selection activeCell="F81" sqref="F81:F82"/>
      <pageMargins left="0.7" right="0.7" top="0.75" bottom="0.75" header="0.3" footer="0.3"/>
      <pageSetup paperSize="9" orientation="portrait" r:id="rId15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4BC8836F-67FA-4ADD-8BF2-2849727F82ED}" showGridLines="0" topLeftCell="A61">
      <selection activeCell="F81" sqref="F81:F82"/>
      <pageMargins left="0.7" right="0.7" top="0.75" bottom="0.75" header="0.3" footer="0.3"/>
      <pageSetup paperSize="9" orientation="portrait" r:id="rId18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19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20"/>
    </customSheetView>
    <customSheetView guid="{3784030C-584B-439C-8C22-F35D4C0C2F20}" showGridLines="0" topLeftCell="A61">
      <selection activeCell="F81" sqref="F81:F82"/>
      <pageMargins left="0.7" right="0.7" top="0.75" bottom="0.75" header="0.3" footer="0.3"/>
      <pageSetup paperSize="9" orientation="portrait" r:id="rId21"/>
    </customSheetView>
    <customSheetView guid="{BE95F399-F8F3-4CBB-A91F-605EF249A9B6}" showGridLines="0" topLeftCell="A61">
      <selection activeCell="F81" sqref="F81:F82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'03'!C2+1</f>
        <v>46085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3" t="str">
        <f>АЛЬТЕРНА</f>
        <v>АО Метком Индустрия</v>
      </c>
      <c r="B4" s="64"/>
      <c r="C4" s="64"/>
      <c r="D4" s="65"/>
      <c r="E4" s="8">
        <f>SUM(E5:E9)</f>
        <v>261162.43</v>
      </c>
      <c r="F4" s="52" t="s">
        <v>31</v>
      </c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>
        <v>261162.43</v>
      </c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261162.43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 topLeftCell="A52">
      <selection activeCell="F90" sqref="F90"/>
      <pageMargins left="0.7" right="0.7" top="0.75" bottom="0.75" header="0.3" footer="0.3"/>
      <pageSetup paperSize="9" orientation="portrait" r:id="rId2"/>
    </customSheetView>
    <customSheetView guid="{FA3A1891-F2A6-4F77-B7A7-31E16BA7D8D7}" showGridLines="0" topLeftCell="A52">
      <selection activeCell="F90" sqref="F90"/>
      <pageMargins left="0.7" right="0.7" top="0.75" bottom="0.75" header="0.3" footer="0.3"/>
      <pageSetup paperSize="9" orientation="portrait" r:id="rId3"/>
    </customSheetView>
    <customSheetView guid="{EC8093C0-B7E2-4217-8482-B79AFD6E926F}" showGridLines="0" topLeftCell="A52">
      <selection activeCell="F90" sqref="F90"/>
      <pageMargins left="0.7" right="0.7" top="0.75" bottom="0.75" header="0.3" footer="0.3"/>
      <pageSetup paperSize="9" orientation="portrait" r:id="rId4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5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B2CE1E24-888C-49F4-9769-3C51A085775C}" showGridLines="0" topLeftCell="A52">
      <selection activeCell="F90" sqref="F90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9"/>
    </customSheetView>
    <customSheetView guid="{93136F3E-7733-498C-9224-BF45385180C3}" showGridLines="0" topLeftCell="A52">
      <selection activeCell="F90" sqref="F90"/>
      <pageMargins left="0.7" right="0.7" top="0.75" bottom="0.75" header="0.3" footer="0.3"/>
      <pageSetup paperSize="9" orientation="portrait" r:id="rId10"/>
    </customSheetView>
    <customSheetView guid="{0B5B4FAE-B353-4A05-99F6-BD7D6C7696CA}" showGridLines="0" topLeftCell="A52">
      <selection activeCell="F90" sqref="F90"/>
      <pageMargins left="0.7" right="0.7" top="0.75" bottom="0.75" header="0.3" footer="0.3"/>
      <pageSetup paperSize="9" orientation="portrait" r:id="rId11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2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3"/>
    </customSheetView>
    <customSheetView guid="{426687FD-750A-4CE4-9CD7-456268DEAEB9}" showGridLines="0" topLeftCell="A52">
      <selection activeCell="F90" sqref="F90"/>
      <pageMargins left="0.7" right="0.7" top="0.75" bottom="0.75" header="0.3" footer="0.3"/>
      <pageSetup paperSize="9" orientation="portrait" r:id="rId14"/>
    </customSheetView>
    <customSheetView guid="{142AC03A-22E3-4231-8209-D1E90D0B392F}" showGridLines="0" topLeftCell="A52">
      <selection activeCell="F90" sqref="F90"/>
      <pageMargins left="0.7" right="0.7" top="0.75" bottom="0.75" header="0.3" footer="0.3"/>
      <pageSetup paperSize="9" orientation="portrait" r:id="rId15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4BC8836F-67FA-4ADD-8BF2-2849727F82ED}" showGridLines="0" topLeftCell="A52">
      <selection activeCell="F90" sqref="F90"/>
      <pageMargins left="0.7" right="0.7" top="0.75" bottom="0.75" header="0.3" footer="0.3"/>
      <pageSetup paperSize="9" orientation="portrait" r:id="rId18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19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20"/>
    </customSheetView>
    <customSheetView guid="{3784030C-584B-439C-8C22-F35D4C0C2F20}" showGridLines="0" topLeftCell="A52">
      <selection activeCell="F90" sqref="F90"/>
      <pageMargins left="0.7" right="0.7" top="0.75" bottom="0.75" header="0.3" footer="0.3"/>
      <pageSetup paperSize="9" orientation="portrait" r:id="rId21"/>
    </customSheetView>
    <customSheetView guid="{BE95F399-F8F3-4CBB-A91F-605EF249A9B6}" showGridLines="0" topLeftCell="A52">
      <selection activeCell="F90" sqref="F90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'04'!C2+1</f>
        <v>46086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3" t="str">
        <f>АЛЬТЕРНА</f>
        <v>АО Метком Индустрия</v>
      </c>
      <c r="B4" s="64"/>
      <c r="C4" s="64"/>
      <c r="D4" s="65"/>
      <c r="E4" s="8">
        <f>SUM(E5:E9)</f>
        <v>261162.43</v>
      </c>
      <c r="F4" s="52" t="s">
        <v>31</v>
      </c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>
        <v>261162.43</v>
      </c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261162.43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 topLeftCell="A52">
      <selection activeCell="F77" sqref="F77"/>
      <pageMargins left="0.7" right="0.7" top="0.75" bottom="0.75" header="0.3" footer="0.3"/>
      <pageSetup paperSize="9" orientation="portrait" r:id="rId2"/>
    </customSheetView>
    <customSheetView guid="{FA3A1891-F2A6-4F77-B7A7-31E16BA7D8D7}" showGridLines="0" topLeftCell="A52">
      <selection activeCell="F77" sqref="F77"/>
      <pageMargins left="0.7" right="0.7" top="0.75" bottom="0.75" header="0.3" footer="0.3"/>
      <pageSetup paperSize="9" orientation="portrait" r:id="rId3"/>
    </customSheetView>
    <customSheetView guid="{EC8093C0-B7E2-4217-8482-B79AFD6E926F}" showGridLines="0" topLeftCell="A52">
      <selection activeCell="F77" sqref="F77"/>
      <pageMargins left="0.7" right="0.7" top="0.75" bottom="0.75" header="0.3" footer="0.3"/>
      <pageSetup paperSize="9" orientation="portrait" r:id="rId4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5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B2CE1E24-888C-49F4-9769-3C51A085775C}" showGridLines="0" topLeftCell="A52">
      <selection activeCell="F77" sqref="F77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9"/>
    </customSheetView>
    <customSheetView guid="{93136F3E-7733-498C-9224-BF45385180C3}" showGridLines="0" topLeftCell="A52">
      <selection activeCell="F77" sqref="F77"/>
      <pageMargins left="0.7" right="0.7" top="0.75" bottom="0.75" header="0.3" footer="0.3"/>
      <pageSetup paperSize="9" orientation="portrait" r:id="rId10"/>
    </customSheetView>
    <customSheetView guid="{0B5B4FAE-B353-4A05-99F6-BD7D6C7696CA}" showGridLines="0" topLeftCell="A52">
      <selection activeCell="F77" sqref="F77"/>
      <pageMargins left="0.7" right="0.7" top="0.75" bottom="0.75" header="0.3" footer="0.3"/>
      <pageSetup paperSize="9" orientation="portrait" r:id="rId11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2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3"/>
    </customSheetView>
    <customSheetView guid="{426687FD-750A-4CE4-9CD7-456268DEAEB9}" showGridLines="0" topLeftCell="A52">
      <selection activeCell="F77" sqref="F77"/>
      <pageMargins left="0.7" right="0.7" top="0.75" bottom="0.75" header="0.3" footer="0.3"/>
      <pageSetup paperSize="9" orientation="portrait" r:id="rId14"/>
    </customSheetView>
    <customSheetView guid="{142AC03A-22E3-4231-8209-D1E90D0B392F}" showGridLines="0" topLeftCell="A52">
      <selection activeCell="F77" sqref="F77"/>
      <pageMargins left="0.7" right="0.7" top="0.75" bottom="0.75" header="0.3" footer="0.3"/>
      <pageSetup paperSize="9" orientation="portrait" r:id="rId15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4BC8836F-67FA-4ADD-8BF2-2849727F82ED}" showGridLines="0" topLeftCell="A52">
      <selection activeCell="F77" sqref="F77"/>
      <pageMargins left="0.7" right="0.7" top="0.75" bottom="0.75" header="0.3" footer="0.3"/>
      <pageSetup paperSize="9" orientation="portrait" r:id="rId18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19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20"/>
    </customSheetView>
    <customSheetView guid="{3784030C-584B-439C-8C22-F35D4C0C2F20}" showGridLines="0" topLeftCell="A52">
      <selection activeCell="F77" sqref="F77"/>
      <pageMargins left="0.7" right="0.7" top="0.75" bottom="0.75" header="0.3" footer="0.3"/>
      <pageSetup paperSize="9" orientation="portrait" r:id="rId21"/>
    </customSheetView>
    <customSheetView guid="{BE95F399-F8F3-4CBB-A91F-605EF249A9B6}" showGridLines="0" topLeftCell="A52">
      <selection activeCell="F77" sqref="F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  <pageSetUpPr fitToPage="1"/>
  </sheetPr>
  <dimension ref="A1:L84"/>
  <sheetViews>
    <sheetView showGridLines="0" topLeftCell="A10" workbookViewId="0">
      <selection activeCell="B69" sqref="B69:D69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'05'!C2+1</f>
        <v>46087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3" t="str">
        <f>АЛЬТЕРНА</f>
        <v>АО Метком Индустрия</v>
      </c>
      <c r="B4" s="64"/>
      <c r="C4" s="64"/>
      <c r="D4" s="65"/>
      <c r="E4" s="8">
        <f>SUM(E5:E9)</f>
        <v>261162.43</v>
      </c>
      <c r="F4" s="52" t="s">
        <v>31</v>
      </c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>
        <v>261162.43</v>
      </c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hidden="1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hidden="1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hidden="1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hidden="1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hidden="1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hidden="1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hidden="1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hidden="1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hidden="1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hidden="1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hidden="1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hidden="1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hidden="1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hidden="1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hidden="1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hidden="1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hidden="1" customHeight="1" outlineLevel="1" x14ac:dyDescent="0.3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hidden="1" customHeight="1" outlineLevel="1" x14ac:dyDescent="0.3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hidden="1" customHeight="1" outlineLevel="1" thickBot="1" x14ac:dyDescent="0.35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hidden="1" customHeight="1" outlineLevel="1" thickBot="1" x14ac:dyDescent="0.35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hidden="1" customHeight="1" outlineLevel="1" x14ac:dyDescent="0.3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hidden="1" customHeight="1" outlineLevel="1" x14ac:dyDescent="0.3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hidden="1" customHeight="1" outlineLevel="1" x14ac:dyDescent="0.3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hidden="1" customHeight="1" outlineLevel="1" x14ac:dyDescent="0.3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hidden="1" customHeight="1" outlineLevel="1" x14ac:dyDescent="0.3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hidden="1" customHeight="1" outlineLevel="1" x14ac:dyDescent="0.3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hidden="1" customHeight="1" outlineLevel="1" x14ac:dyDescent="0.3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hidden="1" customHeight="1" outlineLevel="1" x14ac:dyDescent="0.3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hidden="1" customHeight="1" outlineLevel="1" x14ac:dyDescent="0.3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hidden="1" customHeight="1" outlineLevel="1" x14ac:dyDescent="0.3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hidden="1" customHeight="1" outlineLevel="1" x14ac:dyDescent="0.3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hidden="1" customHeight="1" outlineLevel="1" x14ac:dyDescent="0.3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3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3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5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 t="s">
        <v>23</v>
      </c>
      <c r="C50" s="41" t="s">
        <v>24</v>
      </c>
      <c r="D50" s="43" t="s">
        <v>25</v>
      </c>
      <c r="E50" s="54">
        <v>2000</v>
      </c>
      <c r="F50" s="43" t="s">
        <v>26</v>
      </c>
      <c r="G50" s="43"/>
      <c r="H50" s="41"/>
      <c r="I50" s="24"/>
      <c r="J50" s="41"/>
      <c r="K50" s="44" t="s">
        <v>41</v>
      </c>
      <c r="L50" s="45"/>
    </row>
    <row r="51" spans="1:12" ht="14.25" customHeight="1" outlineLevel="1" x14ac:dyDescent="0.3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3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3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3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3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3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3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3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3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3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3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3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3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5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thickBot="1" x14ac:dyDescent="0.3">
      <c r="A66" s="29">
        <v>1</v>
      </c>
      <c r="B66" s="41" t="s">
        <v>27</v>
      </c>
      <c r="C66" s="41" t="s">
        <v>28</v>
      </c>
      <c r="D66" s="41"/>
      <c r="E66" s="54">
        <v>5000</v>
      </c>
      <c r="F66" s="43" t="s">
        <v>29</v>
      </c>
      <c r="G66" s="43"/>
      <c r="H66" s="41"/>
      <c r="I66" s="24"/>
      <c r="J66" s="41"/>
      <c r="K66" s="44" t="s">
        <v>41</v>
      </c>
      <c r="L66" s="45"/>
    </row>
    <row r="67" spans="1:12" ht="14.25" customHeight="1" outlineLevel="1" x14ac:dyDescent="0.25">
      <c r="A67" s="29">
        <v>2</v>
      </c>
      <c r="B67" s="41"/>
      <c r="C67" s="51"/>
      <c r="D67" s="51"/>
      <c r="E67" s="55">
        <v>747</v>
      </c>
      <c r="F67" s="32" t="s">
        <v>30</v>
      </c>
      <c r="G67" s="32"/>
      <c r="H67" s="30"/>
      <c r="I67" s="24"/>
      <c r="J67" s="30"/>
      <c r="K67" s="33" t="s">
        <v>41</v>
      </c>
      <c r="L67" s="34"/>
    </row>
    <row r="68" spans="1:12" ht="14.25" customHeight="1" outlineLevel="1" thickBot="1" x14ac:dyDescent="0.3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thickBot="1" x14ac:dyDescent="0.3">
      <c r="A69" s="29">
        <v>4</v>
      </c>
      <c r="B69" s="41" t="s">
        <v>27</v>
      </c>
      <c r="C69" s="30" t="s">
        <v>32</v>
      </c>
      <c r="D69" s="30" t="s">
        <v>33</v>
      </c>
      <c r="E69" s="54">
        <v>2801</v>
      </c>
      <c r="F69" s="43" t="s">
        <v>34</v>
      </c>
      <c r="G69" s="32"/>
      <c r="H69" s="30"/>
      <c r="I69" s="24"/>
      <c r="J69" s="30"/>
      <c r="K69" s="33" t="s">
        <v>41</v>
      </c>
      <c r="L69" s="34"/>
    </row>
    <row r="70" spans="1:12" ht="14.25" customHeight="1" outlineLevel="1" thickBot="1" x14ac:dyDescent="0.3">
      <c r="A70" s="29">
        <v>5</v>
      </c>
      <c r="B70" s="41" t="s">
        <v>27</v>
      </c>
      <c r="C70" s="51" t="s">
        <v>35</v>
      </c>
      <c r="D70" s="51" t="s">
        <v>36</v>
      </c>
      <c r="E70" s="56">
        <v>8130</v>
      </c>
      <c r="F70" s="32" t="s">
        <v>40</v>
      </c>
      <c r="G70" s="32"/>
      <c r="H70" s="30"/>
      <c r="I70" s="24"/>
      <c r="J70" s="30"/>
      <c r="K70" s="33" t="s">
        <v>41</v>
      </c>
      <c r="L70" s="34"/>
    </row>
    <row r="71" spans="1:12" ht="14.25" customHeight="1" outlineLevel="1" x14ac:dyDescent="0.25">
      <c r="A71" s="29">
        <v>6</v>
      </c>
      <c r="B71" s="41" t="s">
        <v>27</v>
      </c>
      <c r="C71" s="53" t="s">
        <v>37</v>
      </c>
      <c r="D71" s="53" t="s">
        <v>38</v>
      </c>
      <c r="E71" s="56">
        <v>90</v>
      </c>
      <c r="F71" s="32" t="s">
        <v>39</v>
      </c>
      <c r="G71" s="32"/>
      <c r="H71" s="30"/>
      <c r="I71" s="24"/>
      <c r="J71" s="30"/>
      <c r="K71" s="33" t="s">
        <v>41</v>
      </c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18768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242394.43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topLeftCell="A49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 topLeftCell="A16">
      <selection activeCell="H38" sqref="H38"/>
      <pageMargins left="0.7" right="0.7" top="0.75" bottom="0.75" header="0.3" footer="0.3"/>
      <pageSetup paperSize="9" orientation="portrait" r:id="rId2"/>
    </customSheetView>
    <customSheetView guid="{FA3A1891-F2A6-4F77-B7A7-31E16BA7D8D7}" showGridLines="0" hiddenRows="1">
      <selection activeCell="A6" sqref="A6:D6"/>
      <pageMargins left="0.7" right="0.7" top="0.75" bottom="0.75" header="0.3" footer="0.3"/>
      <pageSetup paperSize="9" orientation="portrait" r:id="rId3"/>
    </customSheetView>
    <customSheetView guid="{EC8093C0-B7E2-4217-8482-B79AFD6E926F}" showGridLines="0" topLeftCell="A16">
      <selection activeCell="G34" sqref="G34"/>
      <pageMargins left="0.7" right="0.7" top="0.75" bottom="0.75" header="0.3" footer="0.3"/>
      <pageSetup paperSize="9" orientation="portrait" r:id="rId4"/>
    </customSheetView>
    <customSheetView guid="{744BD12D-C8AC-449A-9ACA-1F55F56C7796}" showGridLines="0" topLeftCell="A58">
      <selection activeCell="C2" sqref="C2"/>
      <pageMargins left="0.7" right="0.7" top="0.75" bottom="0.75" header="0.3" footer="0.3"/>
      <pageSetup paperSize="9" orientation="portrait" r:id="rId5"/>
    </customSheetView>
    <customSheetView guid="{0C483E96-A37A-425E-88F4-9E8400B3555F}" showGridLines="0" topLeftCell="A39">
      <selection activeCell="G45" sqref="G45"/>
      <pageMargins left="0.7" right="0.7" top="0.75" bottom="0.75" header="0.3" footer="0.3"/>
      <pageSetup paperSize="9" orientation="portrait" r:id="rId6"/>
    </customSheetView>
    <customSheetView guid="{F9D3156F-53B3-4E72-BF5E-6FE9C00C4EB5}" showGridLines="0" topLeftCell="A12">
      <selection activeCell="F35" sqref="F35"/>
      <pageMargins left="0.7" right="0.7" top="0.75" bottom="0.75" header="0.3" footer="0.3"/>
      <pageSetup paperSize="9" orientation="portrait" r:id="rId7"/>
    </customSheetView>
    <customSheetView guid="{B2CE1E24-888C-49F4-9769-3C51A085775C}" showGridLines="0" topLeftCell="A16">
      <selection activeCell="H38" sqref="H38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9"/>
    </customSheetView>
    <customSheetView guid="{93136F3E-7733-498C-9224-BF45385180C3}" showGridLines="0">
      <selection activeCell="C61" sqref="C61"/>
      <pageMargins left="0.7" right="0.7" top="0.75" bottom="0.75" header="0.3" footer="0.3"/>
      <pageSetup paperSize="9" orientation="portrait" r:id="rId10"/>
    </customSheetView>
    <customSheetView guid="{0B5B4FAE-B353-4A05-99F6-BD7D6C7696CA}" showGridLines="0" topLeftCell="A52">
      <selection activeCell="F61" sqref="F61"/>
      <pageMargins left="0.7" right="0.7" top="0.75" bottom="0.75" header="0.3" footer="0.3"/>
      <pageSetup paperSize="9" orientation="portrait" r:id="rId11"/>
    </customSheetView>
    <customSheetView guid="{6668B387-912B-41D3-A438-086D34482F31}" showGridLines="0" topLeftCell="A10">
      <selection activeCell="C2" sqref="C2"/>
      <pageMargins left="0.7" right="0.7" top="0.75" bottom="0.75" header="0.3" footer="0.3"/>
      <pageSetup paperSize="9" orientation="portrait" r:id="rId12"/>
    </customSheetView>
    <customSheetView guid="{F8C10BD5-4C61-4F5D-A32A-61D0695B8D8E}" showGridLines="0" topLeftCell="A58">
      <selection activeCell="C2" sqref="C2"/>
      <pageMargins left="0.7" right="0.7" top="0.75" bottom="0.75" header="0.3" footer="0.3"/>
      <pageSetup paperSize="9" orientation="portrait" r:id="rId13"/>
    </customSheetView>
    <customSheetView guid="{426687FD-750A-4CE4-9CD7-456268DEAEB9}" showGridLines="0" topLeftCell="A34">
      <selection activeCell="E62" sqref="E62"/>
      <pageMargins left="0.7" right="0.7" top="0.75" bottom="0.75" header="0.3" footer="0.3"/>
      <pageSetup paperSize="9" orientation="portrait" r:id="rId14"/>
    </customSheetView>
    <customSheetView guid="{142AC03A-22E3-4231-8209-D1E90D0B392F}" showGridLines="0">
      <selection activeCell="H38" sqref="H38"/>
      <pageMargins left="0.7" right="0.7" top="0.75" bottom="0.75" header="0.3" footer="0.3"/>
      <pageSetup paperSize="9" orientation="portrait" r:id="rId15"/>
    </customSheetView>
    <customSheetView guid="{85202B59-7EA4-4FEE-83A9-85916C51E0F6}" showGridLines="0" topLeftCell="A58">
      <selection activeCell="C2" sqref="C2"/>
      <pageMargins left="0.7" right="0.7" top="0.75" bottom="0.75" header="0.3" footer="0.3"/>
      <pageSetup paperSize="9" orientation="portrait" r:id="rId16"/>
    </customSheetView>
    <customSheetView guid="{C2F1D4B1-A1F1-448D-93DB-7A0865BB4FAC}" showGridLines="0" topLeftCell="A10">
      <selection activeCell="C2" sqref="C2"/>
      <pageMargins left="0.7" right="0.7" top="0.75" bottom="0.75" header="0.3" footer="0.3"/>
      <pageSetup paperSize="9" orientation="portrait" r:id="rId17"/>
    </customSheetView>
    <customSheetView guid="{4BC8836F-67FA-4ADD-8BF2-2849727F82ED}" showGridLines="0" hiddenRows="1">
      <selection activeCell="A6" sqref="A6:D6"/>
      <pageMargins left="0.7" right="0.7" top="0.75" bottom="0.75" header="0.3" footer="0.3"/>
      <pageSetup paperSize="9" orientation="portrait" r:id="rId18"/>
    </customSheetView>
    <customSheetView guid="{7AFC5D51-FD9F-4863-8A51-4C412D6A5939}" showGridLines="0" topLeftCell="A58">
      <selection activeCell="C2" sqref="C2"/>
      <pageMargins left="0.7" right="0.7" top="0.75" bottom="0.75" header="0.3" footer="0.3"/>
      <pageSetup paperSize="9" orientation="portrait" r:id="rId19"/>
    </customSheetView>
    <customSheetView guid="{153EBAF3-54D0-4FF1-8F1D-7C3A305D289C}" showGridLines="0" topLeftCell="A58">
      <selection activeCell="C2" sqref="C2"/>
      <pageMargins left="0.7" right="0.7" top="0.75" bottom="0.75" header="0.3" footer="0.3"/>
      <pageSetup paperSize="9" orientation="portrait" r:id="rId20"/>
    </customSheetView>
    <customSheetView guid="{3784030C-584B-439C-8C22-F35D4C0C2F20}" showGridLines="0" topLeftCell="A52">
      <selection activeCell="F61" sqref="F61"/>
      <pageMargins left="0.7" right="0.7" top="0.75" bottom="0.75" header="0.3" footer="0.3"/>
      <pageSetup paperSize="9" orientation="portrait" r:id="rId21"/>
    </customSheetView>
    <customSheetView guid="{BE95F399-F8F3-4CBB-A91F-605EF249A9B6}" showGridLines="0" topLeftCell="A37">
      <selection activeCell="C61" sqref="C61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scale="53" fitToHeight="0" orientation="landscape" r:id="rId2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workbookViewId="0">
      <selection activeCell="A5" sqref="A5:D5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'06'!C2+1</f>
        <v>46088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5">
      <c r="A4" s="63" t="str">
        <f>АЛЬТЕРНА</f>
        <v>АО Метком Индустрия</v>
      </c>
      <c r="B4" s="64"/>
      <c r="C4" s="64"/>
      <c r="D4" s="65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/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topLeftCell="A27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 topLeftCell="A10">
      <selection activeCell="E25" sqref="E25"/>
      <pageMargins left="0.7" right="0.7" top="0.75" bottom="0.75" header="0.3" footer="0.3"/>
      <pageSetup paperSize="9" orientation="portrait" r:id="rId2"/>
    </customSheetView>
    <customSheetView guid="{FA3A1891-F2A6-4F77-B7A7-31E16BA7D8D7}" showGridLines="0">
      <selection activeCell="F25" sqref="F25"/>
      <pageMargins left="0.7" right="0.7" top="0.75" bottom="0.75" header="0.3" footer="0.3"/>
      <pageSetup paperSize="9" orientation="portrait" r:id="rId3"/>
    </customSheetView>
    <customSheetView guid="{EC8093C0-B7E2-4217-8482-B79AFD6E926F}" showGridLines="0" hiddenRows="1">
      <selection activeCell="G81" sqref="G81"/>
      <pageMargins left="0.7" right="0.7" top="0.75" bottom="0.75" header="0.3" footer="0.3"/>
      <pageSetup paperSize="9" orientation="portrait" r:id="rId4"/>
    </customSheetView>
    <customSheetView guid="{744BD12D-C8AC-449A-9ACA-1F55F56C7796}" showGridLines="0">
      <selection activeCell="C2" sqref="C2"/>
      <pageMargins left="0.7" right="0.7" top="0.75" bottom="0.75" header="0.3" footer="0.3"/>
      <pageSetup paperSize="9" orientation="portrait" r:id="rId5"/>
    </customSheetView>
    <customSheetView guid="{0C483E96-A37A-425E-88F4-9E8400B3555F}" scale="90" showGridLines="0" topLeftCell="A26">
      <selection activeCell="B48" sqref="B48:G49"/>
      <pageMargins left="0.7" right="0.7" top="0.75" bottom="0.75" header="0.3" footer="0.3"/>
      <pageSetup paperSize="9" orientation="portrait" r:id="rId6"/>
    </customSheetView>
    <customSheetView guid="{F9D3156F-53B3-4E72-BF5E-6FE9C00C4EB5}" showGridLines="0" topLeftCell="A4">
      <selection activeCell="C31" sqref="C31"/>
      <pageMargins left="0.7" right="0.7" top="0.75" bottom="0.75" header="0.3" footer="0.3"/>
      <pageSetup paperSize="9" orientation="portrait" r:id="rId7"/>
    </customSheetView>
    <customSheetView guid="{B2CE1E24-888C-49F4-9769-3C51A085775C}" showGridLines="0" topLeftCell="A10">
      <selection activeCell="E25" sqref="E25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9"/>
    </customSheetView>
    <customSheetView guid="{93136F3E-7733-498C-9224-BF45385180C3}" showGridLines="0">
      <selection activeCell="A12" sqref="A12:XFD12"/>
      <pageMargins left="0.7" right="0.7" top="0.75" bottom="0.75" header="0.3" footer="0.3"/>
      <pageSetup paperSize="9" orientation="portrait" r:id="rId10"/>
    </customSheetView>
    <customSheetView guid="{0B5B4FAE-B353-4A05-99F6-BD7D6C7696CA}" showGridLines="0" topLeftCell="A19">
      <selection activeCell="G41" sqref="G41"/>
      <pageMargins left="0.7" right="0.7" top="0.75" bottom="0.75" header="0.3" footer="0.3"/>
      <pageSetup paperSize="9" orientation="portrait" r:id="rId11"/>
    </customSheetView>
    <customSheetView guid="{6668B387-912B-41D3-A438-086D34482F31}" showGridLines="0">
      <selection activeCell="G12" sqref="G12"/>
      <pageMargins left="0.7" right="0.7" top="0.75" bottom="0.75" header="0.3" footer="0.3"/>
      <pageSetup paperSize="9" orientation="portrait" r:id="rId12"/>
    </customSheetView>
    <customSheetView guid="{F8C10BD5-4C61-4F5D-A32A-61D0695B8D8E}" showGridLines="0">
      <selection activeCell="A10" sqref="A10"/>
      <pageMargins left="0.7" right="0.7" top="0.75" bottom="0.75" header="0.3" footer="0.3"/>
      <pageSetup paperSize="9" orientation="portrait" r:id="rId13"/>
    </customSheetView>
    <customSheetView guid="{426687FD-750A-4CE4-9CD7-456268DEAEB9}" showGridLines="0" hiddenRows="1">
      <selection activeCell="G81" sqref="G81"/>
      <pageMargins left="0.7" right="0.7" top="0.75" bottom="0.75" header="0.3" footer="0.3"/>
      <pageSetup paperSize="9" orientation="portrait" r:id="rId14"/>
    </customSheetView>
    <customSheetView guid="{142AC03A-22E3-4231-8209-D1E90D0B392F}" showGridLines="0">
      <selection activeCell="B25" sqref="B25:H25"/>
      <pageMargins left="0.7" right="0.7" top="0.75" bottom="0.75" header="0.3" footer="0.3"/>
      <pageSetup paperSize="9" orientation="portrait" r:id="rId15"/>
    </customSheetView>
    <customSheetView guid="{85202B59-7EA4-4FEE-83A9-85916C51E0F6}" showGridLines="0" topLeftCell="A34">
      <selection activeCell="G48" sqref="G48"/>
      <pageMargins left="0.7" right="0.7" top="0.75" bottom="0.75" header="0.3" footer="0.3"/>
      <pageSetup paperSize="9" orientation="portrait" r:id="rId16"/>
    </customSheetView>
    <customSheetView guid="{C2F1D4B1-A1F1-448D-93DB-7A0865BB4FAC}" showGridLines="0">
      <selection activeCell="G12" sqref="G12"/>
      <pageMargins left="0.7" right="0.7" top="0.75" bottom="0.75" header="0.3" footer="0.3"/>
      <pageSetup paperSize="9" orientation="portrait" r:id="rId17"/>
    </customSheetView>
    <customSheetView guid="{4BC8836F-67FA-4ADD-8BF2-2849727F82ED}" showGridLines="0">
      <selection activeCell="F25" sqref="F25"/>
      <pageMargins left="0.7" right="0.7" top="0.75" bottom="0.75" header="0.3" footer="0.3"/>
      <pageSetup paperSize="9" orientation="portrait" r:id="rId18"/>
    </customSheetView>
    <customSheetView guid="{7AFC5D51-FD9F-4863-8A51-4C412D6A5939}" showGridLines="0">
      <selection activeCell="C2" sqref="C2"/>
      <pageMargins left="0.7" right="0.7" top="0.75" bottom="0.75" header="0.3" footer="0.3"/>
      <pageSetup paperSize="9" orientation="portrait" r:id="rId19"/>
    </customSheetView>
    <customSheetView guid="{153EBAF3-54D0-4FF1-8F1D-7C3A305D289C}" showGridLines="0">
      <selection activeCell="G20" sqref="G20"/>
      <pageMargins left="0.7" right="0.7" top="0.75" bottom="0.75" header="0.3" footer="0.3"/>
      <pageSetup paperSize="9" orientation="portrait" r:id="rId20"/>
    </customSheetView>
    <customSheetView guid="{3784030C-584B-439C-8C22-F35D4C0C2F20}" showGridLines="0" topLeftCell="A19">
      <selection activeCell="G41" sqref="G41"/>
      <pageMargins left="0.7" right="0.7" top="0.75" bottom="0.75" header="0.3" footer="0.3"/>
      <pageSetup paperSize="9" orientation="portrait" r:id="rId21"/>
    </customSheetView>
    <customSheetView guid="{BE95F399-F8F3-4CBB-A91F-605EF249A9B6}" showGridLines="0">
      <selection activeCell="J44" sqref="J44:J4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zoomScaleNormal="90" workbookViewId="0">
      <selection activeCell="A5" sqref="A5:D5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'07'!C2+1</f>
        <v>46089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5">
      <c r="A4" s="63" t="str">
        <f>АЛЬТЕРНА</f>
        <v>АО Метком Индустрия</v>
      </c>
      <c r="B4" s="64"/>
      <c r="C4" s="64"/>
      <c r="D4" s="65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/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topLeftCell="D46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 topLeftCell="A91">
      <selection activeCell="G23" sqref="G23"/>
      <pageMargins left="0.7" right="0.7" top="0.75" bottom="0.75" header="0.3" footer="0.3"/>
      <pageSetup paperSize="9" orientation="portrait" r:id="rId2"/>
    </customSheetView>
    <customSheetView guid="{FA3A1891-F2A6-4F77-B7A7-31E16BA7D8D7}" scale="90" showGridLines="0" hiddenRows="1" topLeftCell="A9">
      <selection activeCell="F126" sqref="F126"/>
      <pageMargins left="0.7" right="0.7" top="0.75" bottom="0.75" header="0.3" footer="0.3"/>
      <pageSetup paperSize="9" orientation="portrait" r:id="rId3"/>
    </customSheetView>
    <customSheetView guid="{EC8093C0-B7E2-4217-8482-B79AFD6E926F}" showGridLines="0" hiddenRows="1" topLeftCell="A125">
      <selection activeCell="F24" sqref="F24"/>
      <pageMargins left="0.7" right="0.7" top="0.75" bottom="0.75" header="0.3" footer="0.3"/>
      <pageSetup paperSize="9" orientation="portrait" r:id="rId4"/>
    </customSheetView>
    <customSheetView guid="{744BD12D-C8AC-449A-9ACA-1F55F56C7796}" showGridLines="0" hiddenRows="1" topLeftCell="A9">
      <selection activeCell="G72" sqref="G72"/>
      <pageMargins left="0.7" right="0.7" top="0.75" bottom="0.75" header="0.3" footer="0.3"/>
      <pageSetup paperSize="9" orientation="portrait" r:id="rId5"/>
    </customSheetView>
    <customSheetView guid="{0C483E96-A37A-425E-88F4-9E8400B3555F}" showGridLines="0" topLeftCell="A28">
      <selection activeCell="I44" sqref="I44:I45"/>
      <pageMargins left="0.7" right="0.7" top="0.75" bottom="0.75" header="0.3" footer="0.3"/>
      <pageSetup paperSize="9" orientation="portrait" r:id="rId6"/>
    </customSheetView>
    <customSheetView guid="{F9D3156F-53B3-4E72-BF5E-6FE9C00C4EB5}" showGridLines="0" topLeftCell="D1">
      <selection activeCell="F18" sqref="F18"/>
      <pageMargins left="0.7" right="0.7" top="0.75" bottom="0.75" header="0.3" footer="0.3"/>
      <pageSetup paperSize="9" orientation="portrait" r:id="rId7"/>
    </customSheetView>
    <customSheetView guid="{B2CE1E24-888C-49F4-9769-3C51A085775C}" showGridLines="0" topLeftCell="A91">
      <selection activeCell="G23" sqref="G23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9"/>
    </customSheetView>
    <customSheetView guid="{93136F3E-7733-498C-9224-BF45385180C3}" showGridLines="0" fitToPage="1" topLeftCell="D1">
      <selection activeCell="K94" sqref="K94:K95"/>
      <pageMargins left="0.7" right="0.7" top="0.75" bottom="0.75" header="0.3" footer="0.3"/>
      <pageSetup paperSize="9" scale="33" fitToWidth="0" orientation="landscape" r:id="rId10"/>
    </customSheetView>
    <customSheetView guid="{0B5B4FAE-B353-4A05-99F6-BD7D6C7696CA}" showGridLines="0" hiddenRows="1">
      <selection activeCell="F24" sqref="F24"/>
      <pageMargins left="0.7" right="0.7" top="0.75" bottom="0.75" header="0.3" footer="0.3"/>
      <pageSetup paperSize="9" orientation="portrait" r:id="rId11"/>
    </customSheetView>
    <customSheetView guid="{6668B387-912B-41D3-A438-086D34482F31}" showGridLines="0">
      <selection activeCell="B15" sqref="B15:D15"/>
      <pageMargins left="0.7" right="0.7" top="0.75" bottom="0.75" header="0.3" footer="0.3"/>
      <pageSetup paperSize="9" orientation="portrait" r:id="rId12"/>
    </customSheetView>
    <customSheetView guid="{F8C10BD5-4C61-4F5D-A32A-61D0695B8D8E}" showGridLines="0" topLeftCell="D1">
      <selection activeCell="B12" sqref="B12:I12"/>
      <pageMargins left="0.7" right="0.7" top="0.75" bottom="0.75" header="0.3" footer="0.3"/>
      <pageSetup paperSize="9" orientation="portrait" r:id="rId13"/>
    </customSheetView>
    <customSheetView guid="{426687FD-750A-4CE4-9CD7-456268DEAEB9}" showGridLines="0" topLeftCell="A52">
      <selection activeCell="C63" sqref="C63:G63"/>
      <pageMargins left="0.7" right="0.7" top="0.75" bottom="0.75" header="0.3" footer="0.3"/>
      <pageSetup paperSize="9" orientation="portrait" r:id="rId14"/>
    </customSheetView>
    <customSheetView guid="{142AC03A-22E3-4231-8209-D1E90D0B392F}" showGridLines="0" topLeftCell="A7">
      <selection activeCell="E21" sqref="E21"/>
      <pageMargins left="0.7" right="0.7" top="0.75" bottom="0.75" header="0.3" footer="0.3"/>
      <pageSetup paperSize="9" orientation="portrait" r:id="rId15"/>
    </customSheetView>
    <customSheetView guid="{85202B59-7EA4-4FEE-83A9-85916C51E0F6}" showGridLines="0" topLeftCell="A67">
      <selection activeCell="G51" sqref="G51"/>
      <pageMargins left="0.7" right="0.7" top="0.75" bottom="0.75" header="0.3" footer="0.3"/>
      <pageSetup paperSize="9" orientation="portrait" r:id="rId16"/>
    </customSheetView>
    <customSheetView guid="{C2F1D4B1-A1F1-448D-93DB-7A0865BB4FAC}" showGridLines="0">
      <selection activeCell="B15" sqref="B15:D15"/>
      <pageMargins left="0.7" right="0.7" top="0.75" bottom="0.75" header="0.3" footer="0.3"/>
      <pageSetup paperSize="9" orientation="portrait" r:id="rId17"/>
    </customSheetView>
    <customSheetView guid="{4BC8836F-67FA-4ADD-8BF2-2849727F82ED}" scale="90" showGridLines="0" hiddenRows="1" topLeftCell="A9">
      <selection activeCell="F126" sqref="F126"/>
      <pageMargins left="0.7" right="0.7" top="0.75" bottom="0.75" header="0.3" footer="0.3"/>
      <pageSetup paperSize="9" orientation="portrait" r:id="rId18"/>
    </customSheetView>
    <customSheetView guid="{7AFC5D51-FD9F-4863-8A51-4C412D6A5939}" showGridLines="0" hiddenRows="1" topLeftCell="A9">
      <selection activeCell="G72" sqref="G72"/>
      <pageMargins left="0.7" right="0.7" top="0.75" bottom="0.75" header="0.3" footer="0.3"/>
      <pageSetup paperSize="9" orientation="portrait" r:id="rId19"/>
    </customSheetView>
    <customSheetView guid="{153EBAF3-54D0-4FF1-8F1D-7C3A305D289C}" showGridLines="0">
      <selection activeCell="A10" sqref="A10"/>
      <pageMargins left="0.7" right="0.7" top="0.75" bottom="0.75" header="0.3" footer="0.3"/>
      <pageSetup paperSize="9" orientation="portrait" r:id="rId20"/>
    </customSheetView>
    <customSheetView guid="{3784030C-584B-439C-8C22-F35D4C0C2F20}" showGridLines="0" hiddenRows="1" topLeftCell="A9">
      <selection activeCell="F24" sqref="F24"/>
      <pageMargins left="0.7" right="0.7" top="0.75" bottom="0.75" header="0.3" footer="0.3"/>
      <pageSetup paperSize="9" orientation="portrait" r:id="rId21"/>
    </customSheetView>
    <customSheetView guid="{BE95F399-F8F3-4CBB-A91F-605EF249A9B6}" showPageBreaks="1" showGridLines="0" fitToPage="1" topLeftCell="D73">
      <selection activeCell="K94" sqref="K94:K95"/>
      <pageMargins left="0.7" right="0.7" top="0.75" bottom="0.75" header="0.3" footer="0.3"/>
      <pageSetup paperSize="9" scale="33" fitToWidth="0" orientation="landscape" r:id="rId22"/>
    </customSheetView>
  </customSheetViews>
  <mergeCells count="9">
    <mergeCell ref="A9:D9"/>
    <mergeCell ref="A82:D82"/>
    <mergeCell ref="A83:D83"/>
    <mergeCell ref="A8:D8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workbookViewId="0">
      <selection activeCell="A5" sqref="A5:D5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'08'!C2+1</f>
        <v>46090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5">
      <c r="A4" s="63" t="str">
        <f>АЛЬТЕРНА</f>
        <v>АО Метком Индустрия</v>
      </c>
      <c r="B4" s="64"/>
      <c r="C4" s="64"/>
      <c r="D4" s="65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/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FA3A1891-F2A6-4F77-B7A7-31E16BA7D8D7}" showGridLines="0">
      <selection activeCell="A8" sqref="A8:E8"/>
      <pageMargins left="0.7" right="0.7" top="0.75" bottom="0.75" header="0.3" footer="0.3"/>
      <pageSetup paperSize="9" orientation="portrait" r:id="rId3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4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5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9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0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1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2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3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14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4BC8836F-67FA-4ADD-8BF2-2849727F82ED}" showGridLines="0">
      <selection activeCell="A8" sqref="A8:E8"/>
      <pageMargins left="0.7" right="0.7" top="0.75" bottom="0.75" header="0.3" footer="0.3"/>
      <pageSetup paperSize="9" orientation="portrait" r:id="rId18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19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20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'09'!C2+1</f>
        <v>46091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3" t="str">
        <f>АЛЬТЕРНА</f>
        <v>АО Метком Индустрия</v>
      </c>
      <c r="B4" s="64"/>
      <c r="C4" s="64"/>
      <c r="D4" s="65"/>
      <c r="E4" s="8">
        <f>SUM(E5:E9)</f>
        <v>242194.43</v>
      </c>
      <c r="F4" s="52" t="s">
        <v>31</v>
      </c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>
        <v>242194.43</v>
      </c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G67" s="32"/>
      <c r="H67" s="30"/>
      <c r="I67" s="24"/>
      <c r="J67" s="30"/>
      <c r="K67" s="33"/>
      <c r="L67" s="34"/>
    </row>
    <row r="68" spans="1:12" ht="30.75" customHeight="1" outlineLevel="1" x14ac:dyDescent="0.25">
      <c r="A68" s="29">
        <v>3</v>
      </c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242194.43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FA3A1891-F2A6-4F77-B7A7-31E16BA7D8D7}" showGridLines="0">
      <selection activeCell="A8" sqref="A8:E8"/>
      <pageMargins left="0.7" right="0.7" top="0.75" bottom="0.75" header="0.3" footer="0.3"/>
      <pageSetup paperSize="9" orientation="portrait" r:id="rId3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4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5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9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0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1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2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3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14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4BC8836F-67FA-4ADD-8BF2-2849727F82ED}" showGridLines="0">
      <selection activeCell="A8" sqref="A8:E8"/>
      <pageMargins left="0.7" right="0.7" top="0.75" bottom="0.75" header="0.3" footer="0.3"/>
      <pageSetup paperSize="9" orientation="portrait" r:id="rId18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19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20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'10'!C2+1</f>
        <v>46092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3" t="str">
        <f>АЛЬТЕРНА</f>
        <v>АО Метком Индустрия</v>
      </c>
      <c r="B4" s="64"/>
      <c r="C4" s="64"/>
      <c r="D4" s="65"/>
      <c r="E4" s="8">
        <f>SUM(E5:E9)</f>
        <v>242194.43</v>
      </c>
      <c r="F4" s="52" t="s">
        <v>31</v>
      </c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>
        <v>242194.43</v>
      </c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242194.43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FA3A1891-F2A6-4F77-B7A7-31E16BA7D8D7}" showGridLines="0">
      <selection activeCell="A8" sqref="A8:E8"/>
      <pageMargins left="0.7" right="0.7" top="0.75" bottom="0.75" header="0.3" footer="0.3"/>
      <pageSetup paperSize="9" orientation="portrait" r:id="rId3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4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5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9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0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1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2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3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14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4BC8836F-67FA-4ADD-8BF2-2849727F82ED}" showGridLines="0">
      <selection activeCell="A8" sqref="A8:E8"/>
      <pageMargins left="0.7" right="0.7" top="0.75" bottom="0.75" header="0.3" footer="0.3"/>
      <pageSetup paperSize="9" orientation="portrait" r:id="rId18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19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20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'11'!C2+1</f>
        <v>46093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3" t="str">
        <f>АЛЬТЕРНА</f>
        <v>АО Метком Индустрия</v>
      </c>
      <c r="B4" s="64"/>
      <c r="C4" s="64"/>
      <c r="D4" s="65"/>
      <c r="E4" s="8">
        <f>SUM(E5:E9)</f>
        <v>242194.43</v>
      </c>
      <c r="F4" s="52" t="s">
        <v>31</v>
      </c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>
        <v>242194.43</v>
      </c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242194.43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hiddenRows="1" topLeftCell="A76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FA3A1891-F2A6-4F77-B7A7-31E16BA7D8D7}" showGridLines="0">
      <selection activeCell="A8" sqref="A8:E8"/>
      <pageMargins left="0.7" right="0.7" top="0.75" bottom="0.75" header="0.3" footer="0.3"/>
      <pageSetup paperSize="9" orientation="portrait" r:id="rId3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4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5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9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0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1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2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3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14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4BC8836F-67FA-4ADD-8BF2-2849727F82ED}" showGridLines="0">
      <selection activeCell="A8" sqref="A8:E8"/>
      <pageMargins left="0.7" right="0.7" top="0.75" bottom="0.75" header="0.3" footer="0.3"/>
      <pageSetup paperSize="9" orientation="portrait" r:id="rId18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19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20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'12'!C2+1</f>
        <v>46094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3" t="str">
        <f>АЛЬТЕРНА</f>
        <v>АО Метком Индустрия</v>
      </c>
      <c r="B4" s="64"/>
      <c r="C4" s="64"/>
      <c r="D4" s="65"/>
      <c r="E4" s="8">
        <f>SUM(E5:E9)</f>
        <v>242194.43</v>
      </c>
      <c r="F4" s="52" t="s">
        <v>31</v>
      </c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>
        <v>242194.43</v>
      </c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242194.43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topLeftCell="A49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>
      <selection activeCell="G22" sqref="G22"/>
      <pageMargins left="0.7" right="0.7" top="0.75" bottom="0.75" header="0.3" footer="0.3"/>
      <pageSetup paperSize="9" orientation="portrait" r:id="rId2"/>
    </customSheetView>
    <customSheetView guid="{FA3A1891-F2A6-4F77-B7A7-31E16BA7D8D7}" showGridLines="0">
      <selection activeCell="B49" sqref="B49:G49"/>
      <pageMargins left="0.7" right="0.7" top="0.75" bottom="0.75" header="0.3" footer="0.3"/>
      <pageSetup paperSize="9" orientation="portrait" r:id="rId3"/>
    </customSheetView>
    <customSheetView guid="{EC8093C0-B7E2-4217-8482-B79AFD6E926F}" showGridLines="0" topLeftCell="A13">
      <selection activeCell="G34" sqref="G34"/>
      <pageMargins left="0.7" right="0.7" top="0.75" bottom="0.75" header="0.3" footer="0.3"/>
      <pageSetup paperSize="9" orientation="portrait" r:id="rId4"/>
    </customSheetView>
    <customSheetView guid="{744BD12D-C8AC-449A-9ACA-1F55F56C7796}" showGridLines="0" topLeftCell="A55">
      <selection activeCell="C2" sqref="C2"/>
      <pageMargins left="0.7" right="0.7" top="0.75" bottom="0.75" header="0.3" footer="0.3"/>
      <pageSetup paperSize="9" orientation="portrait" r:id="rId5"/>
    </customSheetView>
    <customSheetView guid="{0C483E96-A37A-425E-88F4-9E8400B3555F}" showGridLines="0" topLeftCell="A23">
      <selection activeCell="G50" sqref="G50"/>
      <pageMargins left="0.7" right="0.7" top="0.75" bottom="0.75" header="0.3" footer="0.3"/>
      <pageSetup paperSize="9" orientation="portrait" r:id="rId6"/>
    </customSheetView>
    <customSheetView guid="{F9D3156F-53B3-4E72-BF5E-6FE9C00C4EB5}" showGridLines="0">
      <selection activeCell="F36" sqref="F36"/>
      <pageMargins left="0.7" right="0.7" top="0.75" bottom="0.75" header="0.3" footer="0.3"/>
      <pageSetup paperSize="9" orientation="portrait" r:id="rId7"/>
    </customSheetView>
    <customSheetView guid="{B2CE1E24-888C-49F4-9769-3C51A085775C}" showGridLines="0">
      <selection activeCell="G22" sqref="G22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9"/>
    </customSheetView>
    <customSheetView guid="{93136F3E-7733-498C-9224-BF45385180C3}" showGridLines="0" topLeftCell="A40">
      <selection activeCell="J44" sqref="J44:J51"/>
      <pageMargins left="0.7" right="0.7" top="0.75" bottom="0.75" header="0.3" footer="0.3"/>
      <pageSetup paperSize="9" orientation="portrait" r:id="rId10"/>
    </customSheetView>
    <customSheetView guid="{0B5B4FAE-B353-4A05-99F6-BD7D6C7696CA}" showGridLines="0">
      <selection activeCell="G22" sqref="G22"/>
      <pageMargins left="0.7" right="0.7" top="0.75" bottom="0.75" header="0.3" footer="0.3"/>
      <pageSetup paperSize="9" orientation="portrait" r:id="rId11"/>
    </customSheetView>
    <customSheetView guid="{6668B387-912B-41D3-A438-086D34482F31}" showGridLines="0">
      <selection activeCell="B12" sqref="B12:D12"/>
      <pageMargins left="0.7" right="0.7" top="0.75" bottom="0.75" header="0.3" footer="0.3"/>
      <pageSetup paperSize="9" orientation="portrait" r:id="rId12"/>
    </customSheetView>
    <customSheetView guid="{F8C10BD5-4C61-4F5D-A32A-61D0695B8D8E}" showGridLines="0">
      <selection activeCell="A10" sqref="A10"/>
      <pageMargins left="0.7" right="0.7" top="0.75" bottom="0.75" header="0.3" footer="0.3"/>
      <pageSetup paperSize="9" orientation="portrait" r:id="rId13"/>
    </customSheetView>
    <customSheetView guid="{426687FD-750A-4CE4-9CD7-456268DEAEB9}" showGridLines="0" topLeftCell="A43">
      <selection activeCell="G22" sqref="G22"/>
      <pageMargins left="0.7" right="0.7" top="0.75" bottom="0.75" header="0.3" footer="0.3"/>
      <pageSetup paperSize="9" orientation="portrait" r:id="rId14"/>
    </customSheetView>
    <customSheetView guid="{142AC03A-22E3-4231-8209-D1E90D0B392F}" showGridLines="0">
      <selection activeCell="G22" sqref="G22"/>
      <pageMargins left="0.7" right="0.7" top="0.75" bottom="0.75" header="0.3" footer="0.3"/>
      <pageSetup paperSize="9" orientation="portrait" r:id="rId15"/>
    </customSheetView>
    <customSheetView guid="{85202B59-7EA4-4FEE-83A9-85916C51E0F6}" showGridLines="0" topLeftCell="A13">
      <selection activeCell="G52" sqref="G52"/>
      <pageMargins left="0.7" right="0.7" top="0.75" bottom="0.75" header="0.3" footer="0.3"/>
      <pageSetup paperSize="9" orientation="portrait" r:id="rId16"/>
    </customSheetView>
    <customSheetView guid="{C2F1D4B1-A1F1-448D-93DB-7A0865BB4FAC}" showGridLines="0">
      <selection activeCell="B12" sqref="B12:D12"/>
      <pageMargins left="0.7" right="0.7" top="0.75" bottom="0.75" header="0.3" footer="0.3"/>
      <pageSetup paperSize="9" orientation="portrait" r:id="rId17"/>
    </customSheetView>
    <customSheetView guid="{4BC8836F-67FA-4ADD-8BF2-2849727F82ED}" showGridLines="0">
      <selection activeCell="B49" sqref="B49:G49"/>
      <pageMargins left="0.7" right="0.7" top="0.75" bottom="0.75" header="0.3" footer="0.3"/>
      <pageSetup paperSize="9" orientation="portrait" r:id="rId18"/>
    </customSheetView>
    <customSheetView guid="{7AFC5D51-FD9F-4863-8A51-4C412D6A5939}" showGridLines="0" topLeftCell="A55">
      <selection activeCell="C2" sqref="C2"/>
      <pageMargins left="0.7" right="0.7" top="0.75" bottom="0.75" header="0.3" footer="0.3"/>
      <pageSetup paperSize="9" orientation="portrait" r:id="rId19"/>
    </customSheetView>
    <customSheetView guid="{153EBAF3-54D0-4FF1-8F1D-7C3A305D289C}" showGridLines="0">
      <selection activeCell="A10" sqref="A10"/>
      <pageMargins left="0.7" right="0.7" top="0.75" bottom="0.75" header="0.3" footer="0.3"/>
      <pageSetup paperSize="9" orientation="portrait" r:id="rId20"/>
    </customSheetView>
    <customSheetView guid="{3784030C-584B-439C-8C22-F35D4C0C2F20}" showGridLines="0">
      <selection activeCell="G22" sqref="G22"/>
      <pageMargins left="0.7" right="0.7" top="0.75" bottom="0.75" header="0.3" footer="0.3"/>
      <pageSetup paperSize="9" orientation="portrait" r:id="rId21"/>
    </customSheetView>
    <customSheetView guid="{BE95F399-F8F3-4CBB-A91F-605EF249A9B6}" showGridLines="0" topLeftCell="A40">
      <selection activeCell="J44" sqref="J44:J51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workbookViewId="0">
      <selection activeCell="A5" sqref="A5:D5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'13'!C2+1</f>
        <v>46095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5">
      <c r="A4" s="63" t="str">
        <f>АЛЬТЕРНА</f>
        <v>АО Метком Индустрия</v>
      </c>
      <c r="B4" s="64"/>
      <c r="C4" s="64"/>
      <c r="D4" s="65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/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>
      <selection activeCell="G19" sqref="G19"/>
      <pageMargins left="0.7" right="0.7" top="0.75" bottom="0.75" header="0.3" footer="0.3"/>
      <pageSetup paperSize="9" orientation="portrait" r:id="rId2"/>
    </customSheetView>
    <customSheetView guid="{FA3A1891-F2A6-4F77-B7A7-31E16BA7D8D7}" showGridLines="0">
      <selection activeCell="E16" sqref="E16"/>
      <pageMargins left="0.7" right="0.7" top="0.75" bottom="0.75" header="0.3" footer="0.3"/>
      <pageSetup paperSize="9" orientation="portrait" r:id="rId3"/>
    </customSheetView>
    <customSheetView guid="{EC8093C0-B7E2-4217-8482-B79AFD6E926F}" showGridLines="0" topLeftCell="A16">
      <selection activeCell="G37" sqref="G37"/>
      <pageMargins left="0.7" right="0.7" top="0.75" bottom="0.75" header="0.3" footer="0.3"/>
      <pageSetup paperSize="9" orientation="portrait" r:id="rId4"/>
    </customSheetView>
    <customSheetView guid="{744BD12D-C8AC-449A-9ACA-1F55F56C7796}" showGridLines="0">
      <selection activeCell="C2" sqref="C2"/>
      <pageMargins left="0.7" right="0.7" top="0.75" bottom="0.75" header="0.3" footer="0.3"/>
      <pageSetup paperSize="9" orientation="portrait" r:id="rId5"/>
    </customSheetView>
    <customSheetView guid="{0C483E96-A37A-425E-88F4-9E8400B3555F}" showGridLines="0">
      <selection activeCell="G12" sqref="G12:G14"/>
      <pageMargins left="0.7" right="0.7" top="0.75" bottom="0.75" header="0.3" footer="0.3"/>
      <pageSetup paperSize="9" orientation="portrait" r:id="rId6"/>
    </customSheetView>
    <customSheetView guid="{F9D3156F-53B3-4E72-BF5E-6FE9C00C4EB5}" showGridLines="0" topLeftCell="A7">
      <selection activeCell="D38" sqref="D38"/>
      <pageMargins left="0.7" right="0.7" top="0.75" bottom="0.75" header="0.3" footer="0.3"/>
      <pageSetup paperSize="9" orientation="portrait" r:id="rId7"/>
    </customSheetView>
    <customSheetView guid="{B2CE1E24-888C-49F4-9769-3C51A085775C}" showGridLines="0">
      <selection activeCell="G19" sqref="G19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9"/>
    </customSheetView>
    <customSheetView guid="{93136F3E-7733-498C-9224-BF45385180C3}" showGridLines="0" fitToPage="1">
      <selection activeCell="E45" sqref="E45"/>
      <pageMargins left="0.7" right="0.7" top="0.75" bottom="0.75" header="0.3" footer="0.3"/>
      <pageSetup paperSize="9" scale="42" fitToWidth="0" orientation="landscape" r:id="rId10"/>
    </customSheetView>
    <customSheetView guid="{0B5B4FAE-B353-4A05-99F6-BD7D6C7696CA}" showGridLines="0" topLeftCell="A10">
      <selection activeCell="D51" sqref="D51"/>
      <pageMargins left="0.7" right="0.7" top="0.75" bottom="0.75" header="0.3" footer="0.3"/>
      <pageSetup paperSize="9" orientation="portrait" r:id="rId11"/>
    </customSheetView>
    <customSheetView guid="{6668B387-912B-41D3-A438-086D34482F31}" showGridLines="0">
      <selection activeCell="C2" sqref="C2"/>
      <pageMargins left="0.7" right="0.7" top="0.75" bottom="0.75" header="0.3" footer="0.3"/>
      <pageSetup paperSize="9" orientation="portrait" r:id="rId12"/>
    </customSheetView>
    <customSheetView guid="{F8C10BD5-4C61-4F5D-A32A-61D0695B8D8E}" showGridLines="0">
      <selection activeCell="C2" sqref="C2"/>
      <pageMargins left="0.7" right="0.7" top="0.75" bottom="0.75" header="0.3" footer="0.3"/>
      <pageSetup paperSize="9" orientation="portrait" r:id="rId13"/>
    </customSheetView>
    <customSheetView guid="{426687FD-750A-4CE4-9CD7-456268DEAEB9}" showGridLines="0" topLeftCell="A37">
      <selection activeCell="G19" sqref="G19"/>
      <pageMargins left="0.7" right="0.7" top="0.75" bottom="0.75" header="0.3" footer="0.3"/>
      <pageSetup paperSize="9" orientation="portrait" r:id="rId14"/>
    </customSheetView>
    <customSheetView guid="{142AC03A-22E3-4231-8209-D1E90D0B392F}" showGridLines="0">
      <selection activeCell="B16" sqref="B16:I16"/>
      <pageMargins left="0.7" right="0.7" top="0.75" bottom="0.75" header="0.3" footer="0.3"/>
      <pageSetup paperSize="9" orientation="portrait" r:id="rId15"/>
    </customSheetView>
    <customSheetView guid="{85202B59-7EA4-4FEE-83A9-85916C51E0F6}" showGridLines="0" topLeftCell="A28">
      <selection activeCell="B45" sqref="B45"/>
      <pageMargins left="0.7" right="0.7" top="0.75" bottom="0.75" header="0.3" footer="0.3"/>
      <pageSetup paperSize="9" orientation="portrait" r:id="rId16"/>
    </customSheetView>
    <customSheetView guid="{C2F1D4B1-A1F1-448D-93DB-7A0865BB4FAC}" showGridLines="0">
      <selection activeCell="C2" sqref="C2"/>
      <pageMargins left="0.7" right="0.7" top="0.75" bottom="0.75" header="0.3" footer="0.3"/>
      <pageSetup paperSize="9" orientation="portrait" r:id="rId17"/>
    </customSheetView>
    <customSheetView guid="{4BC8836F-67FA-4ADD-8BF2-2849727F82ED}" showGridLines="0">
      <selection activeCell="E16" sqref="E16"/>
      <pageMargins left="0.7" right="0.7" top="0.75" bottom="0.75" header="0.3" footer="0.3"/>
      <pageSetup paperSize="9" orientation="portrait" r:id="rId18"/>
    </customSheetView>
    <customSheetView guid="{7AFC5D51-FD9F-4863-8A51-4C412D6A5939}" showGridLines="0">
      <selection activeCell="C2" sqref="C2"/>
      <pageMargins left="0.7" right="0.7" top="0.75" bottom="0.75" header="0.3" footer="0.3"/>
      <pageSetup paperSize="9" orientation="portrait" r:id="rId19"/>
    </customSheetView>
    <customSheetView guid="{153EBAF3-54D0-4FF1-8F1D-7C3A305D289C}" showGridLines="0">
      <selection activeCell="C2" sqref="C2"/>
      <pageMargins left="0.7" right="0.7" top="0.75" bottom="0.75" header="0.3" footer="0.3"/>
      <pageSetup paperSize="9" orientation="portrait" r:id="rId20"/>
    </customSheetView>
    <customSheetView guid="{3784030C-584B-439C-8C22-F35D4C0C2F20}" showGridLines="0" topLeftCell="A10">
      <selection activeCell="D51" sqref="D51"/>
      <pageMargins left="0.7" right="0.7" top="0.75" bottom="0.75" header="0.3" footer="0.3"/>
      <pageSetup paperSize="9" orientation="portrait" r:id="rId21"/>
    </customSheetView>
    <customSheetView guid="{BE95F399-F8F3-4CBB-A91F-605EF249A9B6}" showPageBreaks="1" showGridLines="0" fitToPage="1" topLeftCell="A26">
      <selection activeCell="E45" sqref="E45"/>
      <pageMargins left="0.7" right="0.7" top="0.75" bottom="0.75" header="0.3" footer="0.3"/>
      <pageSetup paperSize="9" scale="42" fitToWidth="0" orientation="landscape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zoomScaleNormal="90" workbookViewId="0">
      <selection activeCell="A5" sqref="A5:D5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'14'!C2+1</f>
        <v>46096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5">
      <c r="A4" s="63" t="str">
        <f>АЛЬТЕРНА</f>
        <v>АО Метком Индустрия</v>
      </c>
      <c r="B4" s="64"/>
      <c r="C4" s="64"/>
      <c r="D4" s="65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/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topLeftCell="A25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>
      <selection activeCell="G20" sqref="G20"/>
      <pageMargins left="0.7" right="0.7" top="0.75" bottom="0.75" header="0.3" footer="0.3"/>
      <pageSetup paperSize="9" orientation="portrait" r:id="rId2"/>
    </customSheetView>
    <customSheetView guid="{FA3A1891-F2A6-4F77-B7A7-31E16BA7D8D7}" scale="90" showGridLines="0" topLeftCell="A2">
      <selection activeCell="D18" sqref="D18"/>
      <pageMargins left="0.7" right="0.7" top="0.75" bottom="0.75" header="0.3" footer="0.3"/>
      <pageSetup paperSize="9" orientation="portrait" r:id="rId3"/>
    </customSheetView>
    <customSheetView guid="{EC8093C0-B7E2-4217-8482-B79AFD6E926F}" showGridLines="0">
      <selection activeCell="G12" sqref="G12:G15"/>
      <pageMargins left="0.7" right="0.7" top="0.75" bottom="0.75" header="0.3" footer="0.3"/>
      <pageSetup paperSize="9" orientation="portrait" r:id="rId4"/>
    </customSheetView>
    <customSheetView guid="{744BD12D-C8AC-449A-9ACA-1F55F56C7796}" showGridLines="0">
      <selection activeCell="C2" sqref="C2"/>
      <pageMargins left="0.7" right="0.7" top="0.75" bottom="0.75" header="0.3" footer="0.3"/>
      <pageSetup paperSize="9" orientation="portrait" r:id="rId5"/>
    </customSheetView>
    <customSheetView guid="{0C483E96-A37A-425E-88F4-9E8400B3555F}" showGridLines="0">
      <selection activeCell="C2" sqref="C2"/>
      <pageMargins left="0.7" right="0.7" top="0.75" bottom="0.75" header="0.3" footer="0.3"/>
      <pageSetup paperSize="9" orientation="portrait" r:id="rId6"/>
    </customSheetView>
    <customSheetView guid="{F9D3156F-53B3-4E72-BF5E-6FE9C00C4EB5}" showGridLines="0">
      <selection activeCell="C2" sqref="C2"/>
      <pageMargins left="0.7" right="0.7" top="0.75" bottom="0.75" header="0.3" footer="0.3"/>
      <pageSetup paperSize="9" orientation="portrait" r:id="rId7"/>
    </customSheetView>
    <customSheetView guid="{B2CE1E24-888C-49F4-9769-3C51A085775C}" showGridLines="0">
      <selection activeCell="G20" sqref="G20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9"/>
    </customSheetView>
    <customSheetView guid="{93136F3E-7733-498C-9224-BF45385180C3}" showGridLines="0">
      <selection activeCell="J12" sqref="J12"/>
      <pageMargins left="0.7" right="0.7" top="0.75" bottom="0.75" header="0.3" footer="0.3"/>
      <pageSetup paperSize="9" orientation="portrait" r:id="rId10"/>
    </customSheetView>
    <customSheetView guid="{0B5B4FAE-B353-4A05-99F6-BD7D6C7696CA}" showGridLines="0" topLeftCell="A55">
      <selection activeCell="G68" sqref="G68"/>
      <pageMargins left="0.7" right="0.7" top="0.75" bottom="0.75" header="0.3" footer="0.3"/>
      <pageSetup paperSize="9" orientation="portrait" r:id="rId11"/>
    </customSheetView>
    <customSheetView guid="{6668B387-912B-41D3-A438-086D34482F31}" showGridLines="0">
      <selection activeCell="C2" sqref="C2"/>
      <pageMargins left="0.7" right="0.7" top="0.75" bottom="0.75" header="0.3" footer="0.3"/>
      <pageSetup paperSize="9" orientation="portrait" r:id="rId12"/>
    </customSheetView>
    <customSheetView guid="{F8C10BD5-4C61-4F5D-A32A-61D0695B8D8E}" showGridLines="0">
      <selection activeCell="C2" sqref="C2"/>
      <pageMargins left="0.7" right="0.7" top="0.75" bottom="0.75" header="0.3" footer="0.3"/>
      <pageSetup paperSize="9" orientation="portrait" r:id="rId13"/>
    </customSheetView>
    <customSheetView guid="{426687FD-750A-4CE4-9CD7-456268DEAEB9}" showGridLines="0" topLeftCell="A52">
      <selection activeCell="B66" sqref="B66:G67"/>
      <pageMargins left="0.7" right="0.7" top="0.75" bottom="0.75" header="0.3" footer="0.3"/>
      <pageSetup paperSize="9" orientation="portrait" r:id="rId14"/>
    </customSheetView>
    <customSheetView guid="{142AC03A-22E3-4231-8209-D1E90D0B392F}" showGridLines="0" topLeftCell="A49">
      <selection activeCell="B12" sqref="B12:G12"/>
      <pageMargins left="0.7" right="0.7" top="0.75" bottom="0.75" header="0.3" footer="0.3"/>
      <pageSetup paperSize="9" orientation="portrait" r:id="rId15"/>
    </customSheetView>
    <customSheetView guid="{85202B59-7EA4-4FEE-83A9-85916C51E0F6}" showGridLines="0">
      <selection activeCell="C2" sqref="C2"/>
      <pageMargins left="0.7" right="0.7" top="0.75" bottom="0.75" header="0.3" footer="0.3"/>
      <pageSetup paperSize="9" orientation="portrait" r:id="rId16"/>
    </customSheetView>
    <customSheetView guid="{C2F1D4B1-A1F1-448D-93DB-7A0865BB4FAC}" showGridLines="0">
      <selection activeCell="C2" sqref="C2"/>
      <pageMargins left="0.7" right="0.7" top="0.75" bottom="0.75" header="0.3" footer="0.3"/>
      <pageSetup paperSize="9" orientation="portrait" r:id="rId17"/>
    </customSheetView>
    <customSheetView guid="{4BC8836F-67FA-4ADD-8BF2-2849727F82ED}" scale="90" showGridLines="0" topLeftCell="A2">
      <selection activeCell="D18" sqref="D18"/>
      <pageMargins left="0.7" right="0.7" top="0.75" bottom="0.75" header="0.3" footer="0.3"/>
      <pageSetup paperSize="9" orientation="portrait" r:id="rId18"/>
    </customSheetView>
    <customSheetView guid="{7AFC5D51-FD9F-4863-8A51-4C412D6A5939}" showGridLines="0">
      <selection activeCell="C2" sqref="C2"/>
      <pageMargins left="0.7" right="0.7" top="0.75" bottom="0.75" header="0.3" footer="0.3"/>
      <pageSetup paperSize="9" orientation="portrait" r:id="rId19"/>
    </customSheetView>
    <customSheetView guid="{153EBAF3-54D0-4FF1-8F1D-7C3A305D289C}" showGridLines="0">
      <selection activeCell="G13" sqref="G13"/>
      <pageMargins left="0.7" right="0.7" top="0.75" bottom="0.75" header="0.3" footer="0.3"/>
      <pageSetup paperSize="9" orientation="portrait" r:id="rId20"/>
    </customSheetView>
    <customSheetView guid="{3784030C-584B-439C-8C22-F35D4C0C2F20}" showGridLines="0" topLeftCell="A55">
      <selection activeCell="G68" sqref="G68"/>
      <pageMargins left="0.7" right="0.7" top="0.75" bottom="0.75" header="0.3" footer="0.3"/>
      <pageSetup paperSize="9" orientation="portrait" r:id="rId21"/>
    </customSheetView>
    <customSheetView guid="{BE95F399-F8F3-4CBB-A91F-605EF249A9B6}" showGridLines="0">
      <selection activeCell="J69" sqref="J69:J72"/>
      <pageMargins left="0.7" right="0.7" top="0.75" bottom="0.75" header="0.3" footer="0.3"/>
      <pageSetup paperSize="9" orientation="portrait" r:id="rId22"/>
    </customSheetView>
  </customSheetViews>
  <mergeCells count="9">
    <mergeCell ref="A9:D9"/>
    <mergeCell ref="A82:D82"/>
    <mergeCell ref="A83:D83"/>
    <mergeCell ref="A8:D8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zoomScaleNormal="9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'15'!C2+1</f>
        <v>46097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3" t="str">
        <f>АЛЬТЕРНА</f>
        <v>АО Метком Индустрия</v>
      </c>
      <c r="B4" s="64"/>
      <c r="C4" s="64"/>
      <c r="D4" s="65"/>
      <c r="E4" s="8">
        <f>SUM(E5:E9)</f>
        <v>242194.43</v>
      </c>
      <c r="F4" s="52" t="s">
        <v>31</v>
      </c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>
        <v>242194.43</v>
      </c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242194.43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>
      <selection activeCell="G12" sqref="G12:G15"/>
      <pageMargins left="0.7" right="0.7" top="0.75" bottom="0.75" header="0.3" footer="0.3"/>
      <pageSetup paperSize="9" orientation="portrait" r:id="rId2"/>
    </customSheetView>
    <customSheetView guid="{FA3A1891-F2A6-4F77-B7A7-31E16BA7D8D7}" scale="90" showGridLines="0">
      <selection activeCell="F23" sqref="F23"/>
      <pageMargins left="0.7" right="0.7" top="0.75" bottom="0.75" header="0.3" footer="0.3"/>
      <pageSetup paperSize="9" orientation="portrait" r:id="rId3"/>
    </customSheetView>
    <customSheetView guid="{EC8093C0-B7E2-4217-8482-B79AFD6E926F}" showGridLines="0">
      <selection activeCell="G12" sqref="G12:G15"/>
      <pageMargins left="0.7" right="0.7" top="0.75" bottom="0.75" header="0.3" footer="0.3"/>
      <pageSetup paperSize="9" orientation="portrait" r:id="rId4"/>
    </customSheetView>
    <customSheetView guid="{744BD12D-C8AC-449A-9ACA-1F55F56C7796}" showGridLines="0">
      <selection activeCell="C2" sqref="C2"/>
      <pageMargins left="0.7" right="0.7" top="0.75" bottom="0.75" header="0.3" footer="0.3"/>
      <pageSetup paperSize="9" orientation="portrait" r:id="rId5"/>
    </customSheetView>
    <customSheetView guid="{0C483E96-A37A-425E-88F4-9E8400B3555F}" showGridLines="0">
      <selection activeCell="C2" sqref="C2"/>
      <pageMargins left="0.7" right="0.7" top="0.75" bottom="0.75" header="0.3" footer="0.3"/>
      <pageSetup paperSize="9" orientation="portrait" r:id="rId6"/>
    </customSheetView>
    <customSheetView guid="{F9D3156F-53B3-4E72-BF5E-6FE9C00C4EB5}" showGridLines="0">
      <selection activeCell="C2" sqref="C2"/>
      <pageMargins left="0.7" right="0.7" top="0.75" bottom="0.75" header="0.3" footer="0.3"/>
      <pageSetup paperSize="9" orientation="portrait" r:id="rId7"/>
    </customSheetView>
    <customSheetView guid="{B2CE1E24-888C-49F4-9769-3C51A085775C}" showGridLines="0">
      <selection activeCell="G12" sqref="G12:G15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9"/>
    </customSheetView>
    <customSheetView guid="{93136F3E-7733-498C-9224-BF45385180C3}" showGridLines="0">
      <selection activeCell="G12" sqref="G12:G15"/>
      <pageMargins left="0.7" right="0.7" top="0.75" bottom="0.75" header="0.3" footer="0.3"/>
      <pageSetup paperSize="9" orientation="portrait" r:id="rId10"/>
    </customSheetView>
    <customSheetView guid="{0B5B4FAE-B353-4A05-99F6-BD7D6C7696CA}" showGridLines="0" topLeftCell="A28">
      <selection activeCell="H88" sqref="H88"/>
      <pageMargins left="0.7" right="0.7" top="0.75" bottom="0.75" header="0.3" footer="0.3"/>
      <pageSetup paperSize="9" orientation="portrait" r:id="rId11"/>
    </customSheetView>
    <customSheetView guid="{6668B387-912B-41D3-A438-086D34482F31}" showGridLines="0">
      <selection activeCell="C2" sqref="C2"/>
      <pageMargins left="0.7" right="0.7" top="0.75" bottom="0.75" header="0.3" footer="0.3"/>
      <pageSetup paperSize="9" orientation="portrait" r:id="rId12"/>
    </customSheetView>
    <customSheetView guid="{F8C10BD5-4C61-4F5D-A32A-61D0695B8D8E}" showGridLines="0">
      <selection activeCell="C2" sqref="C2"/>
      <pageMargins left="0.7" right="0.7" top="0.75" bottom="0.75" header="0.3" footer="0.3"/>
      <pageSetup paperSize="9" orientation="portrait" r:id="rId13"/>
    </customSheetView>
    <customSheetView guid="{426687FD-750A-4CE4-9CD7-456268DEAEB9}" showGridLines="0" topLeftCell="A43">
      <selection activeCell="C60" sqref="C60:G60"/>
      <pageMargins left="0.7" right="0.7" top="0.75" bottom="0.75" header="0.3" footer="0.3"/>
      <pageSetup paperSize="9" orientation="portrait" r:id="rId14"/>
    </customSheetView>
    <customSheetView guid="{142AC03A-22E3-4231-8209-D1E90D0B392F}" showGridLines="0">
      <selection activeCell="B19" sqref="B19:G19"/>
      <pageMargins left="0.7" right="0.7" top="0.75" bottom="0.75" header="0.3" footer="0.3"/>
      <pageSetup paperSize="9" orientation="portrait" r:id="rId15"/>
    </customSheetView>
    <customSheetView guid="{85202B59-7EA4-4FEE-83A9-85916C51E0F6}" showGridLines="0">
      <selection activeCell="C2" sqref="C2"/>
      <pageMargins left="0.7" right="0.7" top="0.75" bottom="0.75" header="0.3" footer="0.3"/>
      <pageSetup paperSize="9" orientation="portrait" r:id="rId16"/>
    </customSheetView>
    <customSheetView guid="{C2F1D4B1-A1F1-448D-93DB-7A0865BB4FAC}" showGridLines="0">
      <selection activeCell="C2" sqref="C2"/>
      <pageMargins left="0.7" right="0.7" top="0.75" bottom="0.75" header="0.3" footer="0.3"/>
      <pageSetup paperSize="9" orientation="portrait" r:id="rId17"/>
    </customSheetView>
    <customSheetView guid="{4BC8836F-67FA-4ADD-8BF2-2849727F82ED}" scale="90" showGridLines="0">
      <selection activeCell="F23" sqref="F23"/>
      <pageMargins left="0.7" right="0.7" top="0.75" bottom="0.75" header="0.3" footer="0.3"/>
      <pageSetup paperSize="9" orientation="portrait" r:id="rId18"/>
    </customSheetView>
    <customSheetView guid="{7AFC5D51-FD9F-4863-8A51-4C412D6A5939}" showGridLines="0">
      <selection activeCell="C2" sqref="C2"/>
      <pageMargins left="0.7" right="0.7" top="0.75" bottom="0.75" header="0.3" footer="0.3"/>
      <pageSetup paperSize="9" orientation="portrait" r:id="rId19"/>
    </customSheetView>
    <customSheetView guid="{153EBAF3-54D0-4FF1-8F1D-7C3A305D289C}" showGridLines="0">
      <selection activeCell="I12" sqref="I12"/>
      <pageMargins left="0.7" right="0.7" top="0.75" bottom="0.75" header="0.3" footer="0.3"/>
      <pageSetup paperSize="9" orientation="portrait" r:id="rId20"/>
    </customSheetView>
    <customSheetView guid="{3784030C-584B-439C-8C22-F35D4C0C2F20}" showGridLines="0" topLeftCell="A28">
      <selection activeCell="H88" sqref="H88"/>
      <pageMargins left="0.7" right="0.7" top="0.75" bottom="0.75" header="0.3" footer="0.3"/>
      <pageSetup paperSize="9" orientation="portrait" r:id="rId21"/>
    </customSheetView>
    <customSheetView guid="{BE95F399-F8F3-4CBB-A91F-605EF249A9B6}" showGridLines="0" topLeftCell="A37">
      <selection activeCell="J60" sqref="J60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zoomScaleNormal="9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'16'!C2+1</f>
        <v>46098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3" t="str">
        <f>АЛЬТЕРНА</f>
        <v>АО Метком Индустрия</v>
      </c>
      <c r="B4" s="64"/>
      <c r="C4" s="64"/>
      <c r="D4" s="65"/>
      <c r="E4" s="8">
        <f>SUM(E5:E9)</f>
        <v>242194.43</v>
      </c>
      <c r="F4" s="52" t="s">
        <v>31</v>
      </c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>
        <v>242194.43</v>
      </c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242194.43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>
      <selection activeCell="F18" sqref="F18"/>
      <pageMargins left="0.7" right="0.7" top="0.75" bottom="0.75" header="0.3" footer="0.3"/>
      <pageSetup paperSize="9" orientation="portrait" r:id="rId2"/>
    </customSheetView>
    <customSheetView guid="{FA3A1891-F2A6-4F77-B7A7-31E16BA7D8D7}" scale="90" showGridLines="0">
      <selection activeCell="G15" sqref="G15"/>
      <pageMargins left="0.7" right="0.7" top="0.75" bottom="0.75" header="0.3" footer="0.3"/>
      <pageSetup paperSize="9" orientation="portrait" r:id="rId3"/>
    </customSheetView>
    <customSheetView guid="{EC8093C0-B7E2-4217-8482-B79AFD6E926F}" showGridLines="0">
      <selection activeCell="G12" sqref="G12:G15"/>
      <pageMargins left="0.7" right="0.7" top="0.75" bottom="0.75" header="0.3" footer="0.3"/>
      <pageSetup paperSize="9" orientation="portrait" r:id="rId4"/>
    </customSheetView>
    <customSheetView guid="{744BD12D-C8AC-449A-9ACA-1F55F56C7796}" showGridLines="0" topLeftCell="A58">
      <selection activeCell="C2" sqref="C2"/>
      <pageMargins left="0.7" right="0.7" top="0.75" bottom="0.75" header="0.3" footer="0.3"/>
      <pageSetup paperSize="9" orientation="portrait" r:id="rId5"/>
    </customSheetView>
    <customSheetView guid="{0C483E96-A37A-425E-88F4-9E8400B3555F}" showGridLines="0">
      <selection activeCell="C2" sqref="C2"/>
      <pageMargins left="0.7" right="0.7" top="0.75" bottom="0.75" header="0.3" footer="0.3"/>
      <pageSetup paperSize="9" orientation="portrait" r:id="rId6"/>
    </customSheetView>
    <customSheetView guid="{F9D3156F-53B3-4E72-BF5E-6FE9C00C4EB5}" showGridLines="0">
      <selection activeCell="C2" sqref="C2"/>
      <pageMargins left="0.7" right="0.7" top="0.75" bottom="0.75" header="0.3" footer="0.3"/>
      <pageSetup paperSize="9" orientation="portrait" r:id="rId7"/>
    </customSheetView>
    <customSheetView guid="{B2CE1E24-888C-49F4-9769-3C51A085775C}" showGridLines="0">
      <selection activeCell="G12" sqref="G12:G15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9"/>
    </customSheetView>
    <customSheetView guid="{93136F3E-7733-498C-9224-BF45385180C3}" showGridLines="0">
      <selection activeCell="G12" sqref="G12:G15"/>
      <pageMargins left="0.7" right="0.7" top="0.75" bottom="0.75" header="0.3" footer="0.3"/>
      <pageSetup paperSize="9" orientation="portrait" r:id="rId10"/>
    </customSheetView>
    <customSheetView guid="{0B5B4FAE-B353-4A05-99F6-BD7D6C7696CA}" showGridLines="0">
      <selection activeCell="D21" sqref="D21"/>
      <pageMargins left="0.7" right="0.7" top="0.75" bottom="0.75" header="0.3" footer="0.3"/>
      <pageSetup paperSize="9" orientation="portrait" r:id="rId11"/>
    </customSheetView>
    <customSheetView guid="{6668B387-912B-41D3-A438-086D34482F31}" showGridLines="0">
      <selection activeCell="C2" sqref="C2"/>
      <pageMargins left="0.7" right="0.7" top="0.75" bottom="0.75" header="0.3" footer="0.3"/>
      <pageSetup paperSize="9" orientation="portrait" r:id="rId12"/>
    </customSheetView>
    <customSheetView guid="{F8C10BD5-4C61-4F5D-A32A-61D0695B8D8E}" showGridLines="0">
      <selection activeCell="C2" sqref="C2"/>
      <pageMargins left="0.7" right="0.7" top="0.75" bottom="0.75" header="0.3" footer="0.3"/>
      <pageSetup paperSize="9" orientation="portrait" r:id="rId13"/>
    </customSheetView>
    <customSheetView guid="{426687FD-750A-4CE4-9CD7-456268DEAEB9}" showGridLines="0" topLeftCell="A40">
      <selection activeCell="B60" sqref="B60:G62"/>
      <pageMargins left="0.7" right="0.7" top="0.75" bottom="0.75" header="0.3" footer="0.3"/>
      <pageSetup paperSize="9" orientation="portrait" r:id="rId14"/>
    </customSheetView>
    <customSheetView guid="{142AC03A-22E3-4231-8209-D1E90D0B392F}" showGridLines="0">
      <selection activeCell="B15" sqref="B15:G15"/>
      <pageMargins left="0.7" right="0.7" top="0.75" bottom="0.75" header="0.3" footer="0.3"/>
      <pageSetup paperSize="9" orientation="portrait" r:id="rId15"/>
    </customSheetView>
    <customSheetView guid="{85202B59-7EA4-4FEE-83A9-85916C51E0F6}" showGridLines="0">
      <selection activeCell="C2" sqref="C2"/>
      <pageMargins left="0.7" right="0.7" top="0.75" bottom="0.75" header="0.3" footer="0.3"/>
      <pageSetup paperSize="9" orientation="portrait" r:id="rId16"/>
    </customSheetView>
    <customSheetView guid="{C2F1D4B1-A1F1-448D-93DB-7A0865BB4FAC}" showGridLines="0">
      <selection activeCell="C2" sqref="C2"/>
      <pageMargins left="0.7" right="0.7" top="0.75" bottom="0.75" header="0.3" footer="0.3"/>
      <pageSetup paperSize="9" orientation="portrait" r:id="rId17"/>
    </customSheetView>
    <customSheetView guid="{4BC8836F-67FA-4ADD-8BF2-2849727F82ED}" scale="90" showGridLines="0">
      <selection activeCell="G15" sqref="G15"/>
      <pageMargins left="0.7" right="0.7" top="0.75" bottom="0.75" header="0.3" footer="0.3"/>
      <pageSetup paperSize="9" orientation="portrait" r:id="rId18"/>
    </customSheetView>
    <customSheetView guid="{7AFC5D51-FD9F-4863-8A51-4C412D6A5939}" showGridLines="0" topLeftCell="A58">
      <selection activeCell="C2" sqref="C2"/>
      <pageMargins left="0.7" right="0.7" top="0.75" bottom="0.75" header="0.3" footer="0.3"/>
      <pageSetup paperSize="9" orientation="portrait" r:id="rId19"/>
    </customSheetView>
    <customSheetView guid="{153EBAF3-54D0-4FF1-8F1D-7C3A305D289C}" showGridLines="0">
      <selection activeCell="C2" sqref="C2"/>
      <pageMargins left="0.7" right="0.7" top="0.75" bottom="0.75" header="0.3" footer="0.3"/>
      <pageSetup paperSize="9" orientation="portrait" r:id="rId20"/>
    </customSheetView>
    <customSheetView guid="{3784030C-584B-439C-8C22-F35D4C0C2F20}" showGridLines="0">
      <selection activeCell="D21" sqref="D21"/>
      <pageMargins left="0.7" right="0.7" top="0.75" bottom="0.75" header="0.3" footer="0.3"/>
      <pageSetup paperSize="9" orientation="portrait" r:id="rId21"/>
    </customSheetView>
    <customSheetView guid="{BE95F399-F8F3-4CBB-A91F-605EF249A9B6}" showGridLines="0" topLeftCell="B7">
      <selection activeCell="J15" sqref="J15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disablePrompts="1"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'17'!C2+1</f>
        <v>46099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3" t="str">
        <f>АЛЬТЕРНА</f>
        <v>АО Метком Индустрия</v>
      </c>
      <c r="B4" s="64"/>
      <c r="C4" s="64"/>
      <c r="D4" s="65"/>
      <c r="E4" s="8">
        <f>SUM(E5:E9)</f>
        <v>242194.43</v>
      </c>
      <c r="F4" s="52" t="s">
        <v>31</v>
      </c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>
        <v>242194.43</v>
      </c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242194.43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FA3A1891-F2A6-4F77-B7A7-31E16BA7D8D7}" showGridLines="0">
      <selection activeCell="A8" sqref="A8:E8"/>
      <pageMargins left="0.7" right="0.7" top="0.75" bottom="0.75" header="0.3" footer="0.3"/>
      <pageSetup paperSize="9" orientation="portrait" r:id="rId3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4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5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9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0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1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2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3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14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4BC8836F-67FA-4ADD-8BF2-2849727F82ED}" showGridLines="0">
      <selection activeCell="A8" sqref="A8:E8"/>
      <pageMargins left="0.7" right="0.7" top="0.75" bottom="0.75" header="0.3" footer="0.3"/>
      <pageSetup paperSize="9" orientation="portrait" r:id="rId18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19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20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'18'!C2+1</f>
        <v>46100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3" t="str">
        <f>АЛЬТЕРНА</f>
        <v>АО Метком Индустрия</v>
      </c>
      <c r="B4" s="64"/>
      <c r="C4" s="64"/>
      <c r="D4" s="65"/>
      <c r="E4" s="8">
        <f>SUM(E5:E9)</f>
        <v>242194.43</v>
      </c>
      <c r="F4" s="52" t="s">
        <v>31</v>
      </c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>
        <v>242194.43</v>
      </c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242194.43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FA3A1891-F2A6-4F77-B7A7-31E16BA7D8D7}" showGridLines="0">
      <selection activeCell="A8" sqref="A8:E8"/>
      <pageMargins left="0.7" right="0.7" top="0.75" bottom="0.75" header="0.3" footer="0.3"/>
      <pageSetup paperSize="9" orientation="portrait" r:id="rId3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4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5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9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0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1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2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3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14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4BC8836F-67FA-4ADD-8BF2-2849727F82ED}" showGridLines="0">
      <selection activeCell="A8" sqref="A8:E8"/>
      <pageMargins left="0.7" right="0.7" top="0.75" bottom="0.75" header="0.3" footer="0.3"/>
      <pageSetup paperSize="9" orientation="portrait" r:id="rId18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19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20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'19'!C2+1</f>
        <v>46101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3" t="str">
        <f>АЛЬТЕРНА</f>
        <v>АО Метком Индустрия</v>
      </c>
      <c r="B4" s="64"/>
      <c r="C4" s="64"/>
      <c r="D4" s="65"/>
      <c r="E4" s="8">
        <f>SUM(E5:E9)</f>
        <v>242194.43</v>
      </c>
      <c r="F4" s="52" t="s">
        <v>31</v>
      </c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>
        <v>242194.43</v>
      </c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242194.43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topLeftCell="A19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>
      <selection activeCell="D23" sqref="D23"/>
      <pageMargins left="0.7" right="0.7" top="0.75" bottom="0.75" header="0.3" footer="0.3"/>
      <pageSetup paperSize="9" orientation="portrait" r:id="rId2"/>
    </customSheetView>
    <customSheetView guid="{FA3A1891-F2A6-4F77-B7A7-31E16BA7D8D7}" showGridLines="0" hiddenRows="1">
      <selection activeCell="H80" sqref="G80:H80"/>
      <pageMargins left="0.7" right="0.7" top="0.75" bottom="0.75" header="0.3" footer="0.3"/>
      <pageSetup paperSize="9" orientation="portrait" r:id="rId3"/>
    </customSheetView>
    <customSheetView guid="{EC8093C0-B7E2-4217-8482-B79AFD6E926F}" showGridLines="0">
      <selection activeCell="G17" sqref="G17"/>
      <pageMargins left="0.7" right="0.7" top="0.75" bottom="0.75" header="0.3" footer="0.3"/>
      <pageSetup paperSize="9" orientation="portrait" r:id="rId4"/>
    </customSheetView>
    <customSheetView guid="{744BD12D-C8AC-449A-9ACA-1F55F56C7796}" showGridLines="0" topLeftCell="A60">
      <selection activeCell="E73" sqref="E73"/>
      <pageMargins left="0.7" right="0.7" top="0.75" bottom="0.75" header="0.3" footer="0.3"/>
      <pageSetup paperSize="9" orientation="portrait" r:id="rId5"/>
    </customSheetView>
    <customSheetView guid="{0C483E96-A37A-425E-88F4-9E8400B3555F}" showGridLines="0" topLeftCell="A28">
      <selection activeCell="G46" sqref="G46"/>
      <pageMargins left="0.7" right="0.7" top="0.75" bottom="0.75" header="0.3" footer="0.3"/>
      <pageSetup paperSize="9" orientation="portrait" r:id="rId6"/>
    </customSheetView>
    <customSheetView guid="{F9D3156F-53B3-4E72-BF5E-6FE9C00C4EB5}" showGridLines="0">
      <selection activeCell="F75" sqref="F75"/>
      <pageMargins left="0.7" right="0.7" top="0.75" bottom="0.75" header="0.3" footer="0.3"/>
      <pageSetup paperSize="9" orientation="portrait" r:id="rId7"/>
    </customSheetView>
    <customSheetView guid="{B2CE1E24-888C-49F4-9769-3C51A085775C}" showGridLines="0">
      <selection activeCell="G17" sqref="G17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9"/>
    </customSheetView>
    <customSheetView guid="{93136F3E-7733-498C-9224-BF45385180C3}" showGridLines="0">
      <selection activeCell="A12" sqref="A12:XFD12"/>
      <pageMargins left="0.7" right="0.7" top="0.75" bottom="0.75" header="0.3" footer="0.3"/>
      <pageSetup paperSize="9" orientation="portrait" r:id="rId10"/>
    </customSheetView>
    <customSheetView guid="{0B5B4FAE-B353-4A05-99F6-BD7D6C7696CA}" showGridLines="0">
      <selection activeCell="H67" sqref="H67"/>
      <pageMargins left="0.7" right="0.7" top="0.75" bottom="0.75" header="0.3" footer="0.3"/>
      <pageSetup paperSize="9" orientation="portrait" r:id="rId11"/>
    </customSheetView>
    <customSheetView guid="{6668B387-912B-41D3-A438-086D34482F31}" showGridLines="0">
      <selection activeCell="G22" sqref="G22"/>
      <pageMargins left="0.7" right="0.7" top="0.75" bottom="0.75" header="0.3" footer="0.3"/>
      <pageSetup paperSize="9" orientation="portrait" r:id="rId12"/>
    </customSheetView>
    <customSheetView guid="{F8C10BD5-4C61-4F5D-A32A-61D0695B8D8E}" showGridLines="0">
      <selection activeCell="D12" sqref="D12"/>
      <pageMargins left="0.7" right="0.7" top="0.75" bottom="0.75" header="0.3" footer="0.3"/>
      <pageSetup paperSize="9" orientation="portrait" r:id="rId13"/>
    </customSheetView>
    <customSheetView guid="{426687FD-750A-4CE4-9CD7-456268DEAEB9}" showGridLines="0">
      <selection activeCell="G17" sqref="G17"/>
      <pageMargins left="0.7" right="0.7" top="0.75" bottom="0.75" header="0.3" footer="0.3"/>
      <pageSetup paperSize="9" orientation="portrait" r:id="rId14"/>
    </customSheetView>
    <customSheetView guid="{142AC03A-22E3-4231-8209-D1E90D0B392F}" showGridLines="0">
      <selection activeCell="B15" sqref="B15:G15"/>
      <pageMargins left="0.7" right="0.7" top="0.75" bottom="0.75" header="0.3" footer="0.3"/>
      <pageSetup paperSize="9" orientation="portrait" r:id="rId15"/>
    </customSheetView>
    <customSheetView guid="{85202B59-7EA4-4FEE-83A9-85916C51E0F6}" showGridLines="0" topLeftCell="A52">
      <selection activeCell="F75" sqref="F75"/>
      <pageMargins left="0.7" right="0.7" top="0.75" bottom="0.75" header="0.3" footer="0.3"/>
      <pageSetup paperSize="9" orientation="portrait" r:id="rId16"/>
    </customSheetView>
    <customSheetView guid="{C2F1D4B1-A1F1-448D-93DB-7A0865BB4FAC}" showGridLines="0">
      <selection activeCell="G22" sqref="G22"/>
      <pageMargins left="0.7" right="0.7" top="0.75" bottom="0.75" header="0.3" footer="0.3"/>
      <pageSetup paperSize="9" orientation="portrait" r:id="rId17"/>
    </customSheetView>
    <customSheetView guid="{4BC8836F-67FA-4ADD-8BF2-2849727F82ED}" showGridLines="0" hiddenRows="1">
      <selection activeCell="H80" sqref="G80:H80"/>
      <pageMargins left="0.7" right="0.7" top="0.75" bottom="0.75" header="0.3" footer="0.3"/>
      <pageSetup paperSize="9" orientation="portrait" r:id="rId18"/>
    </customSheetView>
    <customSheetView guid="{7AFC5D51-FD9F-4863-8A51-4C412D6A5939}" showGridLines="0">
      <selection activeCell="B71" sqref="B71:D71"/>
      <pageMargins left="0.7" right="0.7" top="0.75" bottom="0.75" header="0.3" footer="0.3"/>
      <pageSetup paperSize="9" orientation="portrait" r:id="rId19"/>
    </customSheetView>
    <customSheetView guid="{153EBAF3-54D0-4FF1-8F1D-7C3A305D289C}" showGridLines="0" topLeftCell="A7">
      <selection activeCell="I15" sqref="I15:I16"/>
      <pageMargins left="0.7" right="0.7" top="0.75" bottom="0.75" header="0.3" footer="0.3"/>
      <pageSetup paperSize="9" orientation="portrait" r:id="rId20"/>
    </customSheetView>
    <customSheetView guid="{3784030C-584B-439C-8C22-F35D4C0C2F20}" showGridLines="0" topLeftCell="A43">
      <selection activeCell="D69" sqref="D69"/>
      <pageMargins left="0.7" right="0.7" top="0.75" bottom="0.75" header="0.3" footer="0.3"/>
      <pageSetup paperSize="9" orientation="portrait" r:id="rId21"/>
    </customSheetView>
    <customSheetView guid="{BE95F399-F8F3-4CBB-A91F-605EF249A9B6}" showGridLines="0" topLeftCell="A46">
      <selection activeCell="G78" sqref="G78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workbookViewId="0">
      <selection activeCell="A5" sqref="A5:D5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'20'!C2+1</f>
        <v>46102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5">
      <c r="A4" s="63" t="str">
        <f>АЛЬТЕРНА</f>
        <v>АО Метком Индустрия</v>
      </c>
      <c r="B4" s="64"/>
      <c r="C4" s="64"/>
      <c r="D4" s="65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/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topLeftCell="A39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>
      <selection activeCell="G18" sqref="G18"/>
      <pageMargins left="0.7" right="0.7" top="0.75" bottom="0.75" header="0.3" footer="0.3"/>
      <pageSetup paperSize="9" orientation="portrait" r:id="rId2"/>
    </customSheetView>
    <customSheetView guid="{FA3A1891-F2A6-4F77-B7A7-31E16BA7D8D7}" showGridLines="0" topLeftCell="A22">
      <selection activeCell="F21" sqref="F21"/>
      <pageMargins left="0.7" right="0.7" top="0.75" bottom="0.75" header="0.3" footer="0.3"/>
      <pageSetup paperSize="9" orientation="portrait" r:id="rId3"/>
    </customSheetView>
    <customSheetView guid="{EC8093C0-B7E2-4217-8482-B79AFD6E926F}" showGridLines="0">
      <selection activeCell="G18" sqref="G18"/>
      <pageMargins left="0.7" right="0.7" top="0.75" bottom="0.75" header="0.3" footer="0.3"/>
      <pageSetup paperSize="9" orientation="portrait" r:id="rId4"/>
    </customSheetView>
    <customSheetView guid="{744BD12D-C8AC-449A-9ACA-1F55F56C7796}" showGridLines="0" topLeftCell="A40">
      <selection activeCell="C2" sqref="C2"/>
      <pageMargins left="0.7" right="0.7" top="0.75" bottom="0.75" header="0.3" footer="0.3"/>
      <pageSetup paperSize="9" orientation="portrait" r:id="rId5"/>
    </customSheetView>
    <customSheetView guid="{0C483E96-A37A-425E-88F4-9E8400B3555F}" showGridLines="0">
      <selection activeCell="C2" sqref="C2"/>
      <pageMargins left="0.7" right="0.7" top="0.75" bottom="0.75" header="0.3" footer="0.3"/>
      <pageSetup paperSize="9" orientation="portrait" r:id="rId6"/>
    </customSheetView>
    <customSheetView guid="{F9D3156F-53B3-4E72-BF5E-6FE9C00C4EB5}" showGridLines="0">
      <selection activeCell="E20" sqref="E20"/>
      <pageMargins left="0.7" right="0.7" top="0.75" bottom="0.75" header="0.3" footer="0.3"/>
      <pageSetup paperSize="9" orientation="portrait" r:id="rId7"/>
    </customSheetView>
    <customSheetView guid="{B2CE1E24-888C-49F4-9769-3C51A085775C}" showGridLines="0">
      <selection activeCell="G18" sqref="G18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9"/>
    </customSheetView>
    <customSheetView guid="{93136F3E-7733-498C-9224-BF45385180C3}" showGridLines="0">
      <selection activeCell="A15" sqref="A15:XFD15"/>
      <pageMargins left="0.7" right="0.7" top="0.75" bottom="0.75" header="0.3" footer="0.3"/>
      <pageSetup paperSize="9" orientation="portrait" r:id="rId10"/>
    </customSheetView>
    <customSheetView guid="{0B5B4FAE-B353-4A05-99F6-BD7D6C7696CA}" showGridLines="0">
      <selection activeCell="G18" sqref="G18"/>
      <pageMargins left="0.7" right="0.7" top="0.75" bottom="0.75" header="0.3" footer="0.3"/>
      <pageSetup paperSize="9" orientation="portrait" r:id="rId11"/>
    </customSheetView>
    <customSheetView guid="{6668B387-912B-41D3-A438-086D34482F31}" showGridLines="0">
      <selection activeCell="G7" sqref="G7"/>
      <pageMargins left="0.7" right="0.7" top="0.75" bottom="0.75" header="0.3" footer="0.3"/>
      <pageSetup paperSize="9" orientation="portrait" r:id="rId12"/>
    </customSheetView>
    <customSheetView guid="{F8C10BD5-4C61-4F5D-A32A-61D0695B8D8E}" showGridLines="0">
      <selection activeCell="C2" sqref="C2"/>
      <pageMargins left="0.7" right="0.7" top="0.75" bottom="0.75" header="0.3" footer="0.3"/>
      <pageSetup paperSize="9" orientation="portrait" r:id="rId13"/>
    </customSheetView>
    <customSheetView guid="{426687FD-750A-4CE4-9CD7-456268DEAEB9}" showGridLines="0">
      <selection activeCell="G18" sqref="G18"/>
      <pageMargins left="0.7" right="0.7" top="0.75" bottom="0.75" header="0.3" footer="0.3"/>
      <pageSetup paperSize="9" orientation="portrait" r:id="rId14"/>
    </customSheetView>
    <customSheetView guid="{142AC03A-22E3-4231-8209-D1E90D0B392F}" showGridLines="0">
      <selection activeCell="G18" sqref="G18"/>
      <pageMargins left="0.7" right="0.7" top="0.75" bottom="0.75" header="0.3" footer="0.3"/>
      <pageSetup paperSize="9" orientation="portrait" r:id="rId15"/>
    </customSheetView>
    <customSheetView guid="{85202B59-7EA4-4FEE-83A9-85916C51E0F6}" showGridLines="0">
      <selection activeCell="C2" sqref="C2"/>
      <pageMargins left="0.7" right="0.7" top="0.75" bottom="0.75" header="0.3" footer="0.3"/>
      <pageSetup paperSize="9" orientation="portrait" r:id="rId16"/>
    </customSheetView>
    <customSheetView guid="{C2F1D4B1-A1F1-448D-93DB-7A0865BB4FAC}" showGridLines="0">
      <selection activeCell="B12" sqref="B12:D12"/>
      <pageMargins left="0.7" right="0.7" top="0.75" bottom="0.75" header="0.3" footer="0.3"/>
      <pageSetup paperSize="9" orientation="portrait" r:id="rId17"/>
    </customSheetView>
    <customSheetView guid="{4BC8836F-67FA-4ADD-8BF2-2849727F82ED}" showGridLines="0" topLeftCell="A22">
      <selection activeCell="F21" sqref="F21"/>
      <pageMargins left="0.7" right="0.7" top="0.75" bottom="0.75" header="0.3" footer="0.3"/>
      <pageSetup paperSize="9" orientation="portrait" r:id="rId18"/>
    </customSheetView>
    <customSheetView guid="{7AFC5D51-FD9F-4863-8A51-4C412D6A5939}" showGridLines="0" topLeftCell="A10">
      <selection activeCell="C2" sqref="C2"/>
      <pageMargins left="0.7" right="0.7" top="0.75" bottom="0.75" header="0.3" footer="0.3"/>
      <pageSetup paperSize="9" orientation="portrait" r:id="rId19"/>
    </customSheetView>
    <customSheetView guid="{153EBAF3-54D0-4FF1-8F1D-7C3A305D289C}" showGridLines="0">
      <selection activeCell="C2" sqref="C2"/>
      <pageMargins left="0.7" right="0.7" top="0.75" bottom="0.75" header="0.3" footer="0.3"/>
      <pageSetup paperSize="9" orientation="portrait" r:id="rId20"/>
    </customSheetView>
    <customSheetView guid="{3784030C-584B-439C-8C22-F35D4C0C2F20}" showGridLines="0">
      <selection activeCell="E18" sqref="E18"/>
      <pageMargins left="0.7" right="0.7" top="0.75" bottom="0.75" header="0.3" footer="0.3"/>
      <pageSetup paperSize="9" orientation="portrait" r:id="rId21"/>
    </customSheetView>
    <customSheetView guid="{BE95F399-F8F3-4CBB-A91F-605EF249A9B6}" showPageBreaks="1" showGridLines="0" fitToPage="1" topLeftCell="A16">
      <selection activeCell="I25" sqref="I25"/>
      <pageMargins left="0.7" right="0.7" top="0.75" bottom="0.75" header="0.3" footer="0.3"/>
      <pageSetup paperSize="9" scale="42" fitToWidth="0" orientation="landscape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workbookViewId="0">
      <selection activeCell="A5" sqref="A5:D5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'21'!C2+1</f>
        <v>46103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5">
      <c r="A4" s="63" t="str">
        <f>АЛЬТЕРНА</f>
        <v>АО Метком Индустрия</v>
      </c>
      <c r="B4" s="64"/>
      <c r="C4" s="64"/>
      <c r="D4" s="65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/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topLeftCell="A16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FA3A1891-F2A6-4F77-B7A7-31E16BA7D8D7}" showGridLines="0" topLeftCell="A55">
      <selection activeCell="E31" sqref="E31"/>
      <pageMargins left="0.7" right="0.7" top="0.75" bottom="0.75" header="0.3" footer="0.3"/>
      <pageSetup paperSize="9" orientation="portrait" r:id="rId3"/>
    </customSheetView>
    <customSheetView guid="{EC8093C0-B7E2-4217-8482-B79AFD6E926F}" showGridLines="0" topLeftCell="A13">
      <selection activeCell="B29" sqref="B29"/>
      <pageMargins left="0.7" right="0.7" top="0.75" bottom="0.75" header="0.3" footer="0.3"/>
      <pageSetup paperSize="9" orientation="portrait" r:id="rId4"/>
    </customSheetView>
    <customSheetView guid="{744BD12D-C8AC-449A-9ACA-1F55F56C7796}" showGridLines="0" topLeftCell="A60">
      <selection activeCell="A8" sqref="A8:D8"/>
      <pageMargins left="0.7" right="0.7" top="0.75" bottom="0.75" header="0.3" footer="0.3"/>
      <pageSetup paperSize="9" orientation="portrait" r:id="rId5"/>
    </customSheetView>
    <customSheetView guid="{0C483E96-A37A-425E-88F4-9E8400B3555F}" showGridLines="0" topLeftCell="A27">
      <selection activeCell="G45" sqref="G45"/>
      <pageMargins left="0.7" right="0.7" top="0.75" bottom="0.75" header="0.3" footer="0.3"/>
      <pageSetup paperSize="9" orientation="portrait" r:id="rId6"/>
    </customSheetView>
    <customSheetView guid="{F9D3156F-53B3-4E72-BF5E-6FE9C00C4EB5}" showGridLines="0">
      <selection activeCell="E22" sqref="E22"/>
      <pageMargins left="0.7" right="0.7" top="0.75" bottom="0.75" header="0.3" footer="0.3"/>
      <pageSetup paperSize="9" orientation="portrait" r:id="rId7"/>
    </customSheetView>
    <customSheetView guid="{B2CE1E24-888C-49F4-9769-3C51A085775C}" showGridLines="0" topLeftCell="A34">
      <selection activeCell="B65" sqref="B65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9"/>
    </customSheetView>
    <customSheetView guid="{93136F3E-7733-498C-9224-BF45385180C3}" showGridLines="0">
      <selection activeCell="E13" sqref="E13"/>
      <pageMargins left="0.7" right="0.7" top="0.75" bottom="0.75" header="0.3" footer="0.3"/>
      <pageSetup paperSize="9" orientation="portrait" r:id="rId10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1"/>
    </customSheetView>
    <customSheetView guid="{6668B387-912B-41D3-A438-086D34482F31}" showGridLines="0" hiddenRows="1">
      <selection activeCell="A8" sqref="A8:D8"/>
      <pageMargins left="0.7" right="0.7" top="0.75" bottom="0.75" header="0.3" footer="0.3"/>
      <pageSetup paperSize="9" orientation="portrait" r:id="rId12"/>
    </customSheetView>
    <customSheetView guid="{F8C10BD5-4C61-4F5D-A32A-61D0695B8D8E}" showGridLines="0" topLeftCell="D1">
      <selection activeCell="B12" sqref="B12:J12"/>
      <pageMargins left="0.7" right="0.7" top="0.75" bottom="0.75" header="0.3" footer="0.3"/>
      <pageSetup paperSize="9" orientation="portrait" r:id="rId13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14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85202B59-7EA4-4FEE-83A9-85916C51E0F6}" showGridLines="0">
      <selection activeCell="A8" sqref="A8:D8"/>
      <pageMargins left="0.7" right="0.7" top="0.75" bottom="0.75" header="0.3" footer="0.3"/>
      <pageSetup paperSize="9" orientation="portrait" r:id="rId16"/>
    </customSheetView>
    <customSheetView guid="{C2F1D4B1-A1F1-448D-93DB-7A0865BB4FAC}" showGridLines="0">
      <selection activeCell="A8" sqref="A8:D8"/>
      <pageMargins left="0.7" right="0.7" top="0.75" bottom="0.75" header="0.3" footer="0.3"/>
      <pageSetup paperSize="9" orientation="portrait" r:id="rId17"/>
    </customSheetView>
    <customSheetView guid="{4BC8836F-67FA-4ADD-8BF2-2849727F82ED}" showGridLines="0" topLeftCell="A55">
      <selection activeCell="E31" sqref="E31"/>
      <pageMargins left="0.7" right="0.7" top="0.75" bottom="0.75" header="0.3" footer="0.3"/>
      <pageSetup paperSize="9" orientation="portrait" r:id="rId18"/>
    </customSheetView>
    <customSheetView guid="{7AFC5D51-FD9F-4863-8A51-4C412D6A5939}" showGridLines="0" topLeftCell="A38">
      <selection activeCell="A8" sqref="A8:D8"/>
      <pageMargins left="0.7" right="0.7" top="0.75" bottom="0.75" header="0.3" footer="0.3"/>
      <pageSetup paperSize="9" orientation="portrait" r:id="rId19"/>
    </customSheetView>
    <customSheetView guid="{153EBAF3-54D0-4FF1-8F1D-7C3A305D289C}" showGridLines="0">
      <selection activeCell="F19" sqref="F19"/>
      <pageMargins left="0.7" right="0.7" top="0.75" bottom="0.75" header="0.3" footer="0.3"/>
      <pageSetup paperSize="9" orientation="portrait" r:id="rId20"/>
    </customSheetView>
    <customSheetView guid="{3784030C-584B-439C-8C22-F35D4C0C2F20}" showGridLines="0">
      <selection activeCell="F19" sqref="F19"/>
      <pageMargins left="0.7" right="0.7" top="0.75" bottom="0.75" header="0.3" footer="0.3"/>
      <pageSetup paperSize="9" orientation="portrait" r:id="rId21"/>
    </customSheetView>
    <customSheetView guid="{BE95F399-F8F3-4CBB-A91F-605EF249A9B6}" showPageBreaks="1" showGridLines="0" fitToPage="1">
      <selection activeCell="J28" sqref="J28"/>
      <pageMargins left="0.7" right="0.7" top="0.75" bottom="0.75" header="0.3" footer="0.3"/>
      <pageSetup paperSize="9" scale="56" fitToHeight="0" orientation="landscape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topLeftCell="A37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'22'!C2+1</f>
        <v>46104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3" t="str">
        <f>АЛЬТЕРНА</f>
        <v>АО Метком Индустрия</v>
      </c>
      <c r="B4" s="64"/>
      <c r="C4" s="64"/>
      <c r="D4" s="65"/>
      <c r="E4" s="8">
        <f>SUM(E5:E9)</f>
        <v>242194.43</v>
      </c>
      <c r="F4" s="52" t="s">
        <v>31</v>
      </c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>
        <v>242194.43</v>
      </c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 t="s">
        <v>44</v>
      </c>
      <c r="C50" s="41" t="s">
        <v>45</v>
      </c>
      <c r="D50" s="41" t="s">
        <v>46</v>
      </c>
      <c r="E50" s="54">
        <v>2459</v>
      </c>
      <c r="F50" s="43" t="s">
        <v>47</v>
      </c>
      <c r="G50" s="43"/>
      <c r="H50" s="41"/>
      <c r="I50" s="24"/>
      <c r="J50" s="41"/>
      <c r="K50" s="44" t="s">
        <v>41</v>
      </c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 t="s">
        <v>27</v>
      </c>
      <c r="C66" s="30" t="s">
        <v>32</v>
      </c>
      <c r="D66" s="30" t="s">
        <v>33</v>
      </c>
      <c r="E66" s="54">
        <v>2472.1799999999998</v>
      </c>
      <c r="F66" s="43" t="s">
        <v>42</v>
      </c>
      <c r="G66" s="43"/>
      <c r="H66" s="41"/>
      <c r="I66" s="24"/>
      <c r="J66" s="41"/>
      <c r="K66" s="44" t="s">
        <v>41</v>
      </c>
      <c r="L66" s="45"/>
    </row>
    <row r="67" spans="1:12" ht="14.25" customHeight="1" outlineLevel="1" x14ac:dyDescent="0.25">
      <c r="A67" s="29">
        <v>2</v>
      </c>
      <c r="B67" s="30" t="s">
        <v>27</v>
      </c>
      <c r="C67" s="30" t="s">
        <v>35</v>
      </c>
      <c r="D67" s="30" t="s">
        <v>36</v>
      </c>
      <c r="E67" s="55">
        <v>450</v>
      </c>
      <c r="F67" s="32" t="s">
        <v>43</v>
      </c>
      <c r="G67" s="32"/>
      <c r="H67" s="30"/>
      <c r="I67" s="24"/>
      <c r="J67" s="30"/>
      <c r="K67" s="33" t="s">
        <v>41</v>
      </c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5381.18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236813.25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 topLeftCell="A4">
      <selection activeCell="A8" sqref="A8:E8"/>
      <pageMargins left="0.7" right="0.7" top="0.75" bottom="0.75" header="0.3" footer="0.3"/>
      <pageSetup paperSize="9" orientation="portrait" r:id="rId2"/>
    </customSheetView>
    <customSheetView guid="{FA3A1891-F2A6-4F77-B7A7-31E16BA7D8D7}" showGridLines="0">
      <selection activeCell="I23" sqref="I23"/>
      <pageMargins left="0.7" right="0.7" top="0.75" bottom="0.75" header="0.3" footer="0.3"/>
      <pageSetup paperSize="9" orientation="portrait" r:id="rId3"/>
    </customSheetView>
    <customSheetView guid="{EC8093C0-B7E2-4217-8482-B79AFD6E926F}" showGridLines="0" topLeftCell="A16">
      <selection activeCell="B29" sqref="B29"/>
      <pageMargins left="0.7" right="0.7" top="0.75" bottom="0.75" header="0.3" footer="0.3"/>
      <pageSetup paperSize="9" orientation="portrait" r:id="rId4"/>
    </customSheetView>
    <customSheetView guid="{744BD12D-C8AC-449A-9ACA-1F55F56C7796}" showGridLines="0" hiddenRows="1">
      <selection activeCell="C2" sqref="C2"/>
      <pageMargins left="0.7" right="0.7" top="0.75" bottom="0.75" header="0.3" footer="0.3"/>
      <pageSetup paperSize="9" orientation="portrait" r:id="rId5"/>
    </customSheetView>
    <customSheetView guid="{0C483E96-A37A-425E-88F4-9E8400B3555F}" showGridLines="0">
      <selection activeCell="C2" sqref="C2"/>
      <pageMargins left="0.7" right="0.7" top="0.75" bottom="0.75" header="0.3" footer="0.3"/>
      <pageSetup paperSize="9" orientation="portrait" r:id="rId6"/>
    </customSheetView>
    <customSheetView guid="{F9D3156F-53B3-4E72-BF5E-6FE9C00C4EB5}" showGridLines="0">
      <selection activeCell="C2" sqref="C2"/>
      <pageMargins left="0.7" right="0.7" top="0.75" bottom="0.75" header="0.3" footer="0.3"/>
      <pageSetup paperSize="9" orientation="portrait" r:id="rId7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9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0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1"/>
    </customSheetView>
    <customSheetView guid="{6668B387-912B-41D3-A438-086D34482F31}" showGridLines="0" hiddenRows="1">
      <selection activeCell="C2" sqref="C2"/>
      <pageMargins left="0.7" right="0.7" top="0.75" bottom="0.75" header="0.3" footer="0.3"/>
      <pageSetup paperSize="9" orientation="portrait" r:id="rId12"/>
    </customSheetView>
    <customSheetView guid="{F8C10BD5-4C61-4F5D-A32A-61D0695B8D8E}" showGridLines="0">
      <selection activeCell="F13" sqref="F13"/>
      <pageMargins left="0.7" right="0.7" top="0.75" bottom="0.75" header="0.3" footer="0.3"/>
      <pageSetup paperSize="9" orientation="portrait" r:id="rId13"/>
    </customSheetView>
    <customSheetView guid="{426687FD-750A-4CE4-9CD7-456268DEAEB9}" showGridLines="0" topLeftCell="A40">
      <selection activeCell="I61" sqref="I61"/>
      <pageMargins left="0.7" right="0.7" top="0.75" bottom="0.75" header="0.3" footer="0.3"/>
      <pageSetup paperSize="9" orientation="portrait" r:id="rId14"/>
    </customSheetView>
    <customSheetView guid="{142AC03A-22E3-4231-8209-D1E90D0B392F}" showGridLines="0">
      <selection activeCell="B18" sqref="B18:G18"/>
      <pageMargins left="0.7" right="0.7" top="0.75" bottom="0.75" header="0.3" footer="0.3"/>
      <pageSetup paperSize="9" orientation="portrait" r:id="rId15"/>
    </customSheetView>
    <customSheetView guid="{85202B59-7EA4-4FEE-83A9-85916C51E0F6}" showGridLines="0">
      <selection activeCell="C2" sqref="C2"/>
      <pageMargins left="0.7" right="0.7" top="0.75" bottom="0.75" header="0.3" footer="0.3"/>
      <pageSetup paperSize="9" orientation="portrait" r:id="rId16"/>
    </customSheetView>
    <customSheetView guid="{C2F1D4B1-A1F1-448D-93DB-7A0865BB4FAC}" showGridLines="0">
      <selection activeCell="F35" sqref="F35"/>
      <pageMargins left="0.7" right="0.7" top="0.75" bottom="0.75" header="0.3" footer="0.3"/>
      <pageSetup paperSize="9" orientation="portrait" r:id="rId17"/>
    </customSheetView>
    <customSheetView guid="{4BC8836F-67FA-4ADD-8BF2-2849727F82ED}" showGridLines="0">
      <selection activeCell="I23" sqref="I23"/>
      <pageMargins left="0.7" right="0.7" top="0.75" bottom="0.75" header="0.3" footer="0.3"/>
      <pageSetup paperSize="9" orientation="portrait" r:id="rId18"/>
    </customSheetView>
    <customSheetView guid="{7AFC5D51-FD9F-4863-8A51-4C412D6A5939}" showGridLines="0" hiddenRows="1">
      <selection activeCell="C2" sqref="C2"/>
      <pageMargins left="0.7" right="0.7" top="0.75" bottom="0.75" header="0.3" footer="0.3"/>
      <pageSetup paperSize="9" orientation="portrait" r:id="rId19"/>
    </customSheetView>
    <customSheetView guid="{153EBAF3-54D0-4FF1-8F1D-7C3A305D289C}" showGridLines="0">
      <selection activeCell="C2" sqref="C2"/>
      <pageMargins left="0.7" right="0.7" top="0.75" bottom="0.75" header="0.3" footer="0.3"/>
      <pageSetup paperSize="9" orientation="portrait" r:id="rId20"/>
    </customSheetView>
    <customSheetView guid="{3784030C-584B-439C-8C22-F35D4C0C2F20}" showGridLines="0">
      <selection activeCell="F18" sqref="F18:F19"/>
      <pageMargins left="0.7" right="0.7" top="0.75" bottom="0.75" header="0.3" footer="0.3"/>
      <pageSetup paperSize="9" orientation="portrait" r:id="rId21"/>
    </customSheetView>
    <customSheetView guid="{BE95F399-F8F3-4CBB-A91F-605EF249A9B6}" showGridLines="0" hiddenRows="1">
      <selection activeCell="J33" sqref="J33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'23'!C2+1</f>
        <v>46105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3" t="str">
        <f>АЛЬТЕРНА</f>
        <v>АО Метком Индустрия</v>
      </c>
      <c r="B4" s="64"/>
      <c r="C4" s="64"/>
      <c r="D4" s="65"/>
      <c r="E4" s="8">
        <f>SUM(E5:E9)</f>
        <v>236713.25</v>
      </c>
      <c r="F4" s="52" t="s">
        <v>31</v>
      </c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>
        <v>236713.25</v>
      </c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236713.25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hiddenRows="1" topLeftCell="A103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FA3A1891-F2A6-4F77-B7A7-31E16BA7D8D7}" showGridLines="0">
      <selection activeCell="F20" sqref="F20"/>
      <pageMargins left="0.7" right="0.7" top="0.75" bottom="0.75" header="0.3" footer="0.3"/>
      <pageSetup paperSize="9" orientation="portrait" r:id="rId3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4"/>
    </customSheetView>
    <customSheetView guid="{744BD12D-C8AC-449A-9ACA-1F55F56C7796}" showGridLines="0" hiddenRows="1" topLeftCell="A9">
      <selection activeCell="C2" sqref="C2"/>
      <pageMargins left="0.7" right="0.7" top="0.75" bottom="0.75" header="0.3" footer="0.3"/>
      <pageSetup paperSize="9" orientation="portrait" r:id="rId5"/>
    </customSheetView>
    <customSheetView guid="{0C483E96-A37A-425E-88F4-9E8400B3555F}" showGridLines="0" topLeftCell="A23">
      <selection activeCell="G45" sqref="G45"/>
      <pageMargins left="0.7" right="0.7" top="0.75" bottom="0.75" header="0.3" footer="0.3"/>
      <pageSetup paperSize="9" orientation="portrait" r:id="rId6"/>
    </customSheetView>
    <customSheetView guid="{F9D3156F-53B3-4E72-BF5E-6FE9C00C4EB5}" showGridLines="0">
      <selection activeCell="C2" sqref="C2"/>
      <pageMargins left="0.7" right="0.7" top="0.75" bottom="0.75" header="0.3" footer="0.3"/>
      <pageSetup paperSize="9" orientation="portrait" r:id="rId7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9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0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1"/>
    </customSheetView>
    <customSheetView guid="{6668B387-912B-41D3-A438-086D34482F31}" showGridLines="0" hiddenRows="1" topLeftCell="A76">
      <selection activeCell="F101" sqref="F101"/>
      <pageMargins left="0.7" right="0.7" top="0.75" bottom="0.75" header="0.3" footer="0.3"/>
      <pageSetup paperSize="9" orientation="portrait" r:id="rId12"/>
    </customSheetView>
    <customSheetView guid="{F8C10BD5-4C61-4F5D-A32A-61D0695B8D8E}" showGridLines="0" topLeftCell="D1">
      <selection activeCell="B12" sqref="B12:J12"/>
      <pageMargins left="0.7" right="0.7" top="0.75" bottom="0.75" header="0.3" footer="0.3"/>
      <pageSetup paperSize="9" orientation="portrait" r:id="rId13"/>
    </customSheetView>
    <customSheetView guid="{426687FD-750A-4CE4-9CD7-456268DEAEB9}" showGridLines="0" topLeftCell="A43">
      <selection activeCell="F63" sqref="F63"/>
      <pageMargins left="0.7" right="0.7" top="0.75" bottom="0.75" header="0.3" footer="0.3"/>
      <pageSetup paperSize="9" orientation="portrait" r:id="rId14"/>
    </customSheetView>
    <customSheetView guid="{142AC03A-22E3-4231-8209-D1E90D0B392F}" showGridLines="0">
      <selection activeCell="B15" sqref="B15:F15"/>
      <pageMargins left="0.7" right="0.7" top="0.75" bottom="0.75" header="0.3" footer="0.3"/>
      <pageSetup paperSize="9" orientation="portrait" r:id="rId15"/>
    </customSheetView>
    <customSheetView guid="{85202B59-7EA4-4FEE-83A9-85916C51E0F6}" showGridLines="0">
      <selection activeCell="C2" sqref="C2"/>
      <pageMargins left="0.7" right="0.7" top="0.75" bottom="0.75" header="0.3" footer="0.3"/>
      <pageSetup paperSize="9" orientation="portrait" r:id="rId16"/>
    </customSheetView>
    <customSheetView guid="{C2F1D4B1-A1F1-448D-93DB-7A0865BB4FAC}" showGridLines="0" hiddenRows="1" topLeftCell="A76">
      <selection activeCell="F101" sqref="F101"/>
      <pageMargins left="0.7" right="0.7" top="0.75" bottom="0.75" header="0.3" footer="0.3"/>
      <pageSetup paperSize="9" orientation="portrait" r:id="rId17"/>
    </customSheetView>
    <customSheetView guid="{4BC8836F-67FA-4ADD-8BF2-2849727F82ED}" showGridLines="0">
      <selection activeCell="F20" sqref="F20"/>
      <pageMargins left="0.7" right="0.7" top="0.75" bottom="0.75" header="0.3" footer="0.3"/>
      <pageSetup paperSize="9" orientation="portrait" r:id="rId18"/>
    </customSheetView>
    <customSheetView guid="{7AFC5D51-FD9F-4863-8A51-4C412D6A5939}" showGridLines="0" hiddenRows="1">
      <selection activeCell="C2" sqref="C2"/>
      <pageMargins left="0.7" right="0.7" top="0.75" bottom="0.75" header="0.3" footer="0.3"/>
      <pageSetup paperSize="9" orientation="portrait" r:id="rId19"/>
    </customSheetView>
    <customSheetView guid="{153EBAF3-54D0-4FF1-8F1D-7C3A305D289C}" showGridLines="0">
      <selection activeCell="C2" sqref="C2"/>
      <pageMargins left="0.7" right="0.7" top="0.75" bottom="0.75" header="0.3" footer="0.3"/>
      <pageSetup paperSize="9" orientation="portrait" r:id="rId20"/>
    </customSheetView>
    <customSheetView guid="{3784030C-584B-439C-8C22-F35D4C0C2F20}" showGridLines="0" topLeftCell="A10">
      <selection activeCell="E23" sqref="E23"/>
      <pageMargins left="0.7" right="0.7" top="0.75" bottom="0.75" header="0.3" footer="0.3"/>
      <pageSetup paperSize="9" orientation="portrait" r:id="rId21"/>
    </customSheetView>
    <customSheetView guid="{BE95F399-F8F3-4CBB-A91F-605EF249A9B6}" showPageBreaks="1" showGridLines="0" fitToPage="1" topLeftCell="D49">
      <selection activeCell="J60" sqref="J60:J64"/>
      <pageMargins left="0.7" right="0.7" top="0.75" bottom="0.75" header="0.3" footer="0.3"/>
      <pageSetup paperSize="9" scale="42" fitToWidth="0" orientation="landscape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'24'!C2+1</f>
        <v>46106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3" t="str">
        <f>АЛЬТЕРНА</f>
        <v>АО Метком Индустрия</v>
      </c>
      <c r="B4" s="64"/>
      <c r="C4" s="64"/>
      <c r="D4" s="65"/>
      <c r="E4" s="8">
        <f>SUM(E5:E9)</f>
        <v>236713.25</v>
      </c>
      <c r="F4" s="52" t="s">
        <v>31</v>
      </c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>
        <v>236713.25</v>
      </c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3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27.75" customHeight="1" outlineLevel="1" x14ac:dyDescent="0.25">
      <c r="A66" s="29">
        <v>1</v>
      </c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236713.25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hiddenRows="1" topLeftCell="A76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FA3A1891-F2A6-4F77-B7A7-31E16BA7D8D7}" showGridLines="0">
      <selection activeCell="A8" sqref="A8:E8"/>
      <pageMargins left="0.7" right="0.7" top="0.75" bottom="0.75" header="0.3" footer="0.3"/>
      <pageSetup paperSize="9" orientation="portrait" r:id="rId3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4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5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9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0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1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2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3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14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4BC8836F-67FA-4ADD-8BF2-2849727F82ED}" showGridLines="0">
      <selection activeCell="A8" sqref="A8:E8"/>
      <pageMargins left="0.7" right="0.7" top="0.75" bottom="0.75" header="0.3" footer="0.3"/>
      <pageSetup paperSize="9" orientation="portrait" r:id="rId18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19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20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'25'!C2+1</f>
        <v>46107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3" t="str">
        <f>АЛЬТЕРНА</f>
        <v>АО Метком Индустрия</v>
      </c>
      <c r="B4" s="64"/>
      <c r="C4" s="64"/>
      <c r="D4" s="65"/>
      <c r="E4" s="8">
        <f>SUM(E5:E9)</f>
        <v>236713.25</v>
      </c>
      <c r="F4" s="52" t="s">
        <v>31</v>
      </c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>
        <v>236713.25</v>
      </c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236713.25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FA3A1891-F2A6-4F77-B7A7-31E16BA7D8D7}" showGridLines="0">
      <selection activeCell="A8" sqref="A8:E8"/>
      <pageMargins left="0.7" right="0.7" top="0.75" bottom="0.75" header="0.3" footer="0.3"/>
      <pageSetup paperSize="9" orientation="portrait" r:id="rId3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4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5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9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0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1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2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3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14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4BC8836F-67FA-4ADD-8BF2-2849727F82ED}" showGridLines="0">
      <selection activeCell="A8" sqref="A8:E8"/>
      <pageMargins left="0.7" right="0.7" top="0.75" bottom="0.75" header="0.3" footer="0.3"/>
      <pageSetup paperSize="9" orientation="portrait" r:id="rId18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19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20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'26'!C2+1</f>
        <v>46108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3" t="str">
        <f>АЛЬТЕРНА</f>
        <v>АО Метком Индустрия</v>
      </c>
      <c r="B4" s="64"/>
      <c r="C4" s="64"/>
      <c r="D4" s="65"/>
      <c r="E4" s="8">
        <f>SUM(E5:E9)</f>
        <v>236713.25</v>
      </c>
      <c r="F4" s="52" t="s">
        <v>31</v>
      </c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>
        <v>236713.25</v>
      </c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236713.25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FA3A1891-F2A6-4F77-B7A7-31E16BA7D8D7}" showGridLines="0">
      <selection activeCell="B18" sqref="B18:I18"/>
      <pageMargins left="0.7" right="0.7" top="0.75" bottom="0.75" header="0.3" footer="0.3"/>
      <pageSetup paperSize="9" orientation="portrait" r:id="rId3"/>
    </customSheetView>
    <customSheetView guid="{EC8093C0-B7E2-4217-8482-B79AFD6E926F}" showGridLines="0" topLeftCell="A13">
      <selection activeCell="G32" sqref="G32"/>
      <pageMargins left="0.7" right="0.7" top="0.75" bottom="0.75" header="0.3" footer="0.3"/>
      <pageSetup paperSize="9" orientation="portrait" r:id="rId4"/>
    </customSheetView>
    <customSheetView guid="{744BD12D-C8AC-449A-9ACA-1F55F56C7796}" showGridLines="0" hiddenRows="1">
      <selection activeCell="C2" sqref="C2"/>
      <pageMargins left="0.7" right="0.7" top="0.75" bottom="0.75" header="0.3" footer="0.3"/>
      <pageSetup paperSize="9" orientation="portrait" r:id="rId5"/>
    </customSheetView>
    <customSheetView guid="{0C483E96-A37A-425E-88F4-9E8400B3555F}" showGridLines="0">
      <selection activeCell="C2" sqref="C2"/>
      <pageMargins left="0.7" right="0.7" top="0.75" bottom="0.75" header="0.3" footer="0.3"/>
      <pageSetup paperSize="9" orientation="portrait" r:id="rId6"/>
    </customSheetView>
    <customSheetView guid="{F9D3156F-53B3-4E72-BF5E-6FE9C00C4EB5}" showGridLines="0">
      <selection activeCell="E21" sqref="E21"/>
      <pageMargins left="0.7" right="0.7" top="0.75" bottom="0.75" header="0.3" footer="0.3"/>
      <pageSetup paperSize="9" orientation="portrait" r:id="rId7"/>
    </customSheetView>
    <customSheetView guid="{B2CE1E24-888C-49F4-9769-3C51A085775C}" showGridLines="0" topLeftCell="A19">
      <selection activeCell="A7" sqref="A7:D7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9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0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1"/>
    </customSheetView>
    <customSheetView guid="{6668B387-912B-41D3-A438-086D34482F31}" showGridLines="0">
      <selection activeCell="D18" sqref="D18"/>
      <pageMargins left="0.7" right="0.7" top="0.75" bottom="0.75" header="0.3" footer="0.3"/>
      <pageSetup paperSize="9" orientation="portrait" r:id="rId12"/>
    </customSheetView>
    <customSheetView guid="{F8C10BD5-4C61-4F5D-A32A-61D0695B8D8E}" showGridLines="0">
      <selection activeCell="A12" sqref="A12"/>
      <pageMargins left="0.7" right="0.7" top="0.75" bottom="0.75" header="0.3" footer="0.3"/>
      <pageSetup paperSize="9" orientation="portrait" r:id="rId13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14"/>
    </customSheetView>
    <customSheetView guid="{142AC03A-22E3-4231-8209-D1E90D0B392F}" showGridLines="0" topLeftCell="A4">
      <selection activeCell="B18" sqref="B18:E18"/>
      <pageMargins left="0.7" right="0.7" top="0.75" bottom="0.75" header="0.3" footer="0.3"/>
      <pageSetup paperSize="9" orientation="portrait" r:id="rId15"/>
    </customSheetView>
    <customSheetView guid="{85202B59-7EA4-4FEE-83A9-85916C51E0F6}" showGridLines="0" topLeftCell="A16">
      <selection activeCell="F43" sqref="F43"/>
      <pageMargins left="0.7" right="0.7" top="0.75" bottom="0.75" header="0.3" footer="0.3"/>
      <pageSetup paperSize="9" orientation="portrait" r:id="rId16"/>
    </customSheetView>
    <customSheetView guid="{C2F1D4B1-A1F1-448D-93DB-7A0865BB4FAC}" showGridLines="0">
      <selection activeCell="F21" sqref="F21"/>
      <pageMargins left="0.7" right="0.7" top="0.75" bottom="0.75" header="0.3" footer="0.3"/>
      <pageSetup paperSize="9" orientation="portrait" r:id="rId17"/>
    </customSheetView>
    <customSheetView guid="{4BC8836F-67FA-4ADD-8BF2-2849727F82ED}" showGridLines="0">
      <selection activeCell="F22" sqref="F22"/>
      <pageMargins left="0.7" right="0.7" top="0.75" bottom="0.75" header="0.3" footer="0.3"/>
      <pageSetup paperSize="9" orientation="portrait" r:id="rId18"/>
    </customSheetView>
    <customSheetView guid="{7AFC5D51-FD9F-4863-8A51-4C412D6A5939}" showGridLines="0" topLeftCell="A46">
      <selection activeCell="C20" sqref="C20"/>
      <pageMargins left="0.7" right="0.7" top="0.75" bottom="0.75" header="0.3" footer="0.3"/>
      <pageSetup paperSize="9" orientation="portrait" r:id="rId19"/>
    </customSheetView>
    <customSheetView guid="{153EBAF3-54D0-4FF1-8F1D-7C3A305D289C}" showGridLines="0">
      <selection activeCell="F18" sqref="F18"/>
      <pageMargins left="0.7" right="0.7" top="0.75" bottom="0.75" header="0.3" footer="0.3"/>
      <pageSetup paperSize="9" orientation="portrait" r:id="rId20"/>
    </customSheetView>
    <customSheetView guid="{3784030C-584B-439C-8C22-F35D4C0C2F20}" showGridLines="0" topLeftCell="A55">
      <selection activeCell="G63" sqref="G63"/>
      <pageMargins left="0.7" right="0.7" top="0.75" bottom="0.75" header="0.3" footer="0.3"/>
      <pageSetup paperSize="9" orientation="portrait" r:id="rId21"/>
    </customSheetView>
    <customSheetView guid="{BE95F399-F8F3-4CBB-A91F-605EF249A9B6}" showGridLines="0">
      <selection activeCell="I23" sqref="I23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disablePrompts="1"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workbookViewId="0">
      <selection activeCell="D30" sqref="D30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'27'!C2+1</f>
        <v>46109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5">
      <c r="A4" s="63" t="str">
        <f>АЛЬТЕРНА</f>
        <v>АО Метком Индустрия</v>
      </c>
      <c r="B4" s="64"/>
      <c r="C4" s="64"/>
      <c r="D4" s="65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/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>
      <selection activeCell="E21" sqref="E21"/>
      <pageMargins left="0.7" right="0.7" top="0.75" bottom="0.75" header="0.3" footer="0.3"/>
      <pageSetup paperSize="9" orientation="portrait" r:id="rId2"/>
    </customSheetView>
    <customSheetView guid="{FA3A1891-F2A6-4F77-B7A7-31E16BA7D8D7}" showGridLines="0" topLeftCell="A7">
      <selection activeCell="E22" sqref="E22"/>
      <pageMargins left="0.7" right="0.7" top="0.75" bottom="0.75" header="0.3" footer="0.3"/>
      <pageSetup paperSize="9" orientation="portrait" r:id="rId3"/>
    </customSheetView>
    <customSheetView guid="{EC8093C0-B7E2-4217-8482-B79AFD6E926F}" showGridLines="0" topLeftCell="A13">
      <selection activeCell="G29" sqref="G29"/>
      <pageMargins left="0.7" right="0.7" top="0.75" bottom="0.75" header="0.3" footer="0.3"/>
      <pageSetup paperSize="9" orientation="portrait" r:id="rId4"/>
    </customSheetView>
    <customSheetView guid="{744BD12D-C8AC-449A-9ACA-1F55F56C7796}" showGridLines="0" topLeftCell="A18">
      <selection activeCell="F47" sqref="F47"/>
      <pageMargins left="0.7" right="0.7" top="0.75" bottom="0.75" header="0.3" footer="0.3"/>
      <pageSetup paperSize="9" orientation="portrait" r:id="rId5"/>
    </customSheetView>
    <customSheetView guid="{0C483E96-A37A-425E-88F4-9E8400B3555F}" showGridLines="0" topLeftCell="A24">
      <selection activeCell="G46" sqref="G46"/>
      <pageMargins left="0.7" right="0.7" top="0.75" bottom="0.75" header="0.3" footer="0.3"/>
      <pageSetup paperSize="9" orientation="portrait" r:id="rId6"/>
    </customSheetView>
    <customSheetView guid="{F9D3156F-53B3-4E72-BF5E-6FE9C00C4EB5}" showGridLines="0">
      <selection activeCell="C2" sqref="C2"/>
      <pageMargins left="0.7" right="0.7" top="0.75" bottom="0.75" header="0.3" footer="0.3"/>
      <pageSetup paperSize="9" orientation="portrait" r:id="rId7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9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0"/>
    </customSheetView>
    <customSheetView guid="{0B5B4FAE-B353-4A05-99F6-BD7D6C7696CA}" showGridLines="0" topLeftCell="A43">
      <selection activeCell="E62" sqref="E62"/>
      <pageMargins left="0.7" right="0.7" top="0.75" bottom="0.75" header="0.3" footer="0.3"/>
      <pageSetup paperSize="9" orientation="portrait" r:id="rId11"/>
    </customSheetView>
    <customSheetView guid="{6668B387-912B-41D3-A438-086D34482F31}" showGridLines="0" topLeftCell="A52">
      <selection activeCell="H53" sqref="H53"/>
      <pageMargins left="0.7" right="0.7" top="0.75" bottom="0.75" header="0.3" footer="0.3"/>
      <pageSetup paperSize="9" orientation="portrait" r:id="rId12"/>
    </customSheetView>
    <customSheetView guid="{F8C10BD5-4C61-4F5D-A32A-61D0695B8D8E}" showGridLines="0">
      <selection activeCell="C2" sqref="C2"/>
      <pageMargins left="0.7" right="0.7" top="0.75" bottom="0.75" header="0.3" footer="0.3"/>
      <pageSetup paperSize="9" orientation="portrait" r:id="rId13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14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85202B59-7EA4-4FEE-83A9-85916C51E0F6}" showGridLines="0">
      <selection activeCell="C2" sqref="C2"/>
      <pageMargins left="0.7" right="0.7" top="0.75" bottom="0.75" header="0.3" footer="0.3"/>
      <pageSetup paperSize="9" orientation="portrait" r:id="rId16"/>
    </customSheetView>
    <customSheetView guid="{C2F1D4B1-A1F1-448D-93DB-7A0865BB4FAC}" showGridLines="0" topLeftCell="A52">
      <selection activeCell="H53" sqref="H53"/>
      <pageMargins left="0.7" right="0.7" top="0.75" bottom="0.75" header="0.3" footer="0.3"/>
      <pageSetup paperSize="9" orientation="portrait" r:id="rId17"/>
    </customSheetView>
    <customSheetView guid="{4BC8836F-67FA-4ADD-8BF2-2849727F82ED}" showGridLines="0" topLeftCell="A40">
      <selection activeCell="C66" sqref="C66"/>
      <pageMargins left="0.7" right="0.7" top="0.75" bottom="0.75" header="0.3" footer="0.3"/>
      <pageSetup paperSize="9" orientation="portrait" r:id="rId18"/>
    </customSheetView>
    <customSheetView guid="{7AFC5D51-FD9F-4863-8A51-4C412D6A5939}" showGridLines="0" topLeftCell="A40">
      <selection activeCell="B71" sqref="B71:F71"/>
      <pageMargins left="0.7" right="0.7" top="0.75" bottom="0.75" header="0.3" footer="0.3"/>
      <pageSetup paperSize="9" orientation="portrait" r:id="rId19"/>
    </customSheetView>
    <customSheetView guid="{153EBAF3-54D0-4FF1-8F1D-7C3A305D289C}" showGridLines="0">
      <selection activeCell="C2" sqref="C2"/>
      <pageMargins left="0.7" right="0.7" top="0.75" bottom="0.75" header="0.3" footer="0.3"/>
      <pageSetup paperSize="9" orientation="portrait" r:id="rId20"/>
    </customSheetView>
    <customSheetView guid="{3784030C-584B-439C-8C22-F35D4C0C2F20}" showGridLines="0">
      <selection activeCell="E19" sqref="E19:E20"/>
      <pageMargins left="0.7" right="0.7" top="0.75" bottom="0.75" header="0.3" footer="0.3"/>
      <pageSetup paperSize="9" orientation="portrait" r:id="rId21"/>
    </customSheetView>
    <customSheetView guid="{BE95F399-F8F3-4CBB-A91F-605EF249A9B6}" showPageBreaks="1" showGridLines="0" fitToPage="1" topLeftCell="A45">
      <selection activeCell="J60" sqref="J60:J64"/>
      <pageMargins left="0.7" right="0.7" top="0.75" bottom="0.75" header="0.3" footer="0.3"/>
      <pageSetup paperSize="9" scale="42" fitToWidth="0" orientation="landscape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workbookViewId="0">
      <selection activeCell="E26" sqref="E26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'28'!C2+1</f>
        <v>46110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5">
      <c r="A4" s="63" t="str">
        <f>АЛЬТЕРНА</f>
        <v>АО Метком Индустрия</v>
      </c>
      <c r="B4" s="64"/>
      <c r="C4" s="64"/>
      <c r="D4" s="65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/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1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FA3A1891-F2A6-4F77-B7A7-31E16BA7D8D7}" showGridLines="0">
      <selection activeCell="K10" sqref="K10"/>
      <pageMargins left="0.7" right="0.7" top="0.75" bottom="0.75" header="0.3" footer="0.3"/>
      <pageSetup paperSize="9" orientation="portrait" r:id="rId3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4"/>
    </customSheetView>
    <customSheetView guid="{744BD12D-C8AC-449A-9ACA-1F55F56C7796}" showGridLines="0" hiddenRows="1">
      <selection activeCell="C2" sqref="C2"/>
      <pageMargins left="0.7" right="0.7" top="0.75" bottom="0.75" header="0.3" footer="0.3"/>
      <pageSetup paperSize="9" orientation="portrait" r:id="rId5"/>
    </customSheetView>
    <customSheetView guid="{0C483E96-A37A-425E-88F4-9E8400B3555F}" showGridLines="0">
      <selection activeCell="C2" sqref="C2"/>
      <pageMargins left="0.7" right="0.7" top="0.75" bottom="0.75" header="0.3" footer="0.3"/>
      <pageSetup paperSize="9" orientation="portrait" r:id="rId6"/>
    </customSheetView>
    <customSheetView guid="{F9D3156F-53B3-4E72-BF5E-6FE9C00C4EB5}" showGridLines="0">
      <selection activeCell="C2" sqref="C2"/>
      <pageMargins left="0.7" right="0.7" top="0.75" bottom="0.75" header="0.3" footer="0.3"/>
      <pageSetup paperSize="9" orientation="portrait" r:id="rId7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9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0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1"/>
    </customSheetView>
    <customSheetView guid="{6668B387-912B-41D3-A438-086D34482F31}" showGridLines="0" hiddenRows="1">
      <selection activeCell="C2" sqref="C2"/>
      <pageMargins left="0.7" right="0.7" top="0.75" bottom="0.75" header="0.3" footer="0.3"/>
      <pageSetup paperSize="9" orientation="portrait" r:id="rId12"/>
    </customSheetView>
    <customSheetView guid="{F8C10BD5-4C61-4F5D-A32A-61D0695B8D8E}" showGridLines="0">
      <selection activeCell="C2" sqref="C2"/>
      <pageMargins left="0.7" right="0.7" top="0.75" bottom="0.75" header="0.3" footer="0.3"/>
      <pageSetup paperSize="9" orientation="portrait" r:id="rId13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14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85202B59-7EA4-4FEE-83A9-85916C51E0F6}" showGridLines="0">
      <selection activeCell="C2" sqref="C2"/>
      <pageMargins left="0.7" right="0.7" top="0.75" bottom="0.75" header="0.3" footer="0.3"/>
      <pageSetup paperSize="9" orientation="portrait" r:id="rId16"/>
    </customSheetView>
    <customSheetView guid="{C2F1D4B1-A1F1-448D-93DB-7A0865BB4FAC}" showGridLines="0">
      <selection activeCell="E15" sqref="E15"/>
      <pageMargins left="0.7" right="0.7" top="0.75" bottom="0.75" header="0.3" footer="0.3"/>
      <pageSetup paperSize="9" orientation="portrait" r:id="rId17"/>
    </customSheetView>
    <customSheetView guid="{4BC8836F-67FA-4ADD-8BF2-2849727F82ED}" showGridLines="0">
      <selection activeCell="K10" sqref="K10"/>
      <pageMargins left="0.7" right="0.7" top="0.75" bottom="0.75" header="0.3" footer="0.3"/>
      <pageSetup paperSize="9" orientation="portrait" r:id="rId18"/>
    </customSheetView>
    <customSheetView guid="{7AFC5D51-FD9F-4863-8A51-4C412D6A5939}" showGridLines="0" topLeftCell="A34">
      <selection activeCell="C2" sqref="C2"/>
      <pageMargins left="0.7" right="0.7" top="0.75" bottom="0.75" header="0.3" footer="0.3"/>
      <pageSetup paperSize="9" orientation="portrait" r:id="rId19"/>
    </customSheetView>
    <customSheetView guid="{153EBAF3-54D0-4FF1-8F1D-7C3A305D289C}" showGridLines="0">
      <selection activeCell="G18" sqref="G18"/>
      <pageMargins left="0.7" right="0.7" top="0.75" bottom="0.75" header="0.3" footer="0.3"/>
      <pageSetup paperSize="9" orientation="portrait" r:id="rId20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topLeftCell="A67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'29'!C2+1</f>
        <v>46111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3" t="str">
        <f>АЛЬТЕРНА</f>
        <v>АО Метком Индустрия</v>
      </c>
      <c r="B4" s="64"/>
      <c r="C4" s="64"/>
      <c r="D4" s="65"/>
      <c r="E4" s="8">
        <f>SUM(E5:E9)</f>
        <v>236713.25</v>
      </c>
      <c r="F4" s="52" t="s">
        <v>31</v>
      </c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>
        <v>236713.25</v>
      </c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236713.25</v>
      </c>
      <c r="F83" s="48"/>
      <c r="G83" s="48"/>
    </row>
    <row r="84" spans="1:12" ht="24.75" customHeight="1" x14ac:dyDescent="0.25"/>
  </sheetData>
  <mergeCells count="9">
    <mergeCell ref="A9:D9"/>
    <mergeCell ref="A82:D82"/>
    <mergeCell ref="A83:D83"/>
    <mergeCell ref="E1:F1"/>
    <mergeCell ref="A4:D4"/>
    <mergeCell ref="A5:D5"/>
    <mergeCell ref="A6:D6"/>
    <mergeCell ref="A7:D7"/>
    <mergeCell ref="A8:D8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tabSelected="1" workbookViewId="0">
      <selection activeCell="E15" sqref="E15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2"/>
      <c r="F1" s="6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'30'!C2+1</f>
        <v>46112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3" t="str">
        <f>АЛЬТЕРНА</f>
        <v>АО Метком Индустрия</v>
      </c>
      <c r="B4" s="64"/>
      <c r="C4" s="64"/>
      <c r="D4" s="65"/>
      <c r="E4" s="8">
        <f>SUM(E5:E9)</f>
        <v>236713.25</v>
      </c>
      <c r="F4" s="52" t="s">
        <v>31</v>
      </c>
      <c r="G4" s="9"/>
      <c r="H4" s="9"/>
      <c r="I4" s="9"/>
      <c r="J4" s="9"/>
    </row>
    <row r="5" spans="1:12" ht="15" customHeight="1" x14ac:dyDescent="0.25">
      <c r="A5" s="66" t="s">
        <v>21</v>
      </c>
      <c r="B5" s="67"/>
      <c r="C5" s="67"/>
      <c r="D5" s="68"/>
      <c r="E5" s="10">
        <v>236713.25</v>
      </c>
      <c r="F5" s="9"/>
      <c r="G5" s="9"/>
      <c r="H5" s="9"/>
      <c r="I5" s="9"/>
      <c r="J5" s="9"/>
    </row>
    <row r="6" spans="1:12" ht="15" customHeight="1" x14ac:dyDescent="0.3">
      <c r="A6" s="72"/>
      <c r="B6" s="70"/>
      <c r="C6" s="70"/>
      <c r="D6" s="71"/>
      <c r="E6" s="11"/>
      <c r="F6" s="9"/>
      <c r="G6" s="9"/>
      <c r="H6" s="9"/>
      <c r="I6" s="9"/>
      <c r="J6" s="9"/>
    </row>
    <row r="7" spans="1:12" ht="15" customHeight="1" x14ac:dyDescent="0.3">
      <c r="A7" s="72"/>
      <c r="B7" s="70"/>
      <c r="C7" s="70"/>
      <c r="D7" s="71"/>
      <c r="E7" s="11"/>
      <c r="F7" s="9"/>
      <c r="G7" s="9"/>
      <c r="H7" s="9"/>
      <c r="I7" s="9"/>
      <c r="J7" s="9"/>
    </row>
    <row r="8" spans="1:12" ht="15" customHeight="1" x14ac:dyDescent="0.3">
      <c r="A8" s="69"/>
      <c r="B8" s="70"/>
      <c r="C8" s="70"/>
      <c r="D8" s="71"/>
      <c r="E8" s="11"/>
      <c r="F8" s="9"/>
      <c r="G8" s="9"/>
      <c r="H8" s="9"/>
      <c r="I8" s="9"/>
      <c r="J8" s="9"/>
    </row>
    <row r="9" spans="1:12" ht="15.75" customHeight="1" thickBot="1" x14ac:dyDescent="0.35">
      <c r="A9" s="57"/>
      <c r="B9" s="58"/>
      <c r="C9" s="58"/>
      <c r="D9" s="5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0" t="s">
        <v>20</v>
      </c>
      <c r="B82" s="61"/>
      <c r="C82" s="61"/>
      <c r="D82" s="61"/>
      <c r="E82" s="47">
        <f>SUM(E12:E81)</f>
        <v>0</v>
      </c>
    </row>
    <row r="83" spans="1:12" ht="23.1" customHeight="1" thickBot="1" x14ac:dyDescent="0.3">
      <c r="A83" s="60" t="s">
        <v>13</v>
      </c>
      <c r="B83" s="61"/>
      <c r="C83" s="61"/>
      <c r="D83" s="61"/>
      <c r="E83" s="47">
        <f>E4-E82</f>
        <v>236713.25</v>
      </c>
      <c r="F83" s="48"/>
      <c r="G83" s="48"/>
    </row>
    <row r="84" spans="1:12" ht="24.75" customHeight="1" x14ac:dyDescent="0.25"/>
  </sheetData>
  <mergeCells count="9">
    <mergeCell ref="A9:D9"/>
    <mergeCell ref="A82:D82"/>
    <mergeCell ref="A83:D83"/>
    <mergeCell ref="E1:F1"/>
    <mergeCell ref="A4:D4"/>
    <mergeCell ref="A5:D5"/>
    <mergeCell ref="A6:D6"/>
    <mergeCell ref="A7:D7"/>
    <mergeCell ref="A8:D8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t="s">
        <v>18</v>
      </c>
    </row>
    <row r="2" spans="1:1" x14ac:dyDescent="0.25">
      <c r="A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32</vt:i4>
      </vt:variant>
      <vt:variant>
        <vt:lpstr>Именованные диапазоны</vt:lpstr>
      </vt:variant>
      <vt:variant>
        <vt:i4>4</vt:i4>
      </vt:variant>
    </vt:vector>
  </HeadingPairs>
  <TitlesOfParts>
    <vt:vector size="36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Тех.Лист</vt:lpstr>
      <vt:lpstr>АЛЬТЕРНА</vt:lpstr>
      <vt:lpstr>ДаНет</vt:lpstr>
      <vt:lpstr>С2</vt:lpstr>
      <vt:lpstr>число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Иванова Оксана Петровна</dc:creator>
  <cp:lastModifiedBy>Пивоварова Юлия Ивановна</cp:lastModifiedBy>
  <cp:lastPrinted>2026-03-06T11:12:12Z</cp:lastPrinted>
  <dcterms:created xsi:type="dcterms:W3CDTF">2019-04-18T08:02:48Z</dcterms:created>
  <dcterms:modified xsi:type="dcterms:W3CDTF">2026-03-31T08:02:18Z</dcterms:modified>
</cp:coreProperties>
</file>
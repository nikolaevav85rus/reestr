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0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03FBB0AD_5353_49C6_B595_178BC13C96AE_.wvu.Rows" localSheetId="0" hidden="1">'01'!#REF!,'01'!#REF!,'01'!#REF!,'01'!#REF!,'01'!#REF!,'01'!#REF!,'01'!#REF!</definedName>
    <definedName name="Z_070961C3_1DC2_4518_83D7_B3F54BC58AE2_.wvu.Rows" localSheetId="0" hidden="1">'01'!#REF!,'01'!#REF!,'01'!#REF!,'01'!#REF!,'01'!#REF!,'01'!#REF!,'01'!#REF!</definedName>
    <definedName name="Z_0B87D63B_15AD_4587_A73B_CA4B62BDFA01_.wvu.Rows" localSheetId="0" hidden="1">'01'!#REF!,'01'!#REF!,'01'!#REF!,'01'!#REF!,'01'!#REF!,'01'!#REF!,'01'!#REF!</definedName>
    <definedName name="Z_1B9AB2B5_0A50_46C3_981D_8BE75BF62E46_.wvu.Rows" localSheetId="0" hidden="1">'01'!#REF!,'01'!#REF!,'01'!#REF!,'01'!#REF!,'01'!#REF!,'01'!#REF!,'01'!#REF!</definedName>
    <definedName name="Z_20A0B2F7_9F51_4E3D_A024_0877F1F98F8D_.wvu.Rows" localSheetId="0" hidden="1">'01'!#REF!,'01'!#REF!,'01'!#REF!,'01'!#REF!,'01'!#REF!,'01'!#REF!,'01'!#REF!</definedName>
    <definedName name="Z_2C3A3C66_1522_4337_93AC_DFC422DC8462_.wvu.Rows" localSheetId="0" hidden="1">'01'!#REF!,'01'!#REF!,'01'!#REF!,'01'!#REF!,'01'!#REF!,'01'!#REF!,'01'!#REF!</definedName>
    <definedName name="Z_2E074C0E_3584_4321_A729_0961B34312BF_.wvu.Rows" localSheetId="0" hidden="1">'01'!#REF!,'01'!#REF!,'01'!#REF!,'01'!#REF!,'01'!#REF!,'01'!#REF!,'01'!#REF!</definedName>
    <definedName name="Z_2FFCC83E_A488_4450_9F9E_FF506EAEF5FC_.wvu.Rows" localSheetId="0" hidden="1">'01'!#REF!,'01'!#REF!,'01'!#REF!,'01'!#REF!,'01'!#REF!,'01'!#REF!,'01'!#REF!</definedName>
    <definedName name="Z_3351A924_D23D_45D7_8354_55677D787CA4_.wvu.Rows" localSheetId="0" hidden="1">'01'!#REF!,'01'!#REF!,'01'!#REF!,'01'!#REF!,'01'!#REF!,'01'!#REF!,'01'!#REF!</definedName>
    <definedName name="Z_51E3BC0E_B24A_447A_BC0A_03881122E44E_.wvu.Rows" localSheetId="0" hidden="1">'01'!#REF!,'01'!#REF!,'01'!#REF!,'01'!#REF!,'01'!#REF!,'01'!#REF!,'01'!#REF!</definedName>
    <definedName name="Z_5C60C8F2_A96A_4286_AB69_6A192D48B52D_.wvu.Rows" localSheetId="0" hidden="1">'01'!#REF!,'01'!#REF!,'01'!#REF!,'01'!#REF!,'01'!#REF!,'01'!#REF!,'01'!#REF!</definedName>
    <definedName name="Z_667B099C_8E79_4490_AC67_CFE2B9F8FC8D_.wvu.Rows" localSheetId="0" hidden="1">'01'!#REF!,'01'!#REF!,'01'!#REF!,'01'!#REF!,'01'!#REF!,'01'!#REF!,'01'!#REF!</definedName>
    <definedName name="Z_696C5A08_6B5C_4B07_9B14_11E12159ACF3_.wvu.Rows" localSheetId="0" hidden="1">'01'!#REF!,'01'!#REF!,'01'!#REF!,'01'!#REF!,'01'!#REF!,'01'!#REF!</definedName>
    <definedName name="Z_743813BC_E137_480B_B63F_29E16C4A5D78_.wvu.Rows" localSheetId="0" hidden="1">'01'!#REF!,'01'!#REF!,'01'!#REF!,'01'!#REF!,'01'!#REF!,'01'!#REF!,'01'!#REF!</definedName>
    <definedName name="Z_7CD6C56D_7191_499D_884D_23F062610490_.wvu.Rows" localSheetId="0" hidden="1">'01'!#REF!,'01'!#REF!,'01'!#REF!,'01'!#REF!,'01'!#REF!,'01'!#REF!,'01'!#REF!</definedName>
    <definedName name="Z_8AB826A3_3F9F_46E8_8B3C_5D723650CD25_.wvu.Rows" localSheetId="0" hidden="1">'01'!#REF!,'01'!#REF!,'01'!#REF!,'01'!#REF!,'01'!#REF!,'01'!#REF!,'01'!#REF!</definedName>
    <definedName name="Z_9231B71C_ABB0_4122_BB61_A0E14ED7FAC4_.wvu.Rows" localSheetId="0" hidden="1">'01'!#REF!,'01'!#REF!,'01'!#REF!,'01'!#REF!,'01'!#REF!,'01'!#REF!,'01'!#REF!</definedName>
    <definedName name="Z_9CE42830_1BFE_4EEE_AD75_1C30A69A86B1_.wvu.Rows" localSheetId="0" hidden="1">'01'!#REF!,'01'!#REF!,'01'!#REF!,'01'!#REF!,'01'!#REF!,'01'!#REF!,'01'!#REF!</definedName>
    <definedName name="Z_9EA36D12_6C5C_4BE0_9897_E6710354124D_.wvu.Rows" localSheetId="0" hidden="1">'01'!#REF!,'01'!#REF!,'01'!#REF!,'01'!#REF!,'01'!#REF!,'01'!#REF!,'01'!#REF!</definedName>
    <definedName name="Z_A0F29F5B_FB6E_4C5E_B7A7_CDA651D38207_.wvu.Rows" localSheetId="0" hidden="1">'01'!#REF!,'01'!#REF!,'01'!#REF!,'01'!#REF!,'01'!#REF!,'01'!#REF!,'01'!#REF!</definedName>
    <definedName name="Z_A567DF6A_4F50_45D4_A9C8_0879E17AFD34_.wvu.Rows" localSheetId="0" hidden="1">'01'!#REF!,'01'!#REF!,'01'!#REF!,'01'!#REF!,'01'!#REF!,'01'!#REF!,'01'!#REF!</definedName>
    <definedName name="Z_B2CFD8C8_F8F8_47F1_9207_6BE81612C01C_.wvu.Rows" localSheetId="0" hidden="1">'01'!#REF!,'01'!#REF!,'01'!#REF!,'01'!#REF!,'01'!#REF!,'01'!#REF!,'01'!#REF!</definedName>
    <definedName name="Z_BBF15C7D_3EAF_4D98_9096_5B67F6C46C47_.wvu.Rows" localSheetId="0" hidden="1">'01'!#REF!,'01'!#REF!,'01'!#REF!,'01'!#REF!,'01'!#REF!,'01'!#REF!</definedName>
    <definedName name="Z_C122BF8D_C115_42E1_B73A_F9B38D5EC060_.wvu.Rows" localSheetId="0" hidden="1">'01'!#REF!,'01'!#REF!,'01'!#REF!,'01'!#REF!,'01'!#REF!,'01'!#REF!,'01'!#REF!</definedName>
    <definedName name="Z_C4D254D6_9D1C_4B3C_972D_15957FD05DD2_.wvu.Rows" localSheetId="0" hidden="1">'01'!#REF!,'01'!#REF!,'01'!#REF!,'01'!#REF!,'01'!#REF!,'01'!#REF!,'01'!#REF!</definedName>
    <definedName name="Z_D4664C56_FB8A_499D_8E24_CCA12F97FAE9_.wvu.Rows" localSheetId="0" hidden="1">'01'!#REF!,'01'!#REF!,'01'!#REF!,'01'!#REF!,'01'!#REF!,'01'!#REF!,'01'!#REF!</definedName>
    <definedName name="Z_DD995061_F552_4E13_8D40_A47EBB03245B_.wvu.Rows" localSheetId="0" hidden="1">'01'!#REF!,'01'!#REF!,'01'!#REF!,'01'!#REF!,'01'!#REF!,'01'!#REF!,'01'!#REF!</definedName>
    <definedName name="Z_DE2F0B4F_79DE_40A0_A13B_9C7F63D3F970_.wvu.Rows" localSheetId="0" hidden="1">'01'!#REF!,'01'!#REF!,'01'!#REF!,'01'!#REF!,'01'!#REF!,'01'!#REF!,'01'!#REF!</definedName>
    <definedName name="Z_E765F84B_EAF3_44AE_A058_C602C1E67401_.wvu.Rows" localSheetId="0" hidden="1">'01'!#REF!,'01'!#REF!,'01'!#REF!,'01'!#REF!,'01'!#REF!,'01'!#REF!,'01'!#REF!</definedName>
    <definedName name="Z_F34DD4D3_7189_47AF_B853_F133E36CF124_.wvu.Rows" localSheetId="0" hidden="1">'01'!#REF!,'01'!#REF!,'01'!#REF!,'01'!#REF!,'01'!#REF!,'01'!#REF!,'01'!#REF!</definedName>
    <definedName name="Z_F82F81AB_9C82_4E79_8CA3_CEB2B994FC06_.wvu.Rows" localSheetId="0" hidden="1">'01'!#REF!,'01'!#REF!,'01'!#REF!,'01'!#REF!,'01'!#REF!,'01'!#REF!,'01'!#REF!</definedName>
    <definedName name="Z_F89CD5B0_594D_4248_B45D_59008422D599_.wvu.Rows" localSheetId="0" hidden="1">'01'!#REF!,'01'!#REF!,'01'!#REF!,'01'!#REF!,'01'!#REF!,'01'!#REF!,'01'!#REF!</definedName>
    <definedName name="Z_03FBB0AD_5353_49C6_B595_178BC13C96AE_.wvu.Rows" localSheetId="1" hidden="1">'02'!#REF!,'02'!#REF!,'02'!#REF!,'02'!#REF!,'02'!#REF!,'02'!#REF!,'02'!#REF!</definedName>
    <definedName name="Z_070961C3_1DC2_4518_83D7_B3F54BC58AE2_.wvu.Rows" localSheetId="1" hidden="1">'02'!#REF!,'02'!#REF!,'02'!#REF!,'02'!#REF!,'02'!#REF!,'02'!#REF!,'02'!#REF!</definedName>
    <definedName name="Z_0B87D63B_15AD_4587_A73B_CA4B62BDFA01_.wvu.Rows" localSheetId="1" hidden="1">'02'!#REF!,'02'!#REF!,'02'!#REF!,'02'!#REF!,'02'!#REF!,'02'!#REF!,'02'!#REF!</definedName>
    <definedName name="Z_1B9AB2B5_0A50_46C3_981D_8BE75BF62E46_.wvu.Rows" localSheetId="1" hidden="1">'02'!#REF!,'02'!#REF!,'02'!#REF!,'02'!#REF!,'02'!#REF!,'02'!#REF!,'02'!#REF!</definedName>
    <definedName name="Z_20A0B2F7_9F51_4E3D_A024_0877F1F98F8D_.wvu.Rows" localSheetId="1" hidden="1">'02'!#REF!,'02'!#REF!,'02'!#REF!,'02'!#REF!,'02'!#REF!,'02'!#REF!,'02'!#REF!</definedName>
    <definedName name="Z_2C3A3C66_1522_4337_93AC_DFC422DC8462_.wvu.Rows" localSheetId="1" hidden="1">'02'!#REF!,'02'!#REF!,'02'!#REF!,'02'!#REF!,'02'!#REF!,'02'!#REF!,'02'!#REF!</definedName>
    <definedName name="Z_2E074C0E_3584_4321_A729_0961B34312BF_.wvu.Rows" localSheetId="1" hidden="1">'02'!#REF!,'02'!#REF!,'02'!#REF!,'02'!#REF!,'02'!#REF!,'02'!#REF!,'02'!#REF!</definedName>
    <definedName name="Z_2FFCC83E_A488_4450_9F9E_FF506EAEF5FC_.wvu.Rows" localSheetId="1" hidden="1">'02'!#REF!,'02'!#REF!,'02'!#REF!,'02'!#REF!,'02'!#REF!,'02'!#REF!,'02'!#REF!</definedName>
    <definedName name="Z_3351A924_D23D_45D7_8354_55677D787CA4_.wvu.Rows" localSheetId="1" hidden="1">'02'!#REF!,'02'!#REF!,'02'!#REF!,'02'!#REF!,'02'!#REF!,'02'!#REF!,'02'!#REF!</definedName>
    <definedName name="Z_51E3BC0E_B24A_447A_BC0A_03881122E44E_.wvu.Rows" localSheetId="1" hidden="1">'02'!#REF!,'02'!#REF!,'02'!#REF!,'02'!#REF!,'02'!#REF!,'02'!#REF!,'02'!#REF!</definedName>
    <definedName name="Z_5C60C8F2_A96A_4286_AB69_6A192D48B52D_.wvu.Rows" localSheetId="1" hidden="1">'02'!#REF!,'02'!#REF!,'02'!#REF!,'02'!#REF!,'02'!#REF!,'02'!#REF!,'02'!#REF!</definedName>
    <definedName name="Z_667B099C_8E79_4490_AC67_CFE2B9F8FC8D_.wvu.Rows" localSheetId="1" hidden="1">'02'!#REF!,'02'!#REF!,'02'!#REF!,'02'!#REF!,'02'!#REF!,'02'!#REF!,'02'!#REF!</definedName>
    <definedName name="Z_696C5A08_6B5C_4B07_9B14_11E12159ACF3_.wvu.Rows" localSheetId="1" hidden="1">'02'!#REF!,'02'!#REF!,'02'!#REF!,'02'!#REF!,'02'!#REF!,'02'!#REF!</definedName>
    <definedName name="Z_743813BC_E137_480B_B63F_29E16C4A5D78_.wvu.Rows" localSheetId="1" hidden="1">'02'!#REF!,'02'!#REF!,'02'!#REF!,'02'!#REF!,'02'!#REF!,'02'!#REF!,'02'!#REF!</definedName>
    <definedName name="Z_7CD6C56D_7191_499D_884D_23F062610490_.wvu.Rows" localSheetId="1" hidden="1">'02'!#REF!,'02'!#REF!,'02'!#REF!,'02'!#REF!,'02'!#REF!,'02'!#REF!,'02'!#REF!</definedName>
    <definedName name="Z_8AB826A3_3F9F_46E8_8B3C_5D723650CD25_.wvu.Rows" localSheetId="1" hidden="1">'02'!#REF!,'02'!#REF!,'02'!#REF!,'02'!#REF!,'02'!#REF!,'02'!#REF!,'02'!#REF!</definedName>
    <definedName name="Z_9231B71C_ABB0_4122_BB61_A0E14ED7FAC4_.wvu.Rows" localSheetId="1" hidden="1">'02'!#REF!,'02'!#REF!,'02'!#REF!,'02'!#REF!,'02'!#REF!,'02'!#REF!,'02'!#REF!</definedName>
    <definedName name="Z_9CE42830_1BFE_4EEE_AD75_1C30A69A86B1_.wvu.Rows" localSheetId="1" hidden="1">'02'!#REF!,'02'!#REF!,'02'!#REF!,'02'!#REF!,'02'!#REF!,'02'!#REF!,'02'!#REF!</definedName>
    <definedName name="Z_9EA36D12_6C5C_4BE0_9897_E6710354124D_.wvu.Rows" localSheetId="1" hidden="1">'02'!#REF!,'02'!#REF!,'02'!#REF!,'02'!#REF!,'02'!#REF!,'02'!#REF!,'02'!#REF!</definedName>
    <definedName name="Z_A0F29F5B_FB6E_4C5E_B7A7_CDA651D38207_.wvu.Rows" localSheetId="1" hidden="1">'02'!#REF!,'02'!#REF!,'02'!#REF!,'02'!#REF!,'02'!#REF!,'02'!#REF!,'02'!#REF!</definedName>
    <definedName name="Z_A567DF6A_4F50_45D4_A9C8_0879E17AFD34_.wvu.Rows" localSheetId="1" hidden="1">'02'!#REF!,'02'!#REF!,'02'!#REF!,'02'!#REF!,'02'!#REF!,'02'!#REF!,'02'!#REF!</definedName>
    <definedName name="Z_B2CFD8C8_F8F8_47F1_9207_6BE81612C01C_.wvu.Rows" localSheetId="1" hidden="1">'02'!#REF!,'02'!#REF!,'02'!#REF!,'02'!#REF!,'02'!#REF!,'02'!#REF!,'02'!#REF!</definedName>
    <definedName name="Z_BBF15C7D_3EAF_4D98_9096_5B67F6C46C47_.wvu.Rows" localSheetId="1" hidden="1">'02'!#REF!,'02'!#REF!,'02'!#REF!,'02'!#REF!,'02'!#REF!,'02'!#REF!</definedName>
    <definedName name="Z_C122BF8D_C115_42E1_B73A_F9B38D5EC060_.wvu.Rows" localSheetId="1" hidden="1">'02'!#REF!,'02'!#REF!,'02'!#REF!,'02'!#REF!,'02'!#REF!,'02'!#REF!,'02'!#REF!</definedName>
    <definedName name="Z_C4D254D6_9D1C_4B3C_972D_15957FD05DD2_.wvu.Rows" localSheetId="1" hidden="1">'02'!#REF!,'02'!#REF!,'02'!#REF!,'02'!#REF!,'02'!#REF!,'02'!#REF!,'02'!#REF!</definedName>
    <definedName name="Z_D4664C56_FB8A_499D_8E24_CCA12F97FAE9_.wvu.Rows" localSheetId="1" hidden="1">'02'!#REF!,'02'!#REF!,'02'!#REF!,'02'!#REF!,'02'!#REF!,'02'!#REF!,'02'!#REF!</definedName>
    <definedName name="Z_DD995061_F552_4E13_8D40_A47EBB03245B_.wvu.Rows" localSheetId="1" hidden="1">'02'!#REF!,'02'!#REF!,'02'!#REF!,'02'!#REF!,'02'!#REF!,'02'!#REF!,'02'!#REF!</definedName>
    <definedName name="Z_DE2F0B4F_79DE_40A0_A13B_9C7F63D3F970_.wvu.Rows" localSheetId="1" hidden="1">'02'!#REF!,'02'!#REF!,'02'!#REF!,'02'!#REF!,'02'!#REF!,'02'!#REF!,'02'!#REF!</definedName>
    <definedName name="Z_E765F84B_EAF3_44AE_A058_C602C1E67401_.wvu.Rows" localSheetId="1" hidden="1">'02'!#REF!,'02'!#REF!,'02'!#REF!,'02'!#REF!,'02'!#REF!,'02'!#REF!,'02'!#REF!</definedName>
    <definedName name="Z_F34DD4D3_7189_47AF_B853_F133E36CF124_.wvu.Rows" localSheetId="1" hidden="1">'02'!#REF!,'02'!#REF!,'02'!#REF!,'02'!#REF!,'02'!#REF!,'02'!#REF!,'02'!#REF!</definedName>
    <definedName name="Z_F82F81AB_9C82_4E79_8CA3_CEB2B994FC06_.wvu.Rows" localSheetId="1" hidden="1">'02'!#REF!,'02'!#REF!,'02'!#REF!,'02'!#REF!,'02'!#REF!,'02'!#REF!,'02'!#REF!</definedName>
    <definedName name="Z_F89CD5B0_594D_4248_B45D_59008422D599_.wvu.Rows" localSheetId="1" hidden="1">'02'!#REF!,'02'!#REF!,'02'!#REF!,'02'!#REF!,'02'!#REF!,'02'!#REF!,'02'!#REF!</definedName>
    <definedName name="Z_03FBB0AD_5353_49C6_B595_178BC13C96AE_.wvu.Rows" localSheetId="2" hidden="1">'03'!#REF!,'03'!#REF!,'03'!#REF!,'03'!#REF!,'03'!#REF!,'03'!#REF!,'03'!#REF!</definedName>
    <definedName name="Z_070961C3_1DC2_4518_83D7_B3F54BC58AE2_.wvu.Rows" localSheetId="2" hidden="1">'03'!#REF!,'03'!#REF!,'03'!#REF!,'03'!#REF!,'03'!#REF!,'03'!#REF!,'03'!#REF!</definedName>
    <definedName name="Z_0B87D63B_15AD_4587_A73B_CA4B62BDFA01_.wvu.Rows" localSheetId="2" hidden="1">'03'!#REF!,'03'!#REF!,'03'!#REF!,'03'!#REF!,'03'!#REF!,'03'!#REF!,'03'!#REF!</definedName>
    <definedName name="Z_1B9AB2B5_0A50_46C3_981D_8BE75BF62E46_.wvu.Rows" localSheetId="2" hidden="1">'03'!#REF!,'03'!#REF!,'03'!#REF!,'03'!#REF!,'03'!#REF!,'03'!#REF!,'03'!#REF!</definedName>
    <definedName name="Z_20A0B2F7_9F51_4E3D_A024_0877F1F98F8D_.wvu.Rows" localSheetId="2" hidden="1">'03'!#REF!,'03'!#REF!,'03'!#REF!,'03'!#REF!,'03'!#REF!,'03'!#REF!,'03'!#REF!</definedName>
    <definedName name="Z_2C3A3C66_1522_4337_93AC_DFC422DC8462_.wvu.Rows" localSheetId="2" hidden="1">'03'!#REF!,'03'!#REF!,'03'!#REF!,'03'!#REF!,'03'!#REF!,'03'!#REF!,'03'!#REF!</definedName>
    <definedName name="Z_2E074C0E_3584_4321_A729_0961B34312BF_.wvu.Rows" localSheetId="2" hidden="1">'03'!#REF!,'03'!#REF!,'03'!#REF!,'03'!#REF!,'03'!#REF!,'03'!#REF!,'03'!#REF!</definedName>
    <definedName name="Z_2FFCC83E_A488_4450_9F9E_FF506EAEF5FC_.wvu.Rows" localSheetId="2" hidden="1">'03'!#REF!,'03'!#REF!,'03'!#REF!,'03'!#REF!,'03'!#REF!,'03'!#REF!,'03'!#REF!</definedName>
    <definedName name="Z_3351A924_D23D_45D7_8354_55677D787CA4_.wvu.Rows" localSheetId="2" hidden="1">'03'!#REF!,'03'!#REF!,'03'!#REF!,'03'!#REF!,'03'!#REF!,'03'!#REF!,'03'!#REF!</definedName>
    <definedName name="Z_51E3BC0E_B24A_447A_BC0A_03881122E44E_.wvu.Rows" localSheetId="2" hidden="1">'03'!#REF!,'03'!#REF!,'03'!#REF!,'03'!#REF!,'03'!#REF!,'03'!#REF!,'03'!#REF!</definedName>
    <definedName name="Z_5C60C8F2_A96A_4286_AB69_6A192D48B52D_.wvu.Rows" localSheetId="2" hidden="1">'03'!#REF!,'03'!#REF!,'03'!#REF!,'03'!#REF!,'03'!#REF!,'03'!#REF!,'03'!#REF!</definedName>
    <definedName name="Z_667B099C_8E79_4490_AC67_CFE2B9F8FC8D_.wvu.Rows" localSheetId="2" hidden="1">'03'!#REF!,'03'!#REF!,'03'!#REF!,'03'!#REF!,'03'!#REF!,'03'!#REF!,'03'!#REF!</definedName>
    <definedName name="Z_696C5A08_6B5C_4B07_9B14_11E12159ACF3_.wvu.Rows" localSheetId="2" hidden="1">'03'!#REF!,'03'!#REF!,'03'!#REF!,'03'!#REF!,'03'!#REF!,'03'!#REF!</definedName>
    <definedName name="Z_743813BC_E137_480B_B63F_29E16C4A5D78_.wvu.Rows" localSheetId="2" hidden="1">'03'!#REF!,'03'!#REF!,'03'!#REF!,'03'!#REF!,'03'!#REF!,'03'!#REF!,'03'!#REF!</definedName>
    <definedName name="Z_7CD6C56D_7191_499D_884D_23F062610490_.wvu.Rows" localSheetId="2" hidden="1">'03'!#REF!,'03'!#REF!,'03'!#REF!,'03'!#REF!,'03'!#REF!,'03'!#REF!,'03'!#REF!</definedName>
    <definedName name="Z_8AB826A3_3F9F_46E8_8B3C_5D723650CD25_.wvu.Rows" localSheetId="2" hidden="1">'03'!#REF!,'03'!#REF!,'03'!#REF!,'03'!#REF!,'03'!#REF!,'03'!#REF!,'03'!#REF!</definedName>
    <definedName name="Z_9231B71C_ABB0_4122_BB61_A0E14ED7FAC4_.wvu.Rows" localSheetId="2" hidden="1">'03'!#REF!,'03'!#REF!,'03'!#REF!,'03'!#REF!,'03'!#REF!,'03'!#REF!,'03'!#REF!</definedName>
    <definedName name="Z_9CE42830_1BFE_4EEE_AD75_1C30A69A86B1_.wvu.Rows" localSheetId="2" hidden="1">'03'!#REF!,'03'!#REF!,'03'!#REF!,'03'!#REF!,'03'!#REF!,'03'!#REF!,'03'!#REF!</definedName>
    <definedName name="Z_9EA36D12_6C5C_4BE0_9897_E6710354124D_.wvu.Rows" localSheetId="2" hidden="1">'03'!#REF!,'03'!#REF!,'03'!#REF!,'03'!#REF!,'03'!#REF!,'03'!#REF!,'03'!#REF!</definedName>
    <definedName name="Z_A0F29F5B_FB6E_4C5E_B7A7_CDA651D38207_.wvu.Rows" localSheetId="2" hidden="1">'03'!#REF!,'03'!#REF!,'03'!#REF!,'03'!#REF!,'03'!#REF!,'03'!#REF!,'03'!#REF!</definedName>
    <definedName name="Z_A567DF6A_4F50_45D4_A9C8_0879E17AFD34_.wvu.Rows" localSheetId="2" hidden="1">'03'!#REF!,'03'!#REF!,'03'!#REF!,'03'!#REF!,'03'!#REF!,'03'!#REF!,'03'!#REF!</definedName>
    <definedName name="Z_B2CFD8C8_F8F8_47F1_9207_6BE81612C01C_.wvu.Rows" localSheetId="2" hidden="1">'03'!#REF!,'03'!#REF!,'03'!#REF!,'03'!#REF!,'03'!#REF!,'03'!#REF!,'03'!#REF!</definedName>
    <definedName name="Z_BBF15C7D_3EAF_4D98_9096_5B67F6C46C47_.wvu.Rows" localSheetId="2" hidden="1">'03'!#REF!,'03'!#REF!,'03'!#REF!,'03'!#REF!,'03'!#REF!,'03'!#REF!</definedName>
    <definedName name="Z_C122BF8D_C115_42E1_B73A_F9B38D5EC060_.wvu.Rows" localSheetId="2" hidden="1">'03'!#REF!,'03'!#REF!,'03'!#REF!,'03'!#REF!,'03'!#REF!,'03'!#REF!,'03'!#REF!</definedName>
    <definedName name="Z_C4D254D6_9D1C_4B3C_972D_15957FD05DD2_.wvu.Rows" localSheetId="2" hidden="1">'03'!#REF!,'03'!#REF!,'03'!#REF!,'03'!#REF!,'03'!#REF!,'03'!#REF!,'03'!#REF!</definedName>
    <definedName name="Z_D4664C56_FB8A_499D_8E24_CCA12F97FAE9_.wvu.Rows" localSheetId="2" hidden="1">'03'!#REF!,'03'!#REF!,'03'!#REF!,'03'!#REF!,'03'!#REF!,'03'!#REF!,'03'!#REF!</definedName>
    <definedName name="Z_DD995061_F552_4E13_8D40_A47EBB03245B_.wvu.Rows" localSheetId="2" hidden="1">'03'!#REF!,'03'!#REF!,'03'!#REF!,'03'!#REF!,'03'!#REF!,'03'!#REF!,'03'!#REF!</definedName>
    <definedName name="Z_DE2F0B4F_79DE_40A0_A13B_9C7F63D3F970_.wvu.Rows" localSheetId="2" hidden="1">'03'!#REF!,'03'!#REF!,'03'!#REF!,'03'!#REF!,'03'!#REF!,'03'!#REF!,'03'!#REF!</definedName>
    <definedName name="Z_E765F84B_EAF3_44AE_A058_C602C1E67401_.wvu.Rows" localSheetId="2" hidden="1">'03'!#REF!,'03'!#REF!,'03'!#REF!,'03'!#REF!,'03'!#REF!,'03'!#REF!,'03'!#REF!</definedName>
    <definedName name="Z_F34DD4D3_7189_47AF_B853_F133E36CF124_.wvu.Rows" localSheetId="2" hidden="1">'03'!#REF!,'03'!#REF!,'03'!#REF!,'03'!#REF!,'03'!#REF!,'03'!#REF!,'03'!#REF!</definedName>
    <definedName name="Z_F82F81AB_9C82_4E79_8CA3_CEB2B994FC06_.wvu.Rows" localSheetId="2" hidden="1">'03'!#REF!,'03'!#REF!,'03'!#REF!,'03'!#REF!,'03'!#REF!,'03'!#REF!,'03'!#REF!</definedName>
    <definedName name="Z_F89CD5B0_594D_4248_B45D_59008422D599_.wvu.Rows" localSheetId="2" hidden="1">'03'!#REF!,'03'!#REF!,'03'!#REF!,'03'!#REF!,'03'!#REF!,'03'!#REF!,'03'!#REF!</definedName>
    <definedName name="Z_03FBB0AD_5353_49C6_B595_178BC13C96AE_.wvu.Rows" localSheetId="3" hidden="1">'04'!#REF!,'04'!#REF!,'04'!#REF!,'04'!#REF!,'04'!#REF!,'04'!#REF!,'04'!#REF!</definedName>
    <definedName name="Z_070961C3_1DC2_4518_83D7_B3F54BC58AE2_.wvu.Rows" localSheetId="3" hidden="1">'04'!#REF!,'04'!#REF!,'04'!#REF!,'04'!#REF!,'04'!#REF!,'04'!#REF!,'04'!#REF!</definedName>
    <definedName name="Z_0B87D63B_15AD_4587_A73B_CA4B62BDFA01_.wvu.Rows" localSheetId="3" hidden="1">'04'!#REF!,'04'!#REF!,'04'!#REF!,'04'!#REF!,'04'!#REF!,'04'!#REF!,'04'!#REF!</definedName>
    <definedName name="Z_1B9AB2B5_0A50_46C3_981D_8BE75BF62E46_.wvu.Rows" localSheetId="3" hidden="1">'04'!#REF!,'04'!#REF!,'04'!#REF!,'04'!#REF!,'04'!#REF!,'04'!#REF!,'04'!#REF!</definedName>
    <definedName name="Z_20A0B2F7_9F51_4E3D_A024_0877F1F98F8D_.wvu.Rows" localSheetId="3" hidden="1">'04'!#REF!,'04'!#REF!,'04'!#REF!,'04'!#REF!,'04'!#REF!,'04'!#REF!,'04'!#REF!</definedName>
    <definedName name="Z_2C3A3C66_1522_4337_93AC_DFC422DC8462_.wvu.Rows" localSheetId="3" hidden="1">'04'!#REF!,'04'!#REF!,'04'!#REF!,'04'!#REF!,'04'!#REF!,'04'!#REF!,'04'!#REF!</definedName>
    <definedName name="Z_2E074C0E_3584_4321_A729_0961B34312BF_.wvu.Rows" localSheetId="3" hidden="1">'04'!#REF!,'04'!#REF!,'04'!#REF!,'04'!#REF!,'04'!#REF!,'04'!#REF!,'04'!#REF!</definedName>
    <definedName name="Z_2FFCC83E_A488_4450_9F9E_FF506EAEF5FC_.wvu.Rows" localSheetId="3" hidden="1">'04'!#REF!,'04'!#REF!,'04'!#REF!,'04'!#REF!,'04'!#REF!,'04'!#REF!,'04'!#REF!</definedName>
    <definedName name="Z_3351A924_D23D_45D7_8354_55677D787CA4_.wvu.Rows" localSheetId="3" hidden="1">'04'!#REF!,'04'!#REF!,'04'!#REF!,'04'!#REF!,'04'!#REF!,'04'!#REF!,'04'!#REF!</definedName>
    <definedName name="Z_51E3BC0E_B24A_447A_BC0A_03881122E44E_.wvu.Rows" localSheetId="3" hidden="1">'04'!#REF!,'04'!#REF!,'04'!#REF!,'04'!#REF!,'04'!#REF!,'04'!#REF!,'04'!#REF!</definedName>
    <definedName name="Z_5C60C8F2_A96A_4286_AB69_6A192D48B52D_.wvu.Rows" localSheetId="3" hidden="1">'04'!#REF!,'04'!#REF!,'04'!#REF!,'04'!#REF!,'04'!#REF!,'04'!#REF!,'04'!#REF!</definedName>
    <definedName name="Z_667B099C_8E79_4490_AC67_CFE2B9F8FC8D_.wvu.Rows" localSheetId="3" hidden="1">'04'!#REF!,'04'!#REF!,'04'!#REF!,'04'!#REF!,'04'!#REF!,'04'!#REF!,'04'!#REF!</definedName>
    <definedName name="Z_696C5A08_6B5C_4B07_9B14_11E12159ACF3_.wvu.Rows" localSheetId="3" hidden="1">'04'!#REF!,'04'!#REF!,'04'!#REF!,'04'!#REF!,'04'!#REF!,'04'!#REF!</definedName>
    <definedName name="Z_743813BC_E137_480B_B63F_29E16C4A5D78_.wvu.Rows" localSheetId="3" hidden="1">'04'!#REF!,'04'!#REF!,'04'!#REF!,'04'!#REF!,'04'!#REF!,'04'!#REF!,'04'!#REF!</definedName>
    <definedName name="Z_7CD6C56D_7191_499D_884D_23F062610490_.wvu.Rows" localSheetId="3" hidden="1">'04'!#REF!,'04'!#REF!,'04'!#REF!,'04'!#REF!,'04'!#REF!,'04'!#REF!,'04'!#REF!</definedName>
    <definedName name="Z_8AB826A3_3F9F_46E8_8B3C_5D723650CD25_.wvu.Rows" localSheetId="3" hidden="1">'04'!#REF!,'04'!#REF!,'04'!#REF!,'04'!#REF!,'04'!#REF!,'04'!#REF!,'04'!#REF!</definedName>
    <definedName name="Z_9231B71C_ABB0_4122_BB61_A0E14ED7FAC4_.wvu.Rows" localSheetId="3" hidden="1">'04'!#REF!,'04'!#REF!,'04'!#REF!,'04'!#REF!,'04'!#REF!,'04'!#REF!,'04'!#REF!</definedName>
    <definedName name="Z_9CE42830_1BFE_4EEE_AD75_1C30A69A86B1_.wvu.Rows" localSheetId="3" hidden="1">'04'!#REF!,'04'!#REF!,'04'!#REF!,'04'!#REF!,'04'!#REF!,'04'!#REF!,'04'!#REF!</definedName>
    <definedName name="Z_9EA36D12_6C5C_4BE0_9897_E6710354124D_.wvu.Rows" localSheetId="3" hidden="1">'04'!#REF!,'04'!#REF!,'04'!#REF!,'04'!#REF!,'04'!#REF!,'04'!#REF!,'04'!#REF!</definedName>
    <definedName name="Z_A0F29F5B_FB6E_4C5E_B7A7_CDA651D38207_.wvu.Rows" localSheetId="3" hidden="1">'04'!#REF!,'04'!#REF!,'04'!#REF!,'04'!#REF!,'04'!#REF!,'04'!#REF!,'04'!#REF!</definedName>
    <definedName name="Z_A567DF6A_4F50_45D4_A9C8_0879E17AFD34_.wvu.Rows" localSheetId="3" hidden="1">'04'!#REF!,'04'!#REF!,'04'!#REF!,'04'!#REF!,'04'!#REF!,'04'!#REF!,'04'!#REF!</definedName>
    <definedName name="Z_B2CFD8C8_F8F8_47F1_9207_6BE81612C01C_.wvu.Rows" localSheetId="3" hidden="1">'04'!#REF!,'04'!#REF!,'04'!#REF!,'04'!#REF!,'04'!#REF!,'04'!#REF!,'04'!#REF!</definedName>
    <definedName name="Z_BBF15C7D_3EAF_4D98_9096_5B67F6C46C47_.wvu.Rows" localSheetId="3" hidden="1">'04'!#REF!,'04'!#REF!,'04'!#REF!,'04'!#REF!,'04'!#REF!,'04'!#REF!</definedName>
    <definedName name="Z_C122BF8D_C115_42E1_B73A_F9B38D5EC060_.wvu.Rows" localSheetId="3" hidden="1">'04'!#REF!,'04'!#REF!,'04'!#REF!,'04'!#REF!,'04'!#REF!,'04'!#REF!,'04'!#REF!</definedName>
    <definedName name="Z_C4D254D6_9D1C_4B3C_972D_15957FD05DD2_.wvu.Rows" localSheetId="3" hidden="1">'04'!#REF!,'04'!#REF!,'04'!#REF!,'04'!#REF!,'04'!#REF!,'04'!#REF!,'04'!#REF!</definedName>
    <definedName name="Z_D4664C56_FB8A_499D_8E24_CCA12F97FAE9_.wvu.Rows" localSheetId="3" hidden="1">'04'!#REF!,'04'!#REF!,'04'!#REF!,'04'!#REF!,'04'!#REF!,'04'!#REF!,'04'!#REF!</definedName>
    <definedName name="Z_DD995061_F552_4E13_8D40_A47EBB03245B_.wvu.Rows" localSheetId="3" hidden="1">'04'!#REF!,'04'!#REF!,'04'!#REF!,'04'!#REF!,'04'!#REF!,'04'!#REF!,'04'!#REF!</definedName>
    <definedName name="Z_DE2F0B4F_79DE_40A0_A13B_9C7F63D3F970_.wvu.Rows" localSheetId="3" hidden="1">'04'!#REF!,'04'!#REF!,'04'!#REF!,'04'!#REF!,'04'!#REF!,'04'!#REF!,'04'!#REF!</definedName>
    <definedName name="Z_E765F84B_EAF3_44AE_A058_C602C1E67401_.wvu.Rows" localSheetId="3" hidden="1">'04'!#REF!,'04'!#REF!,'04'!#REF!,'04'!#REF!,'04'!#REF!,'04'!#REF!,'04'!#REF!</definedName>
    <definedName name="Z_F34DD4D3_7189_47AF_B853_F133E36CF124_.wvu.Rows" localSheetId="3" hidden="1">'04'!#REF!,'04'!#REF!,'04'!#REF!,'04'!#REF!,'04'!#REF!,'04'!#REF!,'04'!#REF!</definedName>
    <definedName name="Z_F82F81AB_9C82_4E79_8CA3_CEB2B994FC06_.wvu.Rows" localSheetId="3" hidden="1">'04'!#REF!,'04'!#REF!,'04'!#REF!,'04'!#REF!,'04'!#REF!,'04'!#REF!,'04'!#REF!</definedName>
    <definedName name="Z_F89CD5B0_594D_4248_B45D_59008422D599_.wvu.Rows" localSheetId="3" hidden="1">'04'!#REF!,'04'!#REF!,'04'!#REF!,'04'!#REF!,'04'!#REF!,'04'!#REF!,'04'!#REF!</definedName>
    <definedName name="Z_03FBB0AD_5353_49C6_B595_178BC13C96AE_.wvu.Rows" localSheetId="4" hidden="1">'05'!#REF!,'05'!#REF!,'05'!#REF!,'05'!#REF!,'05'!#REF!,'05'!#REF!,'05'!#REF!</definedName>
    <definedName name="Z_070961C3_1DC2_4518_83D7_B3F54BC58AE2_.wvu.Rows" localSheetId="4" hidden="1">'05'!#REF!,'05'!#REF!,'05'!#REF!,'05'!#REF!,'05'!#REF!,'05'!#REF!,'05'!#REF!</definedName>
    <definedName name="Z_0B87D63B_15AD_4587_A73B_CA4B62BDFA01_.wvu.Rows" localSheetId="4" hidden="1">'05'!#REF!,'05'!#REF!,'05'!#REF!,'05'!#REF!,'05'!#REF!,'05'!#REF!,'05'!#REF!</definedName>
    <definedName name="Z_1B9AB2B5_0A50_46C3_981D_8BE75BF62E46_.wvu.Rows" localSheetId="4" hidden="1">'05'!#REF!,'05'!#REF!,'05'!#REF!,'05'!#REF!,'05'!#REF!,'05'!#REF!,'05'!#REF!</definedName>
    <definedName name="Z_20A0B2F7_9F51_4E3D_A024_0877F1F98F8D_.wvu.Rows" localSheetId="4" hidden="1">'05'!#REF!,'05'!#REF!,'05'!#REF!,'05'!#REF!,'05'!#REF!,'05'!#REF!,'05'!#REF!</definedName>
    <definedName name="Z_2C3A3C66_1522_4337_93AC_DFC422DC8462_.wvu.Rows" localSheetId="4" hidden="1">'05'!#REF!,'05'!#REF!,'05'!#REF!,'05'!#REF!,'05'!#REF!,'05'!#REF!,'05'!#REF!</definedName>
    <definedName name="Z_2E074C0E_3584_4321_A729_0961B34312BF_.wvu.Rows" localSheetId="4" hidden="1">'05'!#REF!,'05'!#REF!,'05'!#REF!,'05'!#REF!,'05'!#REF!,'05'!#REF!,'05'!#REF!</definedName>
    <definedName name="Z_2FFCC83E_A488_4450_9F9E_FF506EAEF5FC_.wvu.Rows" localSheetId="4" hidden="1">'05'!#REF!,'05'!#REF!,'05'!#REF!,'05'!#REF!,'05'!#REF!,'05'!#REF!,'05'!#REF!</definedName>
    <definedName name="Z_3351A924_D23D_45D7_8354_55677D787CA4_.wvu.Rows" localSheetId="4" hidden="1">'05'!#REF!,'05'!#REF!,'05'!#REF!,'05'!#REF!,'05'!#REF!,'05'!#REF!,'05'!#REF!</definedName>
    <definedName name="Z_51E3BC0E_B24A_447A_BC0A_03881122E44E_.wvu.Rows" localSheetId="4" hidden="1">'05'!#REF!,'05'!#REF!,'05'!#REF!,'05'!#REF!,'05'!#REF!,'05'!#REF!,'05'!#REF!</definedName>
    <definedName name="Z_5C60C8F2_A96A_4286_AB69_6A192D48B52D_.wvu.Rows" localSheetId="4" hidden="1">'05'!#REF!,'05'!#REF!,'05'!#REF!,'05'!#REF!,'05'!#REF!,'05'!#REF!,'05'!#REF!</definedName>
    <definedName name="Z_667B099C_8E79_4490_AC67_CFE2B9F8FC8D_.wvu.Rows" localSheetId="4" hidden="1">'05'!#REF!,'05'!#REF!,'05'!#REF!,'05'!#REF!,'05'!#REF!,'05'!#REF!,'05'!#REF!</definedName>
    <definedName name="Z_696C5A08_6B5C_4B07_9B14_11E12159ACF3_.wvu.Rows" localSheetId="4" hidden="1">'05'!#REF!,'05'!#REF!,'05'!#REF!,'05'!#REF!,'05'!#REF!,'05'!#REF!</definedName>
    <definedName name="Z_743813BC_E137_480B_B63F_29E16C4A5D78_.wvu.Rows" localSheetId="4" hidden="1">'05'!#REF!,'05'!#REF!,'05'!#REF!,'05'!#REF!,'05'!#REF!,'05'!#REF!,'05'!#REF!</definedName>
    <definedName name="Z_7CD6C56D_7191_499D_884D_23F062610490_.wvu.Rows" localSheetId="4" hidden="1">'05'!#REF!,'05'!#REF!,'05'!#REF!,'05'!#REF!,'05'!#REF!,'05'!#REF!,'05'!#REF!</definedName>
    <definedName name="Z_8AB826A3_3F9F_46E8_8B3C_5D723650CD25_.wvu.Rows" localSheetId="4" hidden="1">'05'!#REF!,'05'!#REF!,'05'!#REF!,'05'!#REF!,'05'!#REF!,'05'!#REF!,'05'!#REF!</definedName>
    <definedName name="Z_9231B71C_ABB0_4122_BB61_A0E14ED7FAC4_.wvu.Rows" localSheetId="4" hidden="1">'05'!#REF!,'05'!#REF!,'05'!#REF!,'05'!#REF!,'05'!#REF!,'05'!#REF!,'05'!#REF!</definedName>
    <definedName name="Z_9CE42830_1BFE_4EEE_AD75_1C30A69A86B1_.wvu.Rows" localSheetId="4" hidden="1">'05'!#REF!,'05'!#REF!,'05'!#REF!,'05'!#REF!,'05'!#REF!,'05'!#REF!,'05'!#REF!</definedName>
    <definedName name="Z_9EA36D12_6C5C_4BE0_9897_E6710354124D_.wvu.Rows" localSheetId="4" hidden="1">'05'!#REF!,'05'!#REF!,'05'!#REF!,'05'!#REF!,'05'!#REF!,'05'!#REF!,'05'!#REF!</definedName>
    <definedName name="Z_A0F29F5B_FB6E_4C5E_B7A7_CDA651D38207_.wvu.Rows" localSheetId="4" hidden="1">'05'!#REF!,'05'!#REF!,'05'!#REF!,'05'!#REF!,'05'!#REF!,'05'!#REF!,'05'!#REF!</definedName>
    <definedName name="Z_A567DF6A_4F50_45D4_A9C8_0879E17AFD34_.wvu.Rows" localSheetId="4" hidden="1">'05'!#REF!,'05'!#REF!,'05'!#REF!,'05'!#REF!,'05'!#REF!,'05'!#REF!,'05'!#REF!</definedName>
    <definedName name="Z_B2CFD8C8_F8F8_47F1_9207_6BE81612C01C_.wvu.Rows" localSheetId="4" hidden="1">'05'!#REF!,'05'!#REF!,'05'!#REF!,'05'!#REF!,'05'!#REF!,'05'!#REF!,'05'!#REF!</definedName>
    <definedName name="Z_BBF15C7D_3EAF_4D98_9096_5B67F6C46C47_.wvu.Rows" localSheetId="4" hidden="1">'05'!#REF!,'05'!#REF!,'05'!#REF!,'05'!#REF!,'05'!#REF!,'05'!#REF!</definedName>
    <definedName name="Z_C122BF8D_C115_42E1_B73A_F9B38D5EC060_.wvu.Rows" localSheetId="4" hidden="1">'05'!#REF!,'05'!#REF!,'05'!#REF!,'05'!#REF!,'05'!#REF!,'05'!#REF!,'05'!#REF!</definedName>
    <definedName name="Z_C4D254D6_9D1C_4B3C_972D_15957FD05DD2_.wvu.Rows" localSheetId="4" hidden="1">'05'!#REF!,'05'!#REF!,'05'!#REF!,'05'!#REF!,'05'!#REF!,'05'!#REF!,'05'!#REF!</definedName>
    <definedName name="Z_D4664C56_FB8A_499D_8E24_CCA12F97FAE9_.wvu.Rows" localSheetId="4" hidden="1">'05'!#REF!,'05'!#REF!,'05'!#REF!,'05'!#REF!,'05'!#REF!,'05'!#REF!,'05'!#REF!</definedName>
    <definedName name="Z_DD995061_F552_4E13_8D40_A47EBB03245B_.wvu.Rows" localSheetId="4" hidden="1">'05'!#REF!,'05'!#REF!,'05'!#REF!,'05'!#REF!,'05'!#REF!,'05'!#REF!,'05'!#REF!</definedName>
    <definedName name="Z_DE2F0B4F_79DE_40A0_A13B_9C7F63D3F970_.wvu.Rows" localSheetId="4" hidden="1">'05'!#REF!,'05'!#REF!,'05'!#REF!,'05'!#REF!,'05'!#REF!,'05'!#REF!,'05'!#REF!</definedName>
    <definedName name="Z_E765F84B_EAF3_44AE_A058_C602C1E67401_.wvu.Rows" localSheetId="4" hidden="1">'05'!#REF!,'05'!#REF!,'05'!#REF!,'05'!#REF!,'05'!#REF!,'05'!#REF!,'05'!#REF!</definedName>
    <definedName name="Z_F34DD4D3_7189_47AF_B853_F133E36CF124_.wvu.Rows" localSheetId="4" hidden="1">'05'!#REF!,'05'!#REF!,'05'!#REF!,'05'!#REF!,'05'!#REF!,'05'!#REF!,'05'!#REF!</definedName>
    <definedName name="Z_F82F81AB_9C82_4E79_8CA3_CEB2B994FC06_.wvu.Rows" localSheetId="4" hidden="1">'05'!#REF!,'05'!#REF!,'05'!#REF!,'05'!#REF!,'05'!#REF!,'05'!#REF!,'05'!#REF!</definedName>
    <definedName name="Z_F89CD5B0_594D_4248_B45D_59008422D599_.wvu.Rows" localSheetId="4" hidden="1">'05'!#REF!,'05'!#REF!,'05'!#REF!,'05'!#REF!,'05'!#REF!,'05'!#REF!,'05'!#REF!</definedName>
    <definedName name="Z_03FBB0AD_5353_49C6_B595_178BC13C96AE_.wvu.Rows" localSheetId="5" hidden="1">'06'!#REF!,'06'!#REF!,'06'!#REF!,'06'!#REF!,'06'!#REF!,'06'!#REF!,'06'!#REF!</definedName>
    <definedName name="Z_070961C3_1DC2_4518_83D7_B3F54BC58AE2_.wvu.Rows" localSheetId="5" hidden="1">'06'!#REF!,'06'!#REF!,'06'!#REF!,'06'!#REF!,'06'!#REF!,'06'!#REF!,'06'!#REF!</definedName>
    <definedName name="Z_0B87D63B_15AD_4587_A73B_CA4B62BDFA01_.wvu.Rows" localSheetId="5" hidden="1">'06'!#REF!,'06'!#REF!,'06'!#REF!,'06'!#REF!,'06'!#REF!,'06'!#REF!,'06'!#REF!</definedName>
    <definedName name="Z_1B9AB2B5_0A50_46C3_981D_8BE75BF62E46_.wvu.Rows" localSheetId="5" hidden="1">'06'!#REF!,'06'!#REF!,'06'!#REF!,'06'!#REF!,'06'!#REF!,'06'!#REF!,'06'!#REF!</definedName>
    <definedName name="Z_20A0B2F7_9F51_4E3D_A024_0877F1F98F8D_.wvu.Rows" localSheetId="5" hidden="1">'06'!#REF!,'06'!#REF!,'06'!#REF!,'06'!#REF!,'06'!#REF!,'06'!#REF!,'06'!#REF!</definedName>
    <definedName name="Z_2C3A3C66_1522_4337_93AC_DFC422DC8462_.wvu.Rows" localSheetId="5" hidden="1">'06'!#REF!,'06'!#REF!,'06'!#REF!,'06'!#REF!,'06'!#REF!,'06'!#REF!,'06'!#REF!</definedName>
    <definedName name="Z_2E074C0E_3584_4321_A729_0961B34312BF_.wvu.Rows" localSheetId="5" hidden="1">'06'!#REF!,'06'!#REF!,'06'!#REF!,'06'!#REF!,'06'!#REF!,'06'!#REF!,'06'!#REF!</definedName>
    <definedName name="Z_2FFCC83E_A488_4450_9F9E_FF506EAEF5FC_.wvu.Rows" localSheetId="5" hidden="1">'06'!#REF!,'06'!#REF!,'06'!#REF!,'06'!#REF!,'06'!#REF!,'06'!#REF!,'06'!#REF!</definedName>
    <definedName name="Z_3351A924_D23D_45D7_8354_55677D787CA4_.wvu.Rows" localSheetId="5" hidden="1">'06'!#REF!,'06'!#REF!,'06'!#REF!,'06'!#REF!,'06'!#REF!,'06'!#REF!,'06'!#REF!</definedName>
    <definedName name="Z_51E3BC0E_B24A_447A_BC0A_03881122E44E_.wvu.Rows" localSheetId="5" hidden="1">'06'!#REF!,'06'!#REF!,'06'!#REF!,'06'!#REF!,'06'!#REF!,'06'!#REF!,'06'!#REF!</definedName>
    <definedName name="Z_5C60C8F2_A96A_4286_AB69_6A192D48B52D_.wvu.Rows" localSheetId="5" hidden="1">'06'!#REF!,'06'!#REF!,'06'!#REF!,'06'!#REF!,'06'!#REF!,'06'!#REF!,'06'!#REF!</definedName>
    <definedName name="Z_667B099C_8E79_4490_AC67_CFE2B9F8FC8D_.wvu.Rows" localSheetId="5" hidden="1">'06'!#REF!,'06'!#REF!,'06'!#REF!,'06'!#REF!,'06'!#REF!,'06'!#REF!,'06'!#REF!</definedName>
    <definedName name="Z_696C5A08_6B5C_4B07_9B14_11E12159ACF3_.wvu.Rows" localSheetId="5" hidden="1">'06'!#REF!,'06'!#REF!,'06'!#REF!,'06'!#REF!,'06'!#REF!,'06'!#REF!</definedName>
    <definedName name="Z_743813BC_E137_480B_B63F_29E16C4A5D78_.wvu.Rows" localSheetId="5" hidden="1">'06'!#REF!,'06'!#REF!,'06'!#REF!,'06'!#REF!,'06'!#REF!,'06'!#REF!,'06'!#REF!</definedName>
    <definedName name="Z_7CD6C56D_7191_499D_884D_23F062610490_.wvu.Rows" localSheetId="5" hidden="1">'06'!#REF!,'06'!#REF!,'06'!#REF!,'06'!#REF!,'06'!#REF!,'06'!#REF!,'06'!#REF!</definedName>
    <definedName name="Z_8AB826A3_3F9F_46E8_8B3C_5D723650CD25_.wvu.Rows" localSheetId="5" hidden="1">'06'!#REF!,'06'!#REF!,'06'!#REF!,'06'!#REF!,'06'!#REF!,'06'!#REF!,'06'!#REF!</definedName>
    <definedName name="Z_9231B71C_ABB0_4122_BB61_A0E14ED7FAC4_.wvu.Rows" localSheetId="5" hidden="1">'06'!#REF!,'06'!#REF!,'06'!#REF!,'06'!#REF!,'06'!#REF!,'06'!#REF!,'06'!#REF!</definedName>
    <definedName name="Z_9CE42830_1BFE_4EEE_AD75_1C30A69A86B1_.wvu.Rows" localSheetId="5" hidden="1">'06'!#REF!,'06'!#REF!,'06'!#REF!,'06'!#REF!,'06'!#REF!,'06'!#REF!,'06'!#REF!</definedName>
    <definedName name="Z_9EA36D12_6C5C_4BE0_9897_E6710354124D_.wvu.Rows" localSheetId="5" hidden="1">'06'!#REF!,'06'!#REF!,'06'!#REF!,'06'!#REF!,'06'!#REF!,'06'!#REF!,'06'!#REF!</definedName>
    <definedName name="Z_A0F29F5B_FB6E_4C5E_B7A7_CDA651D38207_.wvu.Rows" localSheetId="5" hidden="1">'06'!#REF!,'06'!#REF!,'06'!#REF!,'06'!#REF!,'06'!#REF!,'06'!#REF!,'06'!#REF!</definedName>
    <definedName name="Z_A567DF6A_4F50_45D4_A9C8_0879E17AFD34_.wvu.Rows" localSheetId="5" hidden="1">'06'!#REF!,'06'!#REF!,'06'!#REF!,'06'!#REF!,'06'!#REF!,'06'!#REF!,'06'!#REF!</definedName>
    <definedName name="Z_B2CFD8C8_F8F8_47F1_9207_6BE81612C01C_.wvu.Rows" localSheetId="5" hidden="1">'06'!#REF!,'06'!#REF!,'06'!#REF!,'06'!#REF!,'06'!#REF!,'06'!#REF!,'06'!#REF!</definedName>
    <definedName name="Z_BBF15C7D_3EAF_4D98_9096_5B67F6C46C47_.wvu.Rows" localSheetId="5" hidden="1">'06'!#REF!,'06'!#REF!,'06'!#REF!,'06'!#REF!,'06'!#REF!,'06'!#REF!</definedName>
    <definedName name="Z_C122BF8D_C115_42E1_B73A_F9B38D5EC060_.wvu.Rows" localSheetId="5" hidden="1">'06'!#REF!,'06'!#REF!,'06'!#REF!,'06'!#REF!,'06'!#REF!,'06'!#REF!,'06'!#REF!</definedName>
    <definedName name="Z_C4D254D6_9D1C_4B3C_972D_15957FD05DD2_.wvu.Rows" localSheetId="5" hidden="1">'06'!#REF!,'06'!#REF!,'06'!#REF!,'06'!#REF!,'06'!#REF!,'06'!#REF!,'06'!#REF!</definedName>
    <definedName name="Z_D4664C56_FB8A_499D_8E24_CCA12F97FAE9_.wvu.Rows" localSheetId="5" hidden="1">'06'!#REF!,'06'!#REF!,'06'!#REF!,'06'!#REF!,'06'!#REF!,'06'!#REF!,'06'!#REF!</definedName>
    <definedName name="Z_DD995061_F552_4E13_8D40_A47EBB03245B_.wvu.Rows" localSheetId="5" hidden="1">'06'!#REF!,'06'!#REF!,'06'!#REF!,'06'!#REF!,'06'!#REF!,'06'!#REF!,'06'!#REF!</definedName>
    <definedName name="Z_DE2F0B4F_79DE_40A0_A13B_9C7F63D3F970_.wvu.Rows" localSheetId="5" hidden="1">'06'!#REF!,'06'!#REF!,'06'!#REF!,'06'!#REF!,'06'!#REF!,'06'!#REF!,'06'!#REF!</definedName>
    <definedName name="Z_E765F84B_EAF3_44AE_A058_C602C1E67401_.wvu.Rows" localSheetId="5" hidden="1">'06'!#REF!,'06'!#REF!,'06'!#REF!,'06'!#REF!,'06'!#REF!,'06'!#REF!,'06'!#REF!</definedName>
    <definedName name="Z_F34DD4D3_7189_47AF_B853_F133E36CF124_.wvu.Rows" localSheetId="5" hidden="1">'06'!#REF!,'06'!#REF!,'06'!#REF!,'06'!#REF!,'06'!#REF!,'06'!#REF!,'06'!#REF!</definedName>
    <definedName name="Z_F82F81AB_9C82_4E79_8CA3_CEB2B994FC06_.wvu.Rows" localSheetId="5" hidden="1">'06'!#REF!,'06'!#REF!,'06'!#REF!,'06'!#REF!,'06'!#REF!,'06'!#REF!,'06'!#REF!</definedName>
    <definedName name="Z_F89CD5B0_594D_4248_B45D_59008422D599_.wvu.Rows" localSheetId="5" hidden="1">'06'!#REF!,'06'!#REF!,'06'!#REF!,'06'!#REF!,'06'!#REF!,'06'!#REF!,'06'!#REF!</definedName>
    <definedName name="Z_03FBB0AD_5353_49C6_B595_178BC13C96AE_.wvu.Rows" localSheetId="6" hidden="1">'07'!#REF!,'07'!#REF!,'07'!#REF!,'07'!#REF!,'07'!#REF!,'07'!#REF!,'07'!#REF!</definedName>
    <definedName name="Z_070961C3_1DC2_4518_83D7_B3F54BC58AE2_.wvu.Rows" localSheetId="6" hidden="1">'07'!#REF!,'07'!#REF!,'07'!#REF!,'07'!#REF!,'07'!#REF!,'07'!#REF!,'07'!#REF!</definedName>
    <definedName name="Z_0B87D63B_15AD_4587_A73B_CA4B62BDFA01_.wvu.Rows" localSheetId="6" hidden="1">'07'!#REF!,'07'!#REF!,'07'!#REF!,'07'!#REF!,'07'!#REF!,'07'!#REF!,'07'!#REF!</definedName>
    <definedName name="Z_1B9AB2B5_0A50_46C3_981D_8BE75BF62E46_.wvu.Rows" localSheetId="6" hidden="1">'07'!#REF!,'07'!#REF!,'07'!#REF!,'07'!#REF!,'07'!#REF!,'07'!#REF!,'07'!#REF!</definedName>
    <definedName name="Z_20A0B2F7_9F51_4E3D_A024_0877F1F98F8D_.wvu.Rows" localSheetId="6" hidden="1">'07'!#REF!,'07'!#REF!,'07'!#REF!,'07'!#REF!,'07'!#REF!,'07'!#REF!,'07'!#REF!</definedName>
    <definedName name="Z_2C3A3C66_1522_4337_93AC_DFC422DC8462_.wvu.Rows" localSheetId="6" hidden="1">'07'!#REF!,'07'!#REF!,'07'!#REF!,'07'!#REF!,'07'!#REF!,'07'!#REF!,'07'!#REF!</definedName>
    <definedName name="Z_2E074C0E_3584_4321_A729_0961B34312BF_.wvu.Rows" localSheetId="6" hidden="1">'07'!#REF!,'07'!#REF!,'07'!#REF!,'07'!#REF!,'07'!#REF!,'07'!#REF!,'07'!#REF!</definedName>
    <definedName name="Z_2FFCC83E_A488_4450_9F9E_FF506EAEF5FC_.wvu.Rows" localSheetId="6" hidden="1">'07'!#REF!,'07'!#REF!,'07'!#REF!,'07'!#REF!,'07'!#REF!,'07'!#REF!,'07'!#REF!</definedName>
    <definedName name="Z_3351A924_D23D_45D7_8354_55677D787CA4_.wvu.Rows" localSheetId="6" hidden="1">'07'!#REF!,'07'!#REF!,'07'!#REF!,'07'!#REF!,'07'!#REF!,'07'!#REF!,'07'!#REF!</definedName>
    <definedName name="Z_51E3BC0E_B24A_447A_BC0A_03881122E44E_.wvu.Rows" localSheetId="6" hidden="1">'07'!#REF!,'07'!#REF!,'07'!#REF!,'07'!#REF!,'07'!#REF!,'07'!#REF!,'07'!#REF!</definedName>
    <definedName name="Z_5C60C8F2_A96A_4286_AB69_6A192D48B52D_.wvu.Rows" localSheetId="6" hidden="1">'07'!#REF!,'07'!#REF!,'07'!#REF!,'07'!#REF!,'07'!#REF!,'07'!#REF!,'07'!#REF!</definedName>
    <definedName name="Z_667B099C_8E79_4490_AC67_CFE2B9F8FC8D_.wvu.Rows" localSheetId="6" hidden="1">'07'!#REF!,'07'!#REF!,'07'!#REF!,'07'!#REF!,'07'!#REF!,'07'!#REF!,'07'!#REF!</definedName>
    <definedName name="Z_696C5A08_6B5C_4B07_9B14_11E12159ACF3_.wvu.Rows" localSheetId="6" hidden="1">'07'!#REF!,'07'!#REF!,'07'!#REF!,'07'!#REF!,'07'!#REF!,'07'!#REF!</definedName>
    <definedName name="Z_743813BC_E137_480B_B63F_29E16C4A5D78_.wvu.Rows" localSheetId="6" hidden="1">'07'!#REF!,'07'!#REF!,'07'!#REF!,'07'!#REF!,'07'!#REF!,'07'!#REF!,'07'!#REF!</definedName>
    <definedName name="Z_7CD6C56D_7191_499D_884D_23F062610490_.wvu.Rows" localSheetId="6" hidden="1">'07'!#REF!,'07'!#REF!,'07'!#REF!,'07'!#REF!,'07'!#REF!,'07'!#REF!,'07'!#REF!</definedName>
    <definedName name="Z_8AB826A3_3F9F_46E8_8B3C_5D723650CD25_.wvu.Rows" localSheetId="6" hidden="1">'07'!#REF!,'07'!#REF!,'07'!#REF!,'07'!#REF!,'07'!#REF!,'07'!#REF!,'07'!#REF!</definedName>
    <definedName name="Z_9231B71C_ABB0_4122_BB61_A0E14ED7FAC4_.wvu.Rows" localSheetId="6" hidden="1">'07'!#REF!,'07'!#REF!,'07'!#REF!,'07'!#REF!,'07'!#REF!,'07'!#REF!,'07'!#REF!</definedName>
    <definedName name="Z_9CE42830_1BFE_4EEE_AD75_1C30A69A86B1_.wvu.Rows" localSheetId="6" hidden="1">'07'!#REF!,'07'!#REF!,'07'!#REF!,'07'!#REF!,'07'!#REF!,'07'!#REF!,'07'!#REF!</definedName>
    <definedName name="Z_9EA36D12_6C5C_4BE0_9897_E6710354124D_.wvu.Rows" localSheetId="6" hidden="1">'07'!#REF!,'07'!#REF!,'07'!#REF!,'07'!#REF!,'07'!#REF!,'07'!#REF!,'07'!#REF!</definedName>
    <definedName name="Z_A0F29F5B_FB6E_4C5E_B7A7_CDA651D38207_.wvu.Rows" localSheetId="6" hidden="1">'07'!#REF!,'07'!#REF!,'07'!#REF!,'07'!#REF!,'07'!#REF!,'07'!#REF!,'07'!#REF!</definedName>
    <definedName name="Z_A567DF6A_4F50_45D4_A9C8_0879E17AFD34_.wvu.Rows" localSheetId="6" hidden="1">'07'!#REF!,'07'!#REF!,'07'!#REF!,'07'!#REF!,'07'!#REF!,'07'!#REF!,'07'!#REF!</definedName>
    <definedName name="Z_B2CFD8C8_F8F8_47F1_9207_6BE81612C01C_.wvu.Rows" localSheetId="6" hidden="1">'07'!#REF!,'07'!#REF!,'07'!#REF!,'07'!#REF!,'07'!#REF!,'07'!#REF!,'07'!#REF!</definedName>
    <definedName name="Z_BBF15C7D_3EAF_4D98_9096_5B67F6C46C47_.wvu.Rows" localSheetId="6" hidden="1">'07'!#REF!,'07'!#REF!,'07'!#REF!,'07'!#REF!,'07'!#REF!,'07'!#REF!</definedName>
    <definedName name="Z_C122BF8D_C115_42E1_B73A_F9B38D5EC060_.wvu.Rows" localSheetId="6" hidden="1">'07'!#REF!,'07'!#REF!,'07'!#REF!,'07'!#REF!,'07'!#REF!,'07'!#REF!,'07'!#REF!</definedName>
    <definedName name="Z_C4D254D6_9D1C_4B3C_972D_15957FD05DD2_.wvu.Rows" localSheetId="6" hidden="1">'07'!#REF!,'07'!#REF!,'07'!#REF!,'07'!#REF!,'07'!#REF!,'07'!#REF!,'07'!#REF!</definedName>
    <definedName name="Z_D4664C56_FB8A_499D_8E24_CCA12F97FAE9_.wvu.Rows" localSheetId="6" hidden="1">'07'!#REF!,'07'!#REF!,'07'!#REF!,'07'!#REF!,'07'!#REF!,'07'!#REF!,'07'!#REF!</definedName>
    <definedName name="Z_DD995061_F552_4E13_8D40_A47EBB03245B_.wvu.Rows" localSheetId="6" hidden="1">'07'!#REF!,'07'!#REF!,'07'!#REF!,'07'!#REF!,'07'!#REF!,'07'!#REF!,'07'!#REF!</definedName>
    <definedName name="Z_DE2F0B4F_79DE_40A0_A13B_9C7F63D3F970_.wvu.Rows" localSheetId="6" hidden="1">'07'!#REF!,'07'!#REF!,'07'!#REF!,'07'!#REF!,'07'!#REF!,'07'!#REF!,'07'!#REF!</definedName>
    <definedName name="Z_E765F84B_EAF3_44AE_A058_C602C1E67401_.wvu.Rows" localSheetId="6" hidden="1">'07'!#REF!,'07'!#REF!,'07'!#REF!,'07'!#REF!,'07'!#REF!,'07'!#REF!,'07'!#REF!</definedName>
    <definedName name="Z_F34DD4D3_7189_47AF_B853_F133E36CF124_.wvu.Rows" localSheetId="6" hidden="1">'07'!#REF!,'07'!#REF!,'07'!#REF!,'07'!#REF!,'07'!#REF!,'07'!#REF!,'07'!#REF!</definedName>
    <definedName name="Z_F82F81AB_9C82_4E79_8CA3_CEB2B994FC06_.wvu.Rows" localSheetId="6" hidden="1">'07'!#REF!,'07'!#REF!,'07'!#REF!,'07'!#REF!,'07'!#REF!,'07'!#REF!,'07'!#REF!</definedName>
    <definedName name="Z_F89CD5B0_594D_4248_B45D_59008422D599_.wvu.Rows" localSheetId="6" hidden="1">'07'!#REF!,'07'!#REF!,'07'!#REF!,'07'!#REF!,'07'!#REF!,'07'!#REF!,'07'!#REF!</definedName>
    <definedName name="Z_03FBB0AD_5353_49C6_B595_178BC13C96AE_.wvu.Rows" localSheetId="7" hidden="1">'08'!#REF!,'08'!#REF!,'08'!#REF!,'08'!#REF!,'08'!#REF!,'08'!#REF!,'08'!#REF!</definedName>
    <definedName name="Z_070961C3_1DC2_4518_83D7_B3F54BC58AE2_.wvu.Rows" localSheetId="7" hidden="1">'08'!#REF!,'08'!#REF!,'08'!#REF!,'08'!#REF!,'08'!#REF!,'08'!#REF!,'08'!#REF!</definedName>
    <definedName name="Z_0B87D63B_15AD_4587_A73B_CA4B62BDFA01_.wvu.Rows" localSheetId="7" hidden="1">'08'!#REF!,'08'!#REF!,'08'!#REF!,'08'!#REF!,'08'!#REF!,'08'!#REF!,'08'!#REF!</definedName>
    <definedName name="Z_1B9AB2B5_0A50_46C3_981D_8BE75BF62E46_.wvu.Rows" localSheetId="7" hidden="1">'08'!#REF!,'08'!#REF!,'08'!#REF!,'08'!#REF!,'08'!#REF!,'08'!#REF!,'08'!#REF!</definedName>
    <definedName name="Z_20A0B2F7_9F51_4E3D_A024_0877F1F98F8D_.wvu.Rows" localSheetId="7" hidden="1">'08'!#REF!,'08'!#REF!,'08'!#REF!,'08'!#REF!,'08'!#REF!,'08'!#REF!,'08'!#REF!</definedName>
    <definedName name="Z_2C3A3C66_1522_4337_93AC_DFC422DC8462_.wvu.Rows" localSheetId="7" hidden="1">'08'!#REF!,'08'!#REF!,'08'!#REF!,'08'!#REF!,'08'!#REF!,'08'!#REF!,'08'!#REF!</definedName>
    <definedName name="Z_2E074C0E_3584_4321_A729_0961B34312BF_.wvu.Rows" localSheetId="7" hidden="1">'08'!#REF!,'08'!#REF!,'08'!#REF!,'08'!#REF!,'08'!#REF!,'08'!#REF!,'08'!#REF!</definedName>
    <definedName name="Z_2FFCC83E_A488_4450_9F9E_FF506EAEF5FC_.wvu.Rows" localSheetId="7" hidden="1">'08'!#REF!,'08'!#REF!,'08'!#REF!,'08'!#REF!,'08'!#REF!,'08'!#REF!,'08'!#REF!</definedName>
    <definedName name="Z_3351A924_D23D_45D7_8354_55677D787CA4_.wvu.Rows" localSheetId="7" hidden="1">'08'!#REF!,'08'!#REF!,'08'!#REF!,'08'!#REF!,'08'!#REF!,'08'!#REF!,'08'!#REF!</definedName>
    <definedName name="Z_51E3BC0E_B24A_447A_BC0A_03881122E44E_.wvu.Rows" localSheetId="7" hidden="1">'08'!#REF!,'08'!#REF!,'08'!#REF!,'08'!#REF!,'08'!#REF!,'08'!#REF!,'08'!#REF!</definedName>
    <definedName name="Z_5C60C8F2_A96A_4286_AB69_6A192D48B52D_.wvu.Rows" localSheetId="7" hidden="1">'08'!#REF!,'08'!#REF!,'08'!#REF!,'08'!#REF!,'08'!#REF!,'08'!#REF!,'08'!#REF!</definedName>
    <definedName name="Z_667B099C_8E79_4490_AC67_CFE2B9F8FC8D_.wvu.Rows" localSheetId="7" hidden="1">'08'!#REF!,'08'!#REF!,'08'!#REF!,'08'!#REF!,'08'!#REF!,'08'!#REF!,'08'!#REF!</definedName>
    <definedName name="Z_696C5A08_6B5C_4B07_9B14_11E12159ACF3_.wvu.Rows" localSheetId="7" hidden="1">'08'!#REF!,'08'!#REF!,'08'!#REF!,'08'!#REF!,'08'!#REF!,'08'!#REF!</definedName>
    <definedName name="Z_743813BC_E137_480B_B63F_29E16C4A5D78_.wvu.Rows" localSheetId="7" hidden="1">'08'!#REF!,'08'!#REF!,'08'!#REF!,'08'!#REF!,'08'!#REF!,'08'!#REF!,'08'!#REF!</definedName>
    <definedName name="Z_7CD6C56D_7191_499D_884D_23F062610490_.wvu.Rows" localSheetId="7" hidden="1">'08'!#REF!,'08'!#REF!,'08'!#REF!,'08'!#REF!,'08'!#REF!,'08'!#REF!,'08'!#REF!</definedName>
    <definedName name="Z_8AB826A3_3F9F_46E8_8B3C_5D723650CD25_.wvu.Rows" localSheetId="7" hidden="1">'08'!#REF!,'08'!#REF!,'08'!#REF!,'08'!#REF!,'08'!#REF!,'08'!#REF!,'08'!#REF!</definedName>
    <definedName name="Z_9231B71C_ABB0_4122_BB61_A0E14ED7FAC4_.wvu.Rows" localSheetId="7" hidden="1">'08'!#REF!,'08'!#REF!,'08'!#REF!,'08'!#REF!,'08'!#REF!,'08'!#REF!,'08'!#REF!</definedName>
    <definedName name="Z_9CE42830_1BFE_4EEE_AD75_1C30A69A86B1_.wvu.Rows" localSheetId="7" hidden="1">'08'!#REF!,'08'!#REF!,'08'!#REF!,'08'!#REF!,'08'!#REF!,'08'!#REF!,'08'!#REF!</definedName>
    <definedName name="Z_9EA36D12_6C5C_4BE0_9897_E6710354124D_.wvu.Rows" localSheetId="7" hidden="1">'08'!#REF!,'08'!#REF!,'08'!#REF!,'08'!#REF!,'08'!#REF!,'08'!#REF!,'08'!#REF!</definedName>
    <definedName name="Z_A0F29F5B_FB6E_4C5E_B7A7_CDA651D38207_.wvu.Rows" localSheetId="7" hidden="1">'08'!#REF!,'08'!#REF!,'08'!#REF!,'08'!#REF!,'08'!#REF!,'08'!#REF!,'08'!#REF!</definedName>
    <definedName name="Z_A567DF6A_4F50_45D4_A9C8_0879E17AFD34_.wvu.Rows" localSheetId="7" hidden="1">'08'!#REF!,'08'!#REF!,'08'!#REF!,'08'!#REF!,'08'!#REF!,'08'!#REF!,'08'!#REF!</definedName>
    <definedName name="Z_B2CFD8C8_F8F8_47F1_9207_6BE81612C01C_.wvu.Rows" localSheetId="7" hidden="1">'08'!#REF!,'08'!#REF!,'08'!#REF!,'08'!#REF!,'08'!#REF!,'08'!#REF!,'08'!#REF!</definedName>
    <definedName name="Z_BBF15C7D_3EAF_4D98_9096_5B67F6C46C47_.wvu.Rows" localSheetId="7" hidden="1">'08'!#REF!,'08'!#REF!,'08'!#REF!,'08'!#REF!,'08'!#REF!,'08'!#REF!</definedName>
    <definedName name="Z_C122BF8D_C115_42E1_B73A_F9B38D5EC060_.wvu.Rows" localSheetId="7" hidden="1">'08'!#REF!,'08'!#REF!,'08'!#REF!,'08'!#REF!,'08'!#REF!,'08'!#REF!,'08'!#REF!</definedName>
    <definedName name="Z_C4D254D6_9D1C_4B3C_972D_15957FD05DD2_.wvu.Rows" localSheetId="7" hidden="1">'08'!#REF!,'08'!#REF!,'08'!#REF!,'08'!#REF!,'08'!#REF!,'08'!#REF!,'08'!#REF!</definedName>
    <definedName name="Z_D4664C56_FB8A_499D_8E24_CCA12F97FAE9_.wvu.Rows" localSheetId="7" hidden="1">'08'!#REF!,'08'!#REF!,'08'!#REF!,'08'!#REF!,'08'!#REF!,'08'!#REF!,'08'!#REF!</definedName>
    <definedName name="Z_DD995061_F552_4E13_8D40_A47EBB03245B_.wvu.Rows" localSheetId="7" hidden="1">'08'!#REF!,'08'!#REF!,'08'!#REF!,'08'!#REF!,'08'!#REF!,'08'!#REF!,'08'!#REF!</definedName>
    <definedName name="Z_DE2F0B4F_79DE_40A0_A13B_9C7F63D3F970_.wvu.Rows" localSheetId="7" hidden="1">'08'!#REF!,'08'!#REF!,'08'!#REF!,'08'!#REF!,'08'!#REF!,'08'!#REF!,'08'!#REF!</definedName>
    <definedName name="Z_E765F84B_EAF3_44AE_A058_C602C1E67401_.wvu.Rows" localSheetId="7" hidden="1">'08'!#REF!,'08'!#REF!,'08'!#REF!,'08'!#REF!,'08'!#REF!,'08'!#REF!,'08'!#REF!</definedName>
    <definedName name="Z_F34DD4D3_7189_47AF_B853_F133E36CF124_.wvu.Rows" localSheetId="7" hidden="1">'08'!#REF!,'08'!#REF!,'08'!#REF!,'08'!#REF!,'08'!#REF!,'08'!#REF!,'08'!#REF!</definedName>
    <definedName name="Z_F82F81AB_9C82_4E79_8CA3_CEB2B994FC06_.wvu.Rows" localSheetId="7" hidden="1">'08'!#REF!,'08'!#REF!,'08'!#REF!,'08'!#REF!,'08'!#REF!,'08'!#REF!,'08'!#REF!</definedName>
    <definedName name="Z_F89CD5B0_594D_4248_B45D_59008422D599_.wvu.Rows" localSheetId="7" hidden="1">'08'!#REF!,'08'!#REF!,'08'!#REF!,'08'!#REF!,'08'!#REF!,'08'!#REF!,'08'!#REF!</definedName>
    <definedName name="Z_03FBB0AD_5353_49C6_B595_178BC13C96AE_.wvu.Rows" localSheetId="8" hidden="1">'09'!#REF!,'09'!#REF!,'09'!#REF!,'09'!#REF!,'09'!#REF!,'09'!#REF!,'09'!#REF!</definedName>
    <definedName name="Z_070961C3_1DC2_4518_83D7_B3F54BC58AE2_.wvu.Rows" localSheetId="8" hidden="1">'09'!#REF!,'09'!#REF!,'09'!#REF!,'09'!#REF!,'09'!#REF!,'09'!#REF!,'09'!#REF!</definedName>
    <definedName name="Z_0B87D63B_15AD_4587_A73B_CA4B62BDFA01_.wvu.Rows" localSheetId="8" hidden="1">'09'!#REF!,'09'!#REF!,'09'!#REF!,'09'!#REF!,'09'!#REF!,'09'!#REF!,'09'!#REF!</definedName>
    <definedName name="Z_1B9AB2B5_0A50_46C3_981D_8BE75BF62E46_.wvu.Rows" localSheetId="8" hidden="1">'09'!#REF!,'09'!#REF!,'09'!#REF!,'09'!#REF!,'09'!#REF!,'09'!#REF!,'09'!#REF!</definedName>
    <definedName name="Z_20A0B2F7_9F51_4E3D_A024_0877F1F98F8D_.wvu.Rows" localSheetId="8" hidden="1">'09'!#REF!,'09'!#REF!,'09'!#REF!,'09'!#REF!,'09'!#REF!,'09'!#REF!,'09'!#REF!</definedName>
    <definedName name="Z_2C3A3C66_1522_4337_93AC_DFC422DC8462_.wvu.Rows" localSheetId="8" hidden="1">'09'!#REF!,'09'!#REF!,'09'!#REF!,'09'!#REF!,'09'!#REF!,'09'!#REF!,'09'!#REF!</definedName>
    <definedName name="Z_2E074C0E_3584_4321_A729_0961B34312BF_.wvu.Rows" localSheetId="8" hidden="1">'09'!#REF!,'09'!#REF!,'09'!#REF!,'09'!#REF!,'09'!#REF!,'09'!#REF!,'09'!#REF!</definedName>
    <definedName name="Z_2FFCC83E_A488_4450_9F9E_FF506EAEF5FC_.wvu.Rows" localSheetId="8" hidden="1">'09'!#REF!,'09'!#REF!,'09'!#REF!,'09'!#REF!,'09'!#REF!,'09'!#REF!,'09'!#REF!</definedName>
    <definedName name="Z_3351A924_D23D_45D7_8354_55677D787CA4_.wvu.Rows" localSheetId="8" hidden="1">'09'!#REF!,'09'!#REF!,'09'!#REF!,'09'!#REF!,'09'!#REF!,'09'!#REF!,'09'!#REF!</definedName>
    <definedName name="Z_51E3BC0E_B24A_447A_BC0A_03881122E44E_.wvu.Rows" localSheetId="8" hidden="1">'09'!#REF!,'09'!#REF!,'09'!#REF!,'09'!#REF!,'09'!#REF!,'09'!#REF!,'09'!#REF!</definedName>
    <definedName name="Z_5C60C8F2_A96A_4286_AB69_6A192D48B52D_.wvu.Rows" localSheetId="8" hidden="1">'09'!#REF!,'09'!#REF!,'09'!#REF!,'09'!#REF!,'09'!#REF!,'09'!#REF!,'09'!#REF!</definedName>
    <definedName name="Z_667B099C_8E79_4490_AC67_CFE2B9F8FC8D_.wvu.Rows" localSheetId="8" hidden="1">'09'!#REF!,'09'!#REF!,'09'!#REF!,'09'!#REF!,'09'!#REF!,'09'!#REF!,'09'!#REF!</definedName>
    <definedName name="Z_696C5A08_6B5C_4B07_9B14_11E12159ACF3_.wvu.Rows" localSheetId="8" hidden="1">'09'!#REF!,'09'!#REF!,'09'!#REF!,'09'!#REF!,'09'!#REF!,'09'!#REF!</definedName>
    <definedName name="Z_743813BC_E137_480B_B63F_29E16C4A5D78_.wvu.Rows" localSheetId="8" hidden="1">'09'!#REF!,'09'!#REF!,'09'!#REF!,'09'!#REF!,'09'!#REF!,'09'!#REF!,'09'!#REF!</definedName>
    <definedName name="Z_7CD6C56D_7191_499D_884D_23F062610490_.wvu.Rows" localSheetId="8" hidden="1">'09'!#REF!,'09'!#REF!,'09'!#REF!,'09'!#REF!,'09'!#REF!,'09'!#REF!,'09'!#REF!</definedName>
    <definedName name="Z_8AB826A3_3F9F_46E8_8B3C_5D723650CD25_.wvu.Rows" localSheetId="8" hidden="1">'09'!#REF!,'09'!#REF!,'09'!#REF!,'09'!#REF!,'09'!#REF!,'09'!#REF!,'09'!#REF!</definedName>
    <definedName name="Z_9231B71C_ABB0_4122_BB61_A0E14ED7FAC4_.wvu.Rows" localSheetId="8" hidden="1">'09'!#REF!,'09'!#REF!,'09'!#REF!,'09'!#REF!,'09'!#REF!,'09'!#REF!,'09'!#REF!</definedName>
    <definedName name="Z_9CE42830_1BFE_4EEE_AD75_1C30A69A86B1_.wvu.Rows" localSheetId="8" hidden="1">'09'!#REF!,'09'!#REF!,'09'!#REF!,'09'!#REF!,'09'!#REF!,'09'!#REF!,'09'!#REF!</definedName>
    <definedName name="Z_9EA36D12_6C5C_4BE0_9897_E6710354124D_.wvu.Rows" localSheetId="8" hidden="1">'09'!#REF!,'09'!#REF!,'09'!#REF!,'09'!#REF!,'09'!#REF!,'09'!#REF!,'09'!#REF!</definedName>
    <definedName name="Z_A0F29F5B_FB6E_4C5E_B7A7_CDA651D38207_.wvu.Rows" localSheetId="8" hidden="1">'09'!#REF!,'09'!#REF!,'09'!#REF!,'09'!#REF!,'09'!#REF!,'09'!#REF!,'09'!#REF!</definedName>
    <definedName name="Z_A567DF6A_4F50_45D4_A9C8_0879E17AFD34_.wvu.Rows" localSheetId="8" hidden="1">'09'!#REF!,'09'!#REF!,'09'!#REF!,'09'!#REF!,'09'!#REF!,'09'!#REF!,'09'!#REF!</definedName>
    <definedName name="Z_B2CFD8C8_F8F8_47F1_9207_6BE81612C01C_.wvu.Rows" localSheetId="8" hidden="1">'09'!#REF!,'09'!#REF!,'09'!#REF!,'09'!#REF!,'09'!#REF!,'09'!#REF!,'09'!#REF!</definedName>
    <definedName name="Z_BBF15C7D_3EAF_4D98_9096_5B67F6C46C47_.wvu.Rows" localSheetId="8" hidden="1">'09'!#REF!,'09'!#REF!,'09'!#REF!,'09'!#REF!,'09'!#REF!,'09'!#REF!</definedName>
    <definedName name="Z_C122BF8D_C115_42E1_B73A_F9B38D5EC060_.wvu.Rows" localSheetId="8" hidden="1">'09'!#REF!,'09'!#REF!,'09'!#REF!,'09'!#REF!,'09'!#REF!,'09'!#REF!,'09'!#REF!</definedName>
    <definedName name="Z_C4D254D6_9D1C_4B3C_972D_15957FD05DD2_.wvu.Rows" localSheetId="8" hidden="1">'09'!#REF!,'09'!#REF!,'09'!#REF!,'09'!#REF!,'09'!#REF!,'09'!#REF!,'09'!#REF!</definedName>
    <definedName name="Z_D4664C56_FB8A_499D_8E24_CCA12F97FAE9_.wvu.Rows" localSheetId="8" hidden="1">'09'!#REF!,'09'!#REF!,'09'!#REF!,'09'!#REF!,'09'!#REF!,'09'!#REF!,'09'!#REF!</definedName>
    <definedName name="Z_DD995061_F552_4E13_8D40_A47EBB03245B_.wvu.Rows" localSheetId="8" hidden="1">'09'!#REF!,'09'!#REF!,'09'!#REF!,'09'!#REF!,'09'!#REF!,'09'!#REF!,'09'!#REF!</definedName>
    <definedName name="Z_DE2F0B4F_79DE_40A0_A13B_9C7F63D3F970_.wvu.Rows" localSheetId="8" hidden="1">'09'!#REF!,'09'!#REF!,'09'!#REF!,'09'!#REF!,'09'!#REF!,'09'!#REF!,'09'!#REF!</definedName>
    <definedName name="Z_E765F84B_EAF3_44AE_A058_C602C1E67401_.wvu.Rows" localSheetId="8" hidden="1">'09'!#REF!,'09'!#REF!,'09'!#REF!,'09'!#REF!,'09'!#REF!,'09'!#REF!,'09'!#REF!</definedName>
    <definedName name="Z_F34DD4D3_7189_47AF_B853_F133E36CF124_.wvu.Rows" localSheetId="8" hidden="1">'09'!#REF!,'09'!#REF!,'09'!#REF!,'09'!#REF!,'09'!#REF!,'09'!#REF!,'09'!#REF!</definedName>
    <definedName name="Z_F82F81AB_9C82_4E79_8CA3_CEB2B994FC06_.wvu.Rows" localSheetId="8" hidden="1">'09'!#REF!,'09'!#REF!,'09'!#REF!,'09'!#REF!,'09'!#REF!,'09'!#REF!,'09'!#REF!</definedName>
    <definedName name="Z_F89CD5B0_594D_4248_B45D_59008422D599_.wvu.Rows" localSheetId="8" hidden="1">'09'!#REF!,'09'!#REF!,'09'!#REF!,'09'!#REF!,'09'!#REF!,'09'!#REF!,'09'!#REF!</definedName>
    <definedName name="Z_03FBB0AD_5353_49C6_B595_178BC13C96AE_.wvu.Rows" localSheetId="9" hidden="1">'10'!#REF!,'10'!#REF!,'10'!#REF!,'10'!#REF!,'10'!#REF!,'10'!#REF!,'10'!#REF!</definedName>
    <definedName name="Z_070961C3_1DC2_4518_83D7_B3F54BC58AE2_.wvu.Rows" localSheetId="9" hidden="1">'10'!#REF!,'10'!#REF!,'10'!#REF!,'10'!#REF!,'10'!#REF!,'10'!#REF!,'10'!#REF!</definedName>
    <definedName name="Z_0B87D63B_15AD_4587_A73B_CA4B62BDFA01_.wvu.Rows" localSheetId="9" hidden="1">'10'!#REF!,'10'!#REF!,'10'!#REF!,'10'!#REF!,'10'!#REF!,'10'!#REF!,'10'!#REF!</definedName>
    <definedName name="Z_1B9AB2B5_0A50_46C3_981D_8BE75BF62E46_.wvu.Rows" localSheetId="9" hidden="1">'10'!#REF!,'10'!#REF!,'10'!#REF!,'10'!#REF!,'10'!#REF!,'10'!#REF!,'10'!#REF!</definedName>
    <definedName name="Z_20A0B2F7_9F51_4E3D_A024_0877F1F98F8D_.wvu.Rows" localSheetId="9" hidden="1">'10'!#REF!,'10'!#REF!,'10'!#REF!,'10'!#REF!,'10'!#REF!,'10'!#REF!,'10'!#REF!</definedName>
    <definedName name="Z_2C3A3C66_1522_4337_93AC_DFC422DC8462_.wvu.Rows" localSheetId="9" hidden="1">'10'!#REF!,'10'!#REF!,'10'!#REF!,'10'!#REF!,'10'!#REF!,'10'!#REF!,'10'!#REF!</definedName>
    <definedName name="Z_2E074C0E_3584_4321_A729_0961B34312BF_.wvu.Rows" localSheetId="9" hidden="1">'10'!#REF!,'10'!#REF!,'10'!#REF!,'10'!#REF!,'10'!#REF!,'10'!#REF!,'10'!#REF!</definedName>
    <definedName name="Z_2FFCC83E_A488_4450_9F9E_FF506EAEF5FC_.wvu.Rows" localSheetId="9" hidden="1">'10'!#REF!,'10'!#REF!,'10'!#REF!,'10'!#REF!,'10'!#REF!,'10'!#REF!,'10'!#REF!</definedName>
    <definedName name="Z_3351A924_D23D_45D7_8354_55677D787CA4_.wvu.Rows" localSheetId="9" hidden="1">'10'!#REF!,'10'!#REF!,'10'!#REF!,'10'!#REF!,'10'!#REF!,'10'!#REF!,'10'!#REF!</definedName>
    <definedName name="Z_51E3BC0E_B24A_447A_BC0A_03881122E44E_.wvu.Rows" localSheetId="9" hidden="1">'10'!#REF!,'10'!#REF!,'10'!#REF!,'10'!#REF!,'10'!#REF!,'10'!#REF!,'10'!#REF!</definedName>
    <definedName name="Z_5C60C8F2_A96A_4286_AB69_6A192D48B52D_.wvu.Rows" localSheetId="9" hidden="1">'10'!#REF!,'10'!#REF!,'10'!#REF!,'10'!#REF!,'10'!#REF!,'10'!#REF!,'10'!#REF!</definedName>
    <definedName name="Z_667B099C_8E79_4490_AC67_CFE2B9F8FC8D_.wvu.Rows" localSheetId="9" hidden="1">'10'!#REF!,'10'!#REF!,'10'!#REF!,'10'!#REF!,'10'!#REF!,'10'!#REF!,'10'!#REF!</definedName>
    <definedName name="Z_696C5A08_6B5C_4B07_9B14_11E12159ACF3_.wvu.Rows" localSheetId="9" hidden="1">'10'!#REF!,'10'!#REF!,'10'!#REF!,'10'!#REF!,'10'!#REF!,'10'!#REF!</definedName>
    <definedName name="Z_743813BC_E137_480B_B63F_29E16C4A5D78_.wvu.Rows" localSheetId="9" hidden="1">'10'!#REF!,'10'!#REF!,'10'!#REF!,'10'!#REF!,'10'!#REF!,'10'!#REF!,'10'!#REF!</definedName>
    <definedName name="Z_7CD6C56D_7191_499D_884D_23F062610490_.wvu.Rows" localSheetId="9" hidden="1">'10'!#REF!,'10'!#REF!,'10'!#REF!,'10'!#REF!,'10'!#REF!,'10'!#REF!,'10'!#REF!</definedName>
    <definedName name="Z_8AB826A3_3F9F_46E8_8B3C_5D723650CD25_.wvu.Rows" localSheetId="9" hidden="1">'10'!#REF!,'10'!#REF!,'10'!#REF!,'10'!#REF!,'10'!#REF!,'10'!#REF!,'10'!#REF!</definedName>
    <definedName name="Z_9231B71C_ABB0_4122_BB61_A0E14ED7FAC4_.wvu.Rows" localSheetId="9" hidden="1">'10'!#REF!,'10'!#REF!,'10'!#REF!,'10'!#REF!,'10'!#REF!,'10'!#REF!,'10'!#REF!</definedName>
    <definedName name="Z_9CE42830_1BFE_4EEE_AD75_1C30A69A86B1_.wvu.Rows" localSheetId="9" hidden="1">'10'!#REF!,'10'!#REF!,'10'!#REF!,'10'!#REF!,'10'!#REF!,'10'!#REF!,'10'!#REF!</definedName>
    <definedName name="Z_9EA36D12_6C5C_4BE0_9897_E6710354124D_.wvu.Rows" localSheetId="9" hidden="1">'10'!#REF!,'10'!#REF!,'10'!#REF!,'10'!#REF!,'10'!#REF!,'10'!#REF!,'10'!#REF!</definedName>
    <definedName name="Z_A0F29F5B_FB6E_4C5E_B7A7_CDA651D38207_.wvu.Rows" localSheetId="9" hidden="1">'10'!#REF!,'10'!#REF!,'10'!#REF!,'10'!#REF!,'10'!#REF!,'10'!#REF!,'10'!#REF!</definedName>
    <definedName name="Z_A567DF6A_4F50_45D4_A9C8_0879E17AFD34_.wvu.Rows" localSheetId="9" hidden="1">'10'!#REF!,'10'!#REF!,'10'!#REF!,'10'!#REF!,'10'!#REF!,'10'!#REF!,'10'!#REF!</definedName>
    <definedName name="Z_B2CFD8C8_F8F8_47F1_9207_6BE81612C01C_.wvu.Rows" localSheetId="9" hidden="1">'10'!#REF!,'10'!#REF!,'10'!#REF!,'10'!#REF!,'10'!#REF!,'10'!#REF!,'10'!#REF!</definedName>
    <definedName name="Z_BBF15C7D_3EAF_4D98_9096_5B67F6C46C47_.wvu.Rows" localSheetId="9" hidden="1">'10'!#REF!,'10'!#REF!,'10'!#REF!,'10'!#REF!,'10'!#REF!,'10'!#REF!</definedName>
    <definedName name="Z_C122BF8D_C115_42E1_B73A_F9B38D5EC060_.wvu.Rows" localSheetId="9" hidden="1">'10'!#REF!,'10'!#REF!,'10'!#REF!,'10'!#REF!,'10'!#REF!,'10'!#REF!,'10'!#REF!</definedName>
    <definedName name="Z_C4D254D6_9D1C_4B3C_972D_15957FD05DD2_.wvu.Rows" localSheetId="9" hidden="1">'10'!#REF!,'10'!#REF!,'10'!#REF!,'10'!#REF!,'10'!#REF!,'10'!#REF!,'10'!#REF!</definedName>
    <definedName name="Z_D4664C56_FB8A_499D_8E24_CCA12F97FAE9_.wvu.Rows" localSheetId="9" hidden="1">'10'!#REF!,'10'!#REF!,'10'!#REF!,'10'!#REF!,'10'!#REF!,'10'!#REF!,'10'!#REF!</definedName>
    <definedName name="Z_DD995061_F552_4E13_8D40_A47EBB03245B_.wvu.Rows" localSheetId="9" hidden="1">'10'!#REF!,'10'!#REF!,'10'!#REF!,'10'!#REF!,'10'!#REF!,'10'!#REF!,'10'!#REF!</definedName>
    <definedName name="Z_DE2F0B4F_79DE_40A0_A13B_9C7F63D3F970_.wvu.Rows" localSheetId="9" hidden="1">'10'!#REF!,'10'!#REF!,'10'!#REF!,'10'!#REF!,'10'!#REF!,'10'!#REF!,'10'!#REF!</definedName>
    <definedName name="Z_E765F84B_EAF3_44AE_A058_C602C1E67401_.wvu.Rows" localSheetId="9" hidden="1">'10'!#REF!,'10'!#REF!,'10'!#REF!,'10'!#REF!,'10'!#REF!,'10'!#REF!,'10'!#REF!</definedName>
    <definedName name="Z_F34DD4D3_7189_47AF_B853_F133E36CF124_.wvu.Rows" localSheetId="9" hidden="1">'10'!#REF!,'10'!#REF!,'10'!#REF!,'10'!#REF!,'10'!#REF!,'10'!#REF!,'10'!#REF!</definedName>
    <definedName name="Z_F82F81AB_9C82_4E79_8CA3_CEB2B994FC06_.wvu.Rows" localSheetId="9" hidden="1">'10'!#REF!,'10'!#REF!,'10'!#REF!,'10'!#REF!,'10'!#REF!,'10'!#REF!,'10'!#REF!</definedName>
    <definedName name="Z_F89CD5B0_594D_4248_B45D_59008422D599_.wvu.Rows" localSheetId="9" hidden="1">'10'!#REF!,'10'!#REF!,'10'!#REF!,'10'!#REF!,'10'!#REF!,'10'!#REF!,'10'!#REF!</definedName>
    <definedName name="Z_03FBB0AD_5353_49C6_B595_178BC13C96AE_.wvu.Rows" localSheetId="10" hidden="1">'11'!#REF!,'11'!#REF!,'11'!#REF!,'11'!#REF!,'11'!#REF!,'11'!#REF!,'11'!#REF!</definedName>
    <definedName name="Z_070961C3_1DC2_4518_83D7_B3F54BC58AE2_.wvu.Rows" localSheetId="10" hidden="1">'11'!#REF!,'11'!#REF!,'11'!#REF!,'11'!#REF!,'11'!#REF!,'11'!#REF!,'11'!#REF!</definedName>
    <definedName name="Z_0B87D63B_15AD_4587_A73B_CA4B62BDFA01_.wvu.Rows" localSheetId="10" hidden="1">'11'!#REF!,'11'!#REF!,'11'!#REF!,'11'!#REF!,'11'!#REF!,'11'!#REF!,'11'!#REF!</definedName>
    <definedName name="Z_1B9AB2B5_0A50_46C3_981D_8BE75BF62E46_.wvu.Rows" localSheetId="10" hidden="1">'11'!#REF!,'11'!#REF!,'11'!#REF!,'11'!#REF!,'11'!#REF!,'11'!#REF!,'11'!#REF!</definedName>
    <definedName name="Z_20A0B2F7_9F51_4E3D_A024_0877F1F98F8D_.wvu.Rows" localSheetId="10" hidden="1">'11'!#REF!,'11'!#REF!,'11'!#REF!,'11'!#REF!,'11'!#REF!,'11'!#REF!,'11'!#REF!</definedName>
    <definedName name="Z_2C3A3C66_1522_4337_93AC_DFC422DC8462_.wvu.Rows" localSheetId="10" hidden="1">'11'!#REF!,'11'!#REF!,'11'!#REF!,'11'!#REF!,'11'!#REF!,'11'!#REF!,'11'!#REF!</definedName>
    <definedName name="Z_2E074C0E_3584_4321_A729_0961B34312BF_.wvu.Rows" localSheetId="10" hidden="1">'11'!#REF!,'11'!#REF!,'11'!#REF!,'11'!#REF!,'11'!#REF!,'11'!#REF!,'11'!#REF!</definedName>
    <definedName name="Z_2FFCC83E_A488_4450_9F9E_FF506EAEF5FC_.wvu.Rows" localSheetId="10" hidden="1">'11'!#REF!,'11'!#REF!,'11'!#REF!,'11'!#REF!,'11'!#REF!,'11'!#REF!,'11'!#REF!</definedName>
    <definedName name="Z_3351A924_D23D_45D7_8354_55677D787CA4_.wvu.Rows" localSheetId="10" hidden="1">'11'!#REF!,'11'!#REF!,'11'!#REF!,'11'!#REF!,'11'!#REF!,'11'!#REF!,'11'!#REF!</definedName>
    <definedName name="Z_51E3BC0E_B24A_447A_BC0A_03881122E44E_.wvu.Rows" localSheetId="10" hidden="1">'11'!#REF!,'11'!#REF!,'11'!#REF!,'11'!#REF!,'11'!#REF!,'11'!#REF!,'11'!#REF!</definedName>
    <definedName name="Z_5C60C8F2_A96A_4286_AB69_6A192D48B52D_.wvu.Rows" localSheetId="10" hidden="1">'11'!#REF!,'11'!#REF!,'11'!#REF!,'11'!#REF!,'11'!#REF!,'11'!#REF!,'11'!#REF!</definedName>
    <definedName name="Z_667B099C_8E79_4490_AC67_CFE2B9F8FC8D_.wvu.Rows" localSheetId="10" hidden="1">'11'!#REF!,'11'!#REF!,'11'!#REF!,'11'!#REF!,'11'!#REF!,'11'!#REF!,'11'!#REF!</definedName>
    <definedName name="Z_696C5A08_6B5C_4B07_9B14_11E12159ACF3_.wvu.Rows" localSheetId="10" hidden="1">'11'!#REF!,'11'!#REF!,'11'!#REF!,'11'!#REF!,'11'!#REF!,'11'!#REF!</definedName>
    <definedName name="Z_743813BC_E137_480B_B63F_29E16C4A5D78_.wvu.Rows" localSheetId="10" hidden="1">'11'!#REF!,'11'!#REF!,'11'!#REF!,'11'!#REF!,'11'!#REF!,'11'!#REF!,'11'!#REF!</definedName>
    <definedName name="Z_7CD6C56D_7191_499D_884D_23F062610490_.wvu.Rows" localSheetId="10" hidden="1">'11'!#REF!,'11'!#REF!,'11'!#REF!,'11'!#REF!,'11'!#REF!,'11'!#REF!,'11'!#REF!</definedName>
    <definedName name="Z_8AB826A3_3F9F_46E8_8B3C_5D723650CD25_.wvu.Rows" localSheetId="10" hidden="1">'11'!#REF!,'11'!#REF!,'11'!#REF!,'11'!#REF!,'11'!#REF!,'11'!#REF!,'11'!#REF!</definedName>
    <definedName name="Z_9231B71C_ABB0_4122_BB61_A0E14ED7FAC4_.wvu.Rows" localSheetId="10" hidden="1">'11'!#REF!,'11'!#REF!,'11'!#REF!,'11'!#REF!,'11'!#REF!,'11'!#REF!,'11'!#REF!</definedName>
    <definedName name="Z_9CE42830_1BFE_4EEE_AD75_1C30A69A86B1_.wvu.Rows" localSheetId="10" hidden="1">'11'!#REF!,'11'!#REF!,'11'!#REF!,'11'!#REF!,'11'!#REF!,'11'!#REF!,'11'!#REF!</definedName>
    <definedName name="Z_9EA36D12_6C5C_4BE0_9897_E6710354124D_.wvu.Rows" localSheetId="10" hidden="1">'11'!#REF!,'11'!#REF!,'11'!#REF!,'11'!#REF!,'11'!#REF!,'11'!#REF!,'11'!#REF!</definedName>
    <definedName name="Z_A0F29F5B_FB6E_4C5E_B7A7_CDA651D38207_.wvu.Rows" localSheetId="10" hidden="1">'11'!#REF!,'11'!#REF!,'11'!#REF!,'11'!#REF!,'11'!#REF!,'11'!#REF!,'11'!#REF!</definedName>
    <definedName name="Z_A567DF6A_4F50_45D4_A9C8_0879E17AFD34_.wvu.Rows" localSheetId="10" hidden="1">'11'!#REF!,'11'!#REF!,'11'!#REF!,'11'!#REF!,'11'!#REF!,'11'!#REF!,'11'!#REF!</definedName>
    <definedName name="Z_B2CFD8C8_F8F8_47F1_9207_6BE81612C01C_.wvu.Rows" localSheetId="10" hidden="1">'11'!#REF!,'11'!#REF!,'11'!#REF!,'11'!#REF!,'11'!#REF!,'11'!#REF!,'11'!#REF!</definedName>
    <definedName name="Z_BBF15C7D_3EAF_4D98_9096_5B67F6C46C47_.wvu.Rows" localSheetId="10" hidden="1">'11'!#REF!,'11'!#REF!,'11'!#REF!,'11'!#REF!,'11'!#REF!,'11'!#REF!</definedName>
    <definedName name="Z_C122BF8D_C115_42E1_B73A_F9B38D5EC060_.wvu.Rows" localSheetId="10" hidden="1">'11'!#REF!,'11'!#REF!,'11'!#REF!,'11'!#REF!,'11'!#REF!,'11'!#REF!,'11'!#REF!</definedName>
    <definedName name="Z_C4D254D6_9D1C_4B3C_972D_15957FD05DD2_.wvu.Rows" localSheetId="10" hidden="1">'11'!#REF!,'11'!#REF!,'11'!#REF!,'11'!#REF!,'11'!#REF!,'11'!#REF!,'11'!#REF!</definedName>
    <definedName name="Z_D4664C56_FB8A_499D_8E24_CCA12F97FAE9_.wvu.Rows" localSheetId="10" hidden="1">'11'!#REF!,'11'!#REF!,'11'!#REF!,'11'!#REF!,'11'!#REF!,'11'!#REF!,'11'!#REF!</definedName>
    <definedName name="Z_DD995061_F552_4E13_8D40_A47EBB03245B_.wvu.Rows" localSheetId="10" hidden="1">'11'!#REF!,'11'!#REF!,'11'!#REF!,'11'!#REF!,'11'!#REF!,'11'!#REF!,'11'!#REF!</definedName>
    <definedName name="Z_DE2F0B4F_79DE_40A0_A13B_9C7F63D3F970_.wvu.Rows" localSheetId="10" hidden="1">'11'!#REF!,'11'!#REF!,'11'!#REF!,'11'!#REF!,'11'!#REF!,'11'!#REF!,'11'!#REF!</definedName>
    <definedName name="Z_E765F84B_EAF3_44AE_A058_C602C1E67401_.wvu.Rows" localSheetId="10" hidden="1">'11'!#REF!,'11'!#REF!,'11'!#REF!,'11'!#REF!,'11'!#REF!,'11'!#REF!,'11'!#REF!</definedName>
    <definedName name="Z_F34DD4D3_7189_47AF_B853_F133E36CF124_.wvu.Rows" localSheetId="10" hidden="1">'11'!#REF!,'11'!#REF!,'11'!#REF!,'11'!#REF!,'11'!#REF!,'11'!#REF!,'11'!#REF!</definedName>
    <definedName name="Z_F82F81AB_9C82_4E79_8CA3_CEB2B994FC06_.wvu.Rows" localSheetId="10" hidden="1">'11'!#REF!,'11'!#REF!,'11'!#REF!,'11'!#REF!,'11'!#REF!,'11'!#REF!,'11'!#REF!</definedName>
    <definedName name="Z_F89CD5B0_594D_4248_B45D_59008422D599_.wvu.Rows" localSheetId="10" hidden="1">'11'!#REF!,'11'!#REF!,'11'!#REF!,'11'!#REF!,'11'!#REF!,'11'!#REF!,'11'!#REF!</definedName>
    <definedName name="Z_03FBB0AD_5353_49C6_B595_178BC13C96AE_.wvu.Rows" localSheetId="11" hidden="1">'12'!#REF!,'12'!#REF!,'12'!#REF!,'12'!#REF!,'12'!#REF!,'12'!#REF!,'12'!#REF!</definedName>
    <definedName name="Z_070961C3_1DC2_4518_83D7_B3F54BC58AE2_.wvu.Rows" localSheetId="11" hidden="1">'12'!#REF!,'12'!#REF!,'12'!#REF!,'12'!#REF!,'12'!#REF!,'12'!#REF!,'12'!#REF!</definedName>
    <definedName name="Z_0B87D63B_15AD_4587_A73B_CA4B62BDFA01_.wvu.Rows" localSheetId="11" hidden="1">'12'!#REF!,'12'!#REF!,'12'!#REF!,'12'!#REF!,'12'!#REF!,'12'!#REF!,'12'!#REF!</definedName>
    <definedName name="Z_1B9AB2B5_0A50_46C3_981D_8BE75BF62E46_.wvu.Rows" localSheetId="11" hidden="1">'12'!#REF!,'12'!#REF!,'12'!#REF!,'12'!#REF!,'12'!#REF!,'12'!#REF!,'12'!#REF!</definedName>
    <definedName name="Z_20A0B2F7_9F51_4E3D_A024_0877F1F98F8D_.wvu.Rows" localSheetId="11" hidden="1">'12'!#REF!,'12'!#REF!,'12'!#REF!,'12'!#REF!,'12'!#REF!,'12'!#REF!,'12'!#REF!</definedName>
    <definedName name="Z_2C3A3C66_1522_4337_93AC_DFC422DC8462_.wvu.Rows" localSheetId="11" hidden="1">'12'!#REF!,'12'!#REF!,'12'!#REF!,'12'!#REF!,'12'!#REF!,'12'!#REF!,'12'!#REF!</definedName>
    <definedName name="Z_2E074C0E_3584_4321_A729_0961B34312BF_.wvu.Rows" localSheetId="11" hidden="1">'12'!#REF!,'12'!#REF!,'12'!#REF!,'12'!#REF!,'12'!#REF!,'12'!#REF!,'12'!#REF!</definedName>
    <definedName name="Z_2FFCC83E_A488_4450_9F9E_FF506EAEF5FC_.wvu.Rows" localSheetId="11" hidden="1">'12'!#REF!,'12'!#REF!,'12'!#REF!,'12'!#REF!,'12'!#REF!,'12'!#REF!,'12'!#REF!</definedName>
    <definedName name="Z_3351A924_D23D_45D7_8354_55677D787CA4_.wvu.Rows" localSheetId="11" hidden="1">'12'!#REF!,'12'!#REF!,'12'!#REF!,'12'!#REF!,'12'!#REF!,'12'!#REF!,'12'!#REF!</definedName>
    <definedName name="Z_51E3BC0E_B24A_447A_BC0A_03881122E44E_.wvu.Rows" localSheetId="11" hidden="1">'12'!#REF!,'12'!#REF!,'12'!#REF!,'12'!#REF!,'12'!#REF!,'12'!#REF!,'12'!#REF!</definedName>
    <definedName name="Z_5C60C8F2_A96A_4286_AB69_6A192D48B52D_.wvu.Rows" localSheetId="11" hidden="1">'12'!#REF!,'12'!#REF!,'12'!#REF!,'12'!#REF!,'12'!#REF!,'12'!#REF!,'12'!#REF!</definedName>
    <definedName name="Z_667B099C_8E79_4490_AC67_CFE2B9F8FC8D_.wvu.Rows" localSheetId="11" hidden="1">'12'!#REF!,'12'!#REF!,'12'!#REF!,'12'!#REF!,'12'!#REF!,'12'!#REF!,'12'!#REF!</definedName>
    <definedName name="Z_696C5A08_6B5C_4B07_9B14_11E12159ACF3_.wvu.Rows" localSheetId="11" hidden="1">'12'!#REF!,'12'!#REF!,'12'!#REF!,'12'!#REF!,'12'!#REF!,'12'!#REF!</definedName>
    <definedName name="Z_743813BC_E137_480B_B63F_29E16C4A5D78_.wvu.Rows" localSheetId="11" hidden="1">'12'!#REF!,'12'!#REF!,'12'!#REF!,'12'!#REF!,'12'!#REF!,'12'!#REF!,'12'!#REF!</definedName>
    <definedName name="Z_7CD6C56D_7191_499D_884D_23F062610490_.wvu.Rows" localSheetId="11" hidden="1">'12'!#REF!,'12'!#REF!,'12'!#REF!,'12'!#REF!,'12'!#REF!,'12'!#REF!,'12'!#REF!</definedName>
    <definedName name="Z_8AB826A3_3F9F_46E8_8B3C_5D723650CD25_.wvu.Rows" localSheetId="11" hidden="1">'12'!#REF!,'12'!#REF!,'12'!#REF!,'12'!#REF!,'12'!#REF!,'12'!#REF!,'12'!#REF!</definedName>
    <definedName name="Z_9231B71C_ABB0_4122_BB61_A0E14ED7FAC4_.wvu.Rows" localSheetId="11" hidden="1">'12'!#REF!,'12'!#REF!,'12'!#REF!,'12'!#REF!,'12'!#REF!,'12'!#REF!,'12'!#REF!</definedName>
    <definedName name="Z_9CE42830_1BFE_4EEE_AD75_1C30A69A86B1_.wvu.Rows" localSheetId="11" hidden="1">'12'!#REF!,'12'!#REF!,'12'!#REF!,'12'!#REF!,'12'!#REF!,'12'!#REF!,'12'!#REF!</definedName>
    <definedName name="Z_9EA36D12_6C5C_4BE0_9897_E6710354124D_.wvu.Rows" localSheetId="11" hidden="1">'12'!#REF!,'12'!#REF!,'12'!#REF!,'12'!#REF!,'12'!#REF!,'12'!#REF!,'12'!#REF!</definedName>
    <definedName name="Z_A0F29F5B_FB6E_4C5E_B7A7_CDA651D38207_.wvu.Rows" localSheetId="11" hidden="1">'12'!#REF!,'12'!#REF!,'12'!#REF!,'12'!#REF!,'12'!#REF!,'12'!#REF!,'12'!#REF!</definedName>
    <definedName name="Z_A567DF6A_4F50_45D4_A9C8_0879E17AFD34_.wvu.Rows" localSheetId="11" hidden="1">'12'!#REF!,'12'!#REF!,'12'!#REF!,'12'!#REF!,'12'!#REF!,'12'!#REF!,'12'!#REF!</definedName>
    <definedName name="Z_B2CFD8C8_F8F8_47F1_9207_6BE81612C01C_.wvu.Rows" localSheetId="11" hidden="1">'12'!#REF!,'12'!#REF!,'12'!#REF!,'12'!#REF!,'12'!#REF!,'12'!#REF!,'12'!#REF!</definedName>
    <definedName name="Z_BBF15C7D_3EAF_4D98_9096_5B67F6C46C47_.wvu.Rows" localSheetId="11" hidden="1">'12'!#REF!,'12'!#REF!,'12'!#REF!,'12'!#REF!,'12'!#REF!,'12'!#REF!</definedName>
    <definedName name="Z_C122BF8D_C115_42E1_B73A_F9B38D5EC060_.wvu.Rows" localSheetId="11" hidden="1">'12'!#REF!,'12'!#REF!,'12'!#REF!,'12'!#REF!,'12'!#REF!,'12'!#REF!,'12'!#REF!</definedName>
    <definedName name="Z_C4D254D6_9D1C_4B3C_972D_15957FD05DD2_.wvu.Rows" localSheetId="11" hidden="1">'12'!#REF!,'12'!#REF!,'12'!#REF!,'12'!#REF!,'12'!#REF!,'12'!#REF!,'12'!#REF!</definedName>
    <definedName name="Z_D4664C56_FB8A_499D_8E24_CCA12F97FAE9_.wvu.Rows" localSheetId="11" hidden="1">'12'!#REF!,'12'!#REF!,'12'!#REF!,'12'!#REF!,'12'!#REF!,'12'!#REF!,'12'!#REF!</definedName>
    <definedName name="Z_DD995061_F552_4E13_8D40_A47EBB03245B_.wvu.Rows" localSheetId="11" hidden="1">'12'!#REF!,'12'!#REF!,'12'!#REF!,'12'!#REF!,'12'!#REF!,'12'!#REF!,'12'!#REF!</definedName>
    <definedName name="Z_DE2F0B4F_79DE_40A0_A13B_9C7F63D3F970_.wvu.Rows" localSheetId="11" hidden="1">'12'!#REF!,'12'!#REF!,'12'!#REF!,'12'!#REF!,'12'!#REF!,'12'!#REF!,'12'!#REF!</definedName>
    <definedName name="Z_E765F84B_EAF3_44AE_A058_C602C1E67401_.wvu.Rows" localSheetId="11" hidden="1">'12'!#REF!,'12'!#REF!,'12'!#REF!,'12'!#REF!,'12'!#REF!,'12'!#REF!,'12'!#REF!</definedName>
    <definedName name="Z_F34DD4D3_7189_47AF_B853_F133E36CF124_.wvu.Rows" localSheetId="11" hidden="1">'12'!#REF!,'12'!#REF!,'12'!#REF!,'12'!#REF!,'12'!#REF!,'12'!#REF!,'12'!#REF!</definedName>
    <definedName name="Z_F82F81AB_9C82_4E79_8CA3_CEB2B994FC06_.wvu.Rows" localSheetId="11" hidden="1">'12'!#REF!,'12'!#REF!,'12'!#REF!,'12'!#REF!,'12'!#REF!,'12'!#REF!,'12'!#REF!</definedName>
    <definedName name="Z_F89CD5B0_594D_4248_B45D_59008422D599_.wvu.Rows" localSheetId="11" hidden="1">'12'!#REF!,'12'!#REF!,'12'!#REF!,'12'!#REF!,'12'!#REF!,'12'!#REF!,'12'!#REF!</definedName>
    <definedName name="Z_03FBB0AD_5353_49C6_B595_178BC13C96AE_.wvu.Rows" localSheetId="12" hidden="1">'13'!#REF!,'13'!#REF!,'13'!#REF!,'13'!#REF!,'13'!#REF!,'13'!#REF!,'13'!#REF!</definedName>
    <definedName name="Z_070961C3_1DC2_4518_83D7_B3F54BC58AE2_.wvu.Rows" localSheetId="12" hidden="1">'13'!#REF!,'13'!#REF!,'13'!#REF!,'13'!#REF!,'13'!#REF!,'13'!#REF!,'13'!#REF!</definedName>
    <definedName name="Z_0B87D63B_15AD_4587_A73B_CA4B62BDFA01_.wvu.Rows" localSheetId="12" hidden="1">'13'!#REF!,'13'!#REF!,'13'!#REF!,'13'!#REF!,'13'!#REF!,'13'!#REF!,'13'!#REF!</definedName>
    <definedName name="Z_1B9AB2B5_0A50_46C3_981D_8BE75BF62E46_.wvu.Rows" localSheetId="12" hidden="1">'13'!#REF!,'13'!#REF!,'13'!#REF!,'13'!#REF!,'13'!#REF!,'13'!#REF!,'13'!#REF!</definedName>
    <definedName name="Z_20A0B2F7_9F51_4E3D_A024_0877F1F98F8D_.wvu.Rows" localSheetId="12" hidden="1">'13'!#REF!,'13'!#REF!,'13'!#REF!,'13'!#REF!,'13'!#REF!,'13'!#REF!,'13'!#REF!</definedName>
    <definedName name="Z_2C3A3C66_1522_4337_93AC_DFC422DC8462_.wvu.Rows" localSheetId="12" hidden="1">'13'!#REF!,'13'!#REF!,'13'!#REF!,'13'!#REF!,'13'!#REF!,'13'!#REF!,'13'!#REF!</definedName>
    <definedName name="Z_2E074C0E_3584_4321_A729_0961B34312BF_.wvu.Rows" localSheetId="12" hidden="1">'13'!#REF!,'13'!#REF!,'13'!#REF!,'13'!#REF!,'13'!#REF!,'13'!#REF!,'13'!#REF!</definedName>
    <definedName name="Z_2FFCC83E_A488_4450_9F9E_FF506EAEF5FC_.wvu.Rows" localSheetId="12" hidden="1">'13'!#REF!,'13'!#REF!,'13'!#REF!,'13'!#REF!,'13'!#REF!,'13'!#REF!,'13'!#REF!</definedName>
    <definedName name="Z_3351A924_D23D_45D7_8354_55677D787CA4_.wvu.Rows" localSheetId="12" hidden="1">'13'!#REF!,'13'!#REF!,'13'!#REF!,'13'!#REF!,'13'!#REF!,'13'!#REF!,'13'!#REF!</definedName>
    <definedName name="Z_51E3BC0E_B24A_447A_BC0A_03881122E44E_.wvu.Rows" localSheetId="12" hidden="1">'13'!#REF!,'13'!#REF!,'13'!#REF!,'13'!#REF!,'13'!#REF!,'13'!#REF!,'13'!#REF!</definedName>
    <definedName name="Z_5C60C8F2_A96A_4286_AB69_6A192D48B52D_.wvu.Rows" localSheetId="12" hidden="1">'13'!#REF!,'13'!#REF!,'13'!#REF!,'13'!#REF!,'13'!#REF!,'13'!#REF!,'13'!#REF!</definedName>
    <definedName name="Z_667B099C_8E79_4490_AC67_CFE2B9F8FC8D_.wvu.Rows" localSheetId="12" hidden="1">'13'!#REF!,'13'!#REF!,'13'!#REF!,'13'!#REF!,'13'!#REF!,'13'!#REF!,'13'!#REF!</definedName>
    <definedName name="Z_696C5A08_6B5C_4B07_9B14_11E12159ACF3_.wvu.Rows" localSheetId="12" hidden="1">'13'!#REF!,'13'!#REF!,'13'!#REF!,'13'!#REF!,'13'!#REF!,'13'!#REF!</definedName>
    <definedName name="Z_743813BC_E137_480B_B63F_29E16C4A5D78_.wvu.Rows" localSheetId="12" hidden="1">'13'!#REF!,'13'!#REF!,'13'!#REF!,'13'!#REF!,'13'!#REF!,'13'!#REF!,'13'!#REF!</definedName>
    <definedName name="Z_7CD6C56D_7191_499D_884D_23F062610490_.wvu.Rows" localSheetId="12" hidden="1">'13'!#REF!,'13'!#REF!,'13'!#REF!,'13'!#REF!,'13'!#REF!,'13'!#REF!,'13'!#REF!</definedName>
    <definedName name="Z_8AB826A3_3F9F_46E8_8B3C_5D723650CD25_.wvu.Rows" localSheetId="12" hidden="1">'13'!#REF!,'13'!#REF!,'13'!#REF!,'13'!#REF!,'13'!#REF!,'13'!#REF!,'13'!#REF!</definedName>
    <definedName name="Z_9231B71C_ABB0_4122_BB61_A0E14ED7FAC4_.wvu.Rows" localSheetId="12" hidden="1">'13'!#REF!,'13'!#REF!,'13'!#REF!,'13'!#REF!,'13'!#REF!,'13'!#REF!,'13'!#REF!</definedName>
    <definedName name="Z_9CE42830_1BFE_4EEE_AD75_1C30A69A86B1_.wvu.Rows" localSheetId="12" hidden="1">'13'!#REF!,'13'!#REF!,'13'!#REF!,'13'!#REF!,'13'!#REF!,'13'!#REF!,'13'!#REF!</definedName>
    <definedName name="Z_9EA36D12_6C5C_4BE0_9897_E6710354124D_.wvu.Rows" localSheetId="12" hidden="1">'13'!#REF!,'13'!#REF!,'13'!#REF!,'13'!#REF!,'13'!#REF!,'13'!#REF!,'13'!#REF!</definedName>
    <definedName name="Z_A0F29F5B_FB6E_4C5E_B7A7_CDA651D38207_.wvu.Rows" localSheetId="12" hidden="1">'13'!#REF!,'13'!#REF!,'13'!#REF!,'13'!#REF!,'13'!#REF!,'13'!#REF!,'13'!#REF!</definedName>
    <definedName name="Z_A567DF6A_4F50_45D4_A9C8_0879E17AFD34_.wvu.Rows" localSheetId="12" hidden="1">'13'!#REF!,'13'!#REF!,'13'!#REF!,'13'!#REF!,'13'!#REF!,'13'!#REF!,'13'!#REF!</definedName>
    <definedName name="Z_B2CFD8C8_F8F8_47F1_9207_6BE81612C01C_.wvu.Rows" localSheetId="12" hidden="1">'13'!#REF!,'13'!#REF!,'13'!#REF!,'13'!#REF!,'13'!#REF!,'13'!#REF!,'13'!#REF!</definedName>
    <definedName name="Z_BBF15C7D_3EAF_4D98_9096_5B67F6C46C47_.wvu.Rows" localSheetId="12" hidden="1">'13'!#REF!,'13'!#REF!,'13'!#REF!,'13'!#REF!,'13'!#REF!,'13'!#REF!</definedName>
    <definedName name="Z_C122BF8D_C115_42E1_B73A_F9B38D5EC060_.wvu.Rows" localSheetId="12" hidden="1">'13'!#REF!,'13'!#REF!,'13'!#REF!,'13'!#REF!,'13'!#REF!,'13'!#REF!,'13'!#REF!</definedName>
    <definedName name="Z_C4D254D6_9D1C_4B3C_972D_15957FD05DD2_.wvu.Rows" localSheetId="12" hidden="1">'13'!#REF!,'13'!#REF!,'13'!#REF!,'13'!#REF!,'13'!#REF!,'13'!#REF!,'13'!#REF!</definedName>
    <definedName name="Z_D4664C56_FB8A_499D_8E24_CCA12F97FAE9_.wvu.Rows" localSheetId="12" hidden="1">'13'!#REF!,'13'!#REF!,'13'!#REF!,'13'!#REF!,'13'!#REF!,'13'!#REF!,'13'!#REF!</definedName>
    <definedName name="Z_DD995061_F552_4E13_8D40_A47EBB03245B_.wvu.Rows" localSheetId="12" hidden="1">'13'!#REF!,'13'!#REF!,'13'!#REF!,'13'!#REF!,'13'!#REF!,'13'!#REF!,'13'!#REF!</definedName>
    <definedName name="Z_DE2F0B4F_79DE_40A0_A13B_9C7F63D3F970_.wvu.Rows" localSheetId="12" hidden="1">'13'!#REF!,'13'!#REF!,'13'!#REF!,'13'!#REF!,'13'!#REF!,'13'!#REF!,'13'!#REF!</definedName>
    <definedName name="Z_E765F84B_EAF3_44AE_A058_C602C1E67401_.wvu.Rows" localSheetId="12" hidden="1">'13'!#REF!,'13'!#REF!,'13'!#REF!,'13'!#REF!,'13'!#REF!,'13'!#REF!,'13'!#REF!</definedName>
    <definedName name="Z_F34DD4D3_7189_47AF_B853_F133E36CF124_.wvu.Rows" localSheetId="12" hidden="1">'13'!#REF!,'13'!#REF!,'13'!#REF!,'13'!#REF!,'13'!#REF!,'13'!#REF!,'13'!#REF!</definedName>
    <definedName name="Z_F82F81AB_9C82_4E79_8CA3_CEB2B994FC06_.wvu.Rows" localSheetId="12" hidden="1">'13'!#REF!,'13'!#REF!,'13'!#REF!,'13'!#REF!,'13'!#REF!,'13'!#REF!,'13'!#REF!</definedName>
    <definedName name="Z_F89CD5B0_594D_4248_B45D_59008422D599_.wvu.Rows" localSheetId="12" hidden="1">'13'!#REF!,'13'!#REF!,'13'!#REF!,'13'!#REF!,'13'!#REF!,'13'!#REF!,'13'!#REF!</definedName>
    <definedName name="Z_03FBB0AD_5353_49C6_B595_178BC13C96AE_.wvu.Rows" localSheetId="13" hidden="1">'14'!#REF!,'14'!#REF!,'14'!#REF!,'14'!#REF!,'14'!#REF!,'14'!#REF!,'14'!#REF!</definedName>
    <definedName name="Z_070961C3_1DC2_4518_83D7_B3F54BC58AE2_.wvu.Rows" localSheetId="13" hidden="1">'14'!#REF!,'14'!#REF!,'14'!#REF!,'14'!#REF!,'14'!#REF!,'14'!#REF!,'14'!#REF!</definedName>
    <definedName name="Z_0B87D63B_15AD_4587_A73B_CA4B62BDFA01_.wvu.Rows" localSheetId="13" hidden="1">'14'!#REF!,'14'!#REF!,'14'!#REF!,'14'!#REF!,'14'!#REF!,'14'!#REF!,'14'!#REF!</definedName>
    <definedName name="Z_1B9AB2B5_0A50_46C3_981D_8BE75BF62E46_.wvu.Rows" localSheetId="13" hidden="1">'14'!#REF!,'14'!#REF!,'14'!#REF!,'14'!#REF!,'14'!#REF!,'14'!#REF!,'14'!#REF!</definedName>
    <definedName name="Z_20A0B2F7_9F51_4E3D_A024_0877F1F98F8D_.wvu.Rows" localSheetId="13" hidden="1">'14'!#REF!,'14'!#REF!,'14'!#REF!,'14'!#REF!,'14'!#REF!,'14'!#REF!,'14'!#REF!</definedName>
    <definedName name="Z_2C3A3C66_1522_4337_93AC_DFC422DC8462_.wvu.Rows" localSheetId="13" hidden="1">'14'!#REF!,'14'!#REF!,'14'!#REF!,'14'!#REF!,'14'!#REF!,'14'!#REF!,'14'!#REF!</definedName>
    <definedName name="Z_2E074C0E_3584_4321_A729_0961B34312BF_.wvu.Rows" localSheetId="13" hidden="1">'14'!#REF!,'14'!#REF!,'14'!#REF!,'14'!#REF!,'14'!#REF!,'14'!#REF!,'14'!#REF!</definedName>
    <definedName name="Z_2FFCC83E_A488_4450_9F9E_FF506EAEF5FC_.wvu.Rows" localSheetId="13" hidden="1">'14'!#REF!,'14'!#REF!,'14'!#REF!,'14'!#REF!,'14'!#REF!,'14'!#REF!,'14'!#REF!</definedName>
    <definedName name="Z_3351A924_D23D_45D7_8354_55677D787CA4_.wvu.Rows" localSheetId="13" hidden="1">'14'!#REF!,'14'!#REF!,'14'!#REF!,'14'!#REF!,'14'!#REF!,'14'!#REF!,'14'!#REF!</definedName>
    <definedName name="Z_51E3BC0E_B24A_447A_BC0A_03881122E44E_.wvu.Rows" localSheetId="13" hidden="1">'14'!#REF!,'14'!#REF!,'14'!#REF!,'14'!#REF!,'14'!#REF!,'14'!#REF!,'14'!#REF!</definedName>
    <definedName name="Z_5C60C8F2_A96A_4286_AB69_6A192D48B52D_.wvu.Rows" localSheetId="13" hidden="1">'14'!#REF!,'14'!#REF!,'14'!#REF!,'14'!#REF!,'14'!#REF!,'14'!#REF!,'14'!#REF!</definedName>
    <definedName name="Z_667B099C_8E79_4490_AC67_CFE2B9F8FC8D_.wvu.Rows" localSheetId="13" hidden="1">'14'!#REF!,'14'!#REF!,'14'!#REF!,'14'!#REF!,'14'!#REF!,'14'!#REF!,'14'!#REF!</definedName>
    <definedName name="Z_696C5A08_6B5C_4B07_9B14_11E12159ACF3_.wvu.Rows" localSheetId="13" hidden="1">'14'!#REF!,'14'!#REF!,'14'!#REF!,'14'!#REF!,'14'!#REF!,'14'!#REF!</definedName>
    <definedName name="Z_743813BC_E137_480B_B63F_29E16C4A5D78_.wvu.Rows" localSheetId="13" hidden="1">'14'!#REF!,'14'!#REF!,'14'!#REF!,'14'!#REF!,'14'!#REF!,'14'!#REF!,'14'!#REF!</definedName>
    <definedName name="Z_7CD6C56D_7191_499D_884D_23F062610490_.wvu.Rows" localSheetId="13" hidden="1">'14'!#REF!,'14'!#REF!,'14'!#REF!,'14'!#REF!,'14'!#REF!,'14'!#REF!,'14'!#REF!</definedName>
    <definedName name="Z_8AB826A3_3F9F_46E8_8B3C_5D723650CD25_.wvu.Rows" localSheetId="13" hidden="1">'14'!#REF!,'14'!#REF!,'14'!#REF!,'14'!#REF!,'14'!#REF!,'14'!#REF!,'14'!#REF!</definedName>
    <definedName name="Z_9231B71C_ABB0_4122_BB61_A0E14ED7FAC4_.wvu.Rows" localSheetId="13" hidden="1">'14'!#REF!,'14'!#REF!,'14'!#REF!,'14'!#REF!,'14'!#REF!,'14'!#REF!,'14'!#REF!</definedName>
    <definedName name="Z_9CE42830_1BFE_4EEE_AD75_1C30A69A86B1_.wvu.Rows" localSheetId="13" hidden="1">'14'!#REF!,'14'!#REF!,'14'!#REF!,'14'!#REF!,'14'!#REF!,'14'!#REF!,'14'!#REF!</definedName>
    <definedName name="Z_9EA36D12_6C5C_4BE0_9897_E6710354124D_.wvu.Rows" localSheetId="13" hidden="1">'14'!#REF!,'14'!#REF!,'14'!#REF!,'14'!#REF!,'14'!#REF!,'14'!#REF!,'14'!#REF!</definedName>
    <definedName name="Z_A0F29F5B_FB6E_4C5E_B7A7_CDA651D38207_.wvu.Rows" localSheetId="13" hidden="1">'14'!#REF!,'14'!#REF!,'14'!#REF!,'14'!#REF!,'14'!#REF!,'14'!#REF!,'14'!#REF!</definedName>
    <definedName name="Z_A567DF6A_4F50_45D4_A9C8_0879E17AFD34_.wvu.Rows" localSheetId="13" hidden="1">'14'!#REF!,'14'!#REF!,'14'!#REF!,'14'!#REF!,'14'!#REF!,'14'!#REF!,'14'!#REF!</definedName>
    <definedName name="Z_B2CFD8C8_F8F8_47F1_9207_6BE81612C01C_.wvu.Rows" localSheetId="13" hidden="1">'14'!#REF!,'14'!#REF!,'14'!#REF!,'14'!#REF!,'14'!#REF!,'14'!#REF!,'14'!#REF!</definedName>
    <definedName name="Z_BBF15C7D_3EAF_4D98_9096_5B67F6C46C47_.wvu.Rows" localSheetId="13" hidden="1">'14'!#REF!,'14'!#REF!,'14'!#REF!,'14'!#REF!,'14'!#REF!,'14'!#REF!</definedName>
    <definedName name="Z_C122BF8D_C115_42E1_B73A_F9B38D5EC060_.wvu.Rows" localSheetId="13" hidden="1">'14'!#REF!,'14'!#REF!,'14'!#REF!,'14'!#REF!,'14'!#REF!,'14'!#REF!,'14'!#REF!</definedName>
    <definedName name="Z_C4D254D6_9D1C_4B3C_972D_15957FD05DD2_.wvu.Rows" localSheetId="13" hidden="1">'14'!#REF!,'14'!#REF!,'14'!#REF!,'14'!#REF!,'14'!#REF!,'14'!#REF!,'14'!#REF!</definedName>
    <definedName name="Z_D4664C56_FB8A_499D_8E24_CCA12F97FAE9_.wvu.Rows" localSheetId="13" hidden="1">'14'!#REF!,'14'!#REF!,'14'!#REF!,'14'!#REF!,'14'!#REF!,'14'!#REF!,'14'!#REF!</definedName>
    <definedName name="Z_DD995061_F552_4E13_8D40_A47EBB03245B_.wvu.Rows" localSheetId="13" hidden="1">'14'!#REF!,'14'!#REF!,'14'!#REF!,'14'!#REF!,'14'!#REF!,'14'!#REF!,'14'!#REF!</definedName>
    <definedName name="Z_DE2F0B4F_79DE_40A0_A13B_9C7F63D3F970_.wvu.Rows" localSheetId="13" hidden="1">'14'!#REF!,'14'!#REF!,'14'!#REF!,'14'!#REF!,'14'!#REF!,'14'!#REF!,'14'!#REF!</definedName>
    <definedName name="Z_E765F84B_EAF3_44AE_A058_C602C1E67401_.wvu.Rows" localSheetId="13" hidden="1">'14'!#REF!,'14'!#REF!,'14'!#REF!,'14'!#REF!,'14'!#REF!,'14'!#REF!,'14'!#REF!</definedName>
    <definedName name="Z_F34DD4D3_7189_47AF_B853_F133E36CF124_.wvu.Rows" localSheetId="13" hidden="1">'14'!#REF!,'14'!#REF!,'14'!#REF!,'14'!#REF!,'14'!#REF!,'14'!#REF!,'14'!#REF!</definedName>
    <definedName name="Z_F82F81AB_9C82_4E79_8CA3_CEB2B994FC06_.wvu.Rows" localSheetId="13" hidden="1">'14'!#REF!,'14'!#REF!,'14'!#REF!,'14'!#REF!,'14'!#REF!,'14'!#REF!,'14'!#REF!</definedName>
    <definedName name="Z_F89CD5B0_594D_4248_B45D_59008422D599_.wvu.Rows" localSheetId="13" hidden="1">'14'!#REF!,'14'!#REF!,'14'!#REF!,'14'!#REF!,'14'!#REF!,'14'!#REF!,'14'!#REF!</definedName>
    <definedName name="Z_03FBB0AD_5353_49C6_B595_178BC13C96AE_.wvu.Rows" localSheetId="14" hidden="1">'15'!#REF!,'15'!#REF!,'15'!#REF!,'15'!#REF!,'15'!#REF!,'15'!#REF!,'15'!#REF!</definedName>
    <definedName name="Z_070961C3_1DC2_4518_83D7_B3F54BC58AE2_.wvu.Rows" localSheetId="14" hidden="1">'15'!#REF!,'15'!#REF!,'15'!#REF!,'15'!#REF!,'15'!#REF!,'15'!#REF!,'15'!#REF!</definedName>
    <definedName name="Z_0B87D63B_15AD_4587_A73B_CA4B62BDFA01_.wvu.Rows" localSheetId="14" hidden="1">'15'!#REF!,'15'!#REF!,'15'!#REF!,'15'!#REF!,'15'!#REF!,'15'!#REF!,'15'!#REF!</definedName>
    <definedName name="Z_1B9AB2B5_0A50_46C3_981D_8BE75BF62E46_.wvu.Rows" localSheetId="14" hidden="1">'15'!#REF!,'15'!#REF!,'15'!#REF!,'15'!#REF!,'15'!#REF!,'15'!#REF!,'15'!#REF!</definedName>
    <definedName name="Z_20A0B2F7_9F51_4E3D_A024_0877F1F98F8D_.wvu.Rows" localSheetId="14" hidden="1">'15'!#REF!,'15'!#REF!,'15'!#REF!,'15'!#REF!,'15'!#REF!,'15'!#REF!,'15'!#REF!</definedName>
    <definedName name="Z_2C3A3C66_1522_4337_93AC_DFC422DC8462_.wvu.Rows" localSheetId="14" hidden="1">'15'!#REF!,'15'!#REF!,'15'!#REF!,'15'!#REF!,'15'!#REF!,'15'!#REF!,'15'!#REF!</definedName>
    <definedName name="Z_2E074C0E_3584_4321_A729_0961B34312BF_.wvu.Rows" localSheetId="14" hidden="1">'15'!#REF!,'15'!#REF!,'15'!#REF!,'15'!#REF!,'15'!#REF!,'15'!#REF!,'15'!#REF!</definedName>
    <definedName name="Z_2FFCC83E_A488_4450_9F9E_FF506EAEF5FC_.wvu.Rows" localSheetId="14" hidden="1">'15'!#REF!,'15'!#REF!,'15'!#REF!,'15'!#REF!,'15'!#REF!,'15'!#REF!,'15'!#REF!</definedName>
    <definedName name="Z_3351A924_D23D_45D7_8354_55677D787CA4_.wvu.Rows" localSheetId="14" hidden="1">'15'!#REF!,'15'!#REF!,'15'!#REF!,'15'!#REF!,'15'!#REF!,'15'!#REF!,'15'!#REF!</definedName>
    <definedName name="Z_51E3BC0E_B24A_447A_BC0A_03881122E44E_.wvu.Rows" localSheetId="14" hidden="1">'15'!#REF!,'15'!#REF!,'15'!#REF!,'15'!#REF!,'15'!#REF!,'15'!#REF!,'15'!#REF!</definedName>
    <definedName name="Z_5C60C8F2_A96A_4286_AB69_6A192D48B52D_.wvu.Rows" localSheetId="14" hidden="1">'15'!#REF!,'15'!#REF!,'15'!#REF!,'15'!#REF!,'15'!#REF!,'15'!#REF!,'15'!#REF!</definedName>
    <definedName name="Z_667B099C_8E79_4490_AC67_CFE2B9F8FC8D_.wvu.Rows" localSheetId="14" hidden="1">'15'!#REF!,'15'!#REF!,'15'!#REF!,'15'!#REF!,'15'!#REF!,'15'!#REF!,'15'!#REF!</definedName>
    <definedName name="Z_696C5A08_6B5C_4B07_9B14_11E12159ACF3_.wvu.Rows" localSheetId="14" hidden="1">'15'!#REF!,'15'!#REF!,'15'!#REF!,'15'!#REF!,'15'!#REF!,'15'!#REF!</definedName>
    <definedName name="Z_743813BC_E137_480B_B63F_29E16C4A5D78_.wvu.Rows" localSheetId="14" hidden="1">'15'!#REF!,'15'!#REF!,'15'!#REF!,'15'!#REF!,'15'!#REF!,'15'!#REF!,'15'!#REF!</definedName>
    <definedName name="Z_7CD6C56D_7191_499D_884D_23F062610490_.wvu.Rows" localSheetId="14" hidden="1">'15'!#REF!,'15'!#REF!,'15'!#REF!,'15'!#REF!,'15'!#REF!,'15'!#REF!,'15'!#REF!</definedName>
    <definedName name="Z_8AB826A3_3F9F_46E8_8B3C_5D723650CD25_.wvu.Rows" localSheetId="14" hidden="1">'15'!#REF!,'15'!#REF!,'15'!#REF!,'15'!#REF!,'15'!#REF!,'15'!#REF!,'15'!#REF!</definedName>
    <definedName name="Z_9231B71C_ABB0_4122_BB61_A0E14ED7FAC4_.wvu.Rows" localSheetId="14" hidden="1">'15'!#REF!,'15'!#REF!,'15'!#REF!,'15'!#REF!,'15'!#REF!,'15'!#REF!,'15'!#REF!</definedName>
    <definedName name="Z_9CE42830_1BFE_4EEE_AD75_1C30A69A86B1_.wvu.Rows" localSheetId="14" hidden="1">'15'!#REF!,'15'!#REF!,'15'!#REF!,'15'!#REF!,'15'!#REF!,'15'!#REF!,'15'!#REF!</definedName>
    <definedName name="Z_9EA36D12_6C5C_4BE0_9897_E6710354124D_.wvu.Rows" localSheetId="14" hidden="1">'15'!#REF!,'15'!#REF!,'15'!#REF!,'15'!#REF!,'15'!#REF!,'15'!#REF!,'15'!#REF!</definedName>
    <definedName name="Z_A0F29F5B_FB6E_4C5E_B7A7_CDA651D38207_.wvu.Rows" localSheetId="14" hidden="1">'15'!#REF!,'15'!#REF!,'15'!#REF!,'15'!#REF!,'15'!#REF!,'15'!#REF!,'15'!#REF!</definedName>
    <definedName name="Z_A567DF6A_4F50_45D4_A9C8_0879E17AFD34_.wvu.Rows" localSheetId="14" hidden="1">'15'!#REF!,'15'!#REF!,'15'!#REF!,'15'!#REF!,'15'!#REF!,'15'!#REF!,'15'!#REF!</definedName>
    <definedName name="Z_B2CFD8C8_F8F8_47F1_9207_6BE81612C01C_.wvu.Rows" localSheetId="14" hidden="1">'15'!#REF!,'15'!#REF!,'15'!#REF!,'15'!#REF!,'15'!#REF!,'15'!#REF!,'15'!#REF!</definedName>
    <definedName name="Z_BBF15C7D_3EAF_4D98_9096_5B67F6C46C47_.wvu.Rows" localSheetId="14" hidden="1">'15'!#REF!,'15'!#REF!,'15'!#REF!,'15'!#REF!,'15'!#REF!,'15'!#REF!</definedName>
    <definedName name="Z_C122BF8D_C115_42E1_B73A_F9B38D5EC060_.wvu.Rows" localSheetId="14" hidden="1">'15'!#REF!,'15'!#REF!,'15'!#REF!,'15'!#REF!,'15'!#REF!,'15'!#REF!,'15'!#REF!</definedName>
    <definedName name="Z_C4D254D6_9D1C_4B3C_972D_15957FD05DD2_.wvu.Rows" localSheetId="14" hidden="1">'15'!#REF!,'15'!#REF!,'15'!#REF!,'15'!#REF!,'15'!#REF!,'15'!#REF!,'15'!#REF!</definedName>
    <definedName name="Z_D4664C56_FB8A_499D_8E24_CCA12F97FAE9_.wvu.Rows" localSheetId="14" hidden="1">'15'!#REF!,'15'!#REF!,'15'!#REF!,'15'!#REF!,'15'!#REF!,'15'!#REF!,'15'!#REF!</definedName>
    <definedName name="Z_DD995061_F552_4E13_8D40_A47EBB03245B_.wvu.Rows" localSheetId="14" hidden="1">'15'!#REF!,'15'!#REF!,'15'!#REF!,'15'!#REF!,'15'!#REF!,'15'!#REF!,'15'!#REF!</definedName>
    <definedName name="Z_DE2F0B4F_79DE_40A0_A13B_9C7F63D3F970_.wvu.Rows" localSheetId="14" hidden="1">'15'!#REF!,'15'!#REF!,'15'!#REF!,'15'!#REF!,'15'!#REF!,'15'!#REF!,'15'!#REF!</definedName>
    <definedName name="Z_E765F84B_EAF3_44AE_A058_C602C1E67401_.wvu.Rows" localSheetId="14" hidden="1">'15'!#REF!,'15'!#REF!,'15'!#REF!,'15'!#REF!,'15'!#REF!,'15'!#REF!,'15'!#REF!</definedName>
    <definedName name="Z_F34DD4D3_7189_47AF_B853_F133E36CF124_.wvu.Rows" localSheetId="14" hidden="1">'15'!#REF!,'15'!#REF!,'15'!#REF!,'15'!#REF!,'15'!#REF!,'15'!#REF!,'15'!#REF!</definedName>
    <definedName name="Z_F82F81AB_9C82_4E79_8CA3_CEB2B994FC06_.wvu.Rows" localSheetId="14" hidden="1">'15'!#REF!,'15'!#REF!,'15'!#REF!,'15'!#REF!,'15'!#REF!,'15'!#REF!,'15'!#REF!</definedName>
    <definedName name="Z_F89CD5B0_594D_4248_B45D_59008422D599_.wvu.Rows" localSheetId="14" hidden="1">'15'!#REF!,'15'!#REF!,'15'!#REF!,'15'!#REF!,'15'!#REF!,'15'!#REF!,'15'!#REF!</definedName>
    <definedName name="Z_03FBB0AD_5353_49C6_B595_178BC13C96AE_.wvu.Rows" localSheetId="15" hidden="1">'16'!#REF!,'16'!#REF!,'16'!#REF!,'16'!#REF!,'16'!#REF!,'16'!#REF!,'16'!#REF!</definedName>
    <definedName name="Z_070961C3_1DC2_4518_83D7_B3F54BC58AE2_.wvu.Rows" localSheetId="15" hidden="1">'16'!#REF!,'16'!#REF!,'16'!#REF!,'16'!#REF!,'16'!#REF!,'16'!#REF!,'16'!#REF!</definedName>
    <definedName name="Z_0B87D63B_15AD_4587_A73B_CA4B62BDFA01_.wvu.Rows" localSheetId="15" hidden="1">'16'!#REF!,'16'!#REF!,'16'!#REF!,'16'!#REF!,'16'!#REF!,'16'!#REF!,'16'!#REF!</definedName>
    <definedName name="Z_1B9AB2B5_0A50_46C3_981D_8BE75BF62E46_.wvu.Rows" localSheetId="15" hidden="1">'16'!#REF!,'16'!#REF!,'16'!#REF!,'16'!#REF!,'16'!#REF!,'16'!#REF!,'16'!#REF!</definedName>
    <definedName name="Z_20A0B2F7_9F51_4E3D_A024_0877F1F98F8D_.wvu.Rows" localSheetId="15" hidden="1">'16'!#REF!,'16'!#REF!,'16'!#REF!,'16'!#REF!,'16'!#REF!,'16'!#REF!,'16'!#REF!</definedName>
    <definedName name="Z_2C3A3C66_1522_4337_93AC_DFC422DC8462_.wvu.Rows" localSheetId="15" hidden="1">'16'!#REF!,'16'!#REF!,'16'!#REF!,'16'!#REF!,'16'!#REF!,'16'!#REF!,'16'!#REF!</definedName>
    <definedName name="Z_2E074C0E_3584_4321_A729_0961B34312BF_.wvu.Rows" localSheetId="15" hidden="1">'16'!#REF!,'16'!#REF!,'16'!#REF!,'16'!#REF!,'16'!#REF!,'16'!#REF!,'16'!#REF!</definedName>
    <definedName name="Z_2FFCC83E_A488_4450_9F9E_FF506EAEF5FC_.wvu.Rows" localSheetId="15" hidden="1">'16'!#REF!,'16'!#REF!,'16'!#REF!,'16'!#REF!,'16'!#REF!,'16'!#REF!,'16'!#REF!</definedName>
    <definedName name="Z_3351A924_D23D_45D7_8354_55677D787CA4_.wvu.Rows" localSheetId="15" hidden="1">'16'!#REF!,'16'!#REF!,'16'!#REF!,'16'!#REF!,'16'!#REF!,'16'!#REF!,'16'!#REF!</definedName>
    <definedName name="Z_51E3BC0E_B24A_447A_BC0A_03881122E44E_.wvu.Rows" localSheetId="15" hidden="1">'16'!#REF!,'16'!#REF!,'16'!#REF!,'16'!#REF!,'16'!#REF!,'16'!#REF!,'16'!#REF!</definedName>
    <definedName name="Z_5C60C8F2_A96A_4286_AB69_6A192D48B52D_.wvu.Rows" localSheetId="15" hidden="1">'16'!#REF!,'16'!#REF!,'16'!#REF!,'16'!#REF!,'16'!#REF!,'16'!#REF!,'16'!#REF!</definedName>
    <definedName name="Z_667B099C_8E79_4490_AC67_CFE2B9F8FC8D_.wvu.Rows" localSheetId="15" hidden="1">'16'!#REF!,'16'!#REF!,'16'!#REF!,'16'!#REF!,'16'!#REF!,'16'!#REF!,'16'!#REF!</definedName>
    <definedName name="Z_696C5A08_6B5C_4B07_9B14_11E12159ACF3_.wvu.Rows" localSheetId="15" hidden="1">'16'!#REF!,'16'!#REF!,'16'!#REF!,'16'!#REF!,'16'!#REF!,'16'!#REF!</definedName>
    <definedName name="Z_743813BC_E137_480B_B63F_29E16C4A5D78_.wvu.Rows" localSheetId="15" hidden="1">'16'!#REF!,'16'!#REF!,'16'!#REF!,'16'!#REF!,'16'!#REF!,'16'!#REF!,'16'!#REF!</definedName>
    <definedName name="Z_7CD6C56D_7191_499D_884D_23F062610490_.wvu.Rows" localSheetId="15" hidden="1">'16'!#REF!,'16'!#REF!,'16'!#REF!,'16'!#REF!,'16'!#REF!,'16'!#REF!,'16'!#REF!</definedName>
    <definedName name="Z_8AB826A3_3F9F_46E8_8B3C_5D723650CD25_.wvu.Rows" localSheetId="15" hidden="1">'16'!#REF!,'16'!#REF!,'16'!#REF!,'16'!#REF!,'16'!#REF!,'16'!#REF!,'16'!#REF!</definedName>
    <definedName name="Z_9231B71C_ABB0_4122_BB61_A0E14ED7FAC4_.wvu.Rows" localSheetId="15" hidden="1">'16'!#REF!,'16'!#REF!,'16'!#REF!,'16'!#REF!,'16'!#REF!,'16'!#REF!,'16'!#REF!</definedName>
    <definedName name="Z_9CE42830_1BFE_4EEE_AD75_1C30A69A86B1_.wvu.Rows" localSheetId="15" hidden="1">'16'!#REF!,'16'!#REF!,'16'!#REF!,'16'!#REF!,'16'!#REF!,'16'!#REF!,'16'!#REF!</definedName>
    <definedName name="Z_9EA36D12_6C5C_4BE0_9897_E6710354124D_.wvu.Rows" localSheetId="15" hidden="1">'16'!#REF!,'16'!#REF!,'16'!#REF!,'16'!#REF!,'16'!#REF!,'16'!#REF!,'16'!#REF!</definedName>
    <definedName name="Z_A0F29F5B_FB6E_4C5E_B7A7_CDA651D38207_.wvu.Rows" localSheetId="15" hidden="1">'16'!#REF!,'16'!#REF!,'16'!#REF!,'16'!#REF!,'16'!#REF!,'16'!#REF!,'16'!#REF!</definedName>
    <definedName name="Z_A567DF6A_4F50_45D4_A9C8_0879E17AFD34_.wvu.Rows" localSheetId="15" hidden="1">'16'!#REF!,'16'!#REF!,'16'!#REF!,'16'!#REF!,'16'!#REF!,'16'!#REF!,'16'!#REF!</definedName>
    <definedName name="Z_B2CFD8C8_F8F8_47F1_9207_6BE81612C01C_.wvu.Rows" localSheetId="15" hidden="1">'16'!#REF!,'16'!#REF!,'16'!#REF!,'16'!#REF!,'16'!#REF!,'16'!#REF!,'16'!#REF!</definedName>
    <definedName name="Z_BBF15C7D_3EAF_4D98_9096_5B67F6C46C47_.wvu.Rows" localSheetId="15" hidden="1">'16'!#REF!,'16'!#REF!,'16'!#REF!,'16'!#REF!,'16'!#REF!,'16'!#REF!</definedName>
    <definedName name="Z_C122BF8D_C115_42E1_B73A_F9B38D5EC060_.wvu.Rows" localSheetId="15" hidden="1">'16'!#REF!,'16'!#REF!,'16'!#REF!,'16'!#REF!,'16'!#REF!,'16'!#REF!,'16'!#REF!</definedName>
    <definedName name="Z_C4D254D6_9D1C_4B3C_972D_15957FD05DD2_.wvu.Rows" localSheetId="15" hidden="1">'16'!#REF!,'16'!#REF!,'16'!#REF!,'16'!#REF!,'16'!#REF!,'16'!#REF!,'16'!#REF!</definedName>
    <definedName name="Z_D4664C56_FB8A_499D_8E24_CCA12F97FAE9_.wvu.Rows" localSheetId="15" hidden="1">'16'!#REF!,'16'!#REF!,'16'!#REF!,'16'!#REF!,'16'!#REF!,'16'!#REF!,'16'!#REF!</definedName>
    <definedName name="Z_DD995061_F552_4E13_8D40_A47EBB03245B_.wvu.Rows" localSheetId="15" hidden="1">'16'!#REF!,'16'!#REF!,'16'!#REF!,'16'!#REF!,'16'!#REF!,'16'!#REF!,'16'!#REF!</definedName>
    <definedName name="Z_DE2F0B4F_79DE_40A0_A13B_9C7F63D3F970_.wvu.Rows" localSheetId="15" hidden="1">'16'!#REF!,'16'!#REF!,'16'!#REF!,'16'!#REF!,'16'!#REF!,'16'!#REF!,'16'!#REF!</definedName>
    <definedName name="Z_E765F84B_EAF3_44AE_A058_C602C1E67401_.wvu.Rows" localSheetId="15" hidden="1">'16'!#REF!,'16'!#REF!,'16'!#REF!,'16'!#REF!,'16'!#REF!,'16'!#REF!,'16'!#REF!</definedName>
    <definedName name="Z_F34DD4D3_7189_47AF_B853_F133E36CF124_.wvu.Rows" localSheetId="15" hidden="1">'16'!#REF!,'16'!#REF!,'16'!#REF!,'16'!#REF!,'16'!#REF!,'16'!#REF!,'16'!#REF!</definedName>
    <definedName name="Z_F82F81AB_9C82_4E79_8CA3_CEB2B994FC06_.wvu.Rows" localSheetId="15" hidden="1">'16'!#REF!,'16'!#REF!,'16'!#REF!,'16'!#REF!,'16'!#REF!,'16'!#REF!,'16'!#REF!</definedName>
    <definedName name="Z_F89CD5B0_594D_4248_B45D_59008422D599_.wvu.Rows" localSheetId="15" hidden="1">'16'!#REF!,'16'!#REF!,'16'!#REF!,'16'!#REF!,'16'!#REF!,'16'!#REF!,'16'!#REF!</definedName>
    <definedName name="Z_03FBB0AD_5353_49C6_B595_178BC13C96AE_.wvu.Rows" localSheetId="16" hidden="1">'17'!#REF!,'17'!#REF!,'17'!#REF!,'17'!#REF!,'17'!#REF!,'17'!#REF!,'17'!#REF!</definedName>
    <definedName name="Z_070961C3_1DC2_4518_83D7_B3F54BC58AE2_.wvu.Rows" localSheetId="16" hidden="1">'17'!#REF!,'17'!#REF!,'17'!#REF!,'17'!#REF!,'17'!#REF!,'17'!#REF!,'17'!#REF!</definedName>
    <definedName name="Z_0B87D63B_15AD_4587_A73B_CA4B62BDFA01_.wvu.Rows" localSheetId="16" hidden="1">'17'!#REF!,'17'!#REF!,'17'!#REF!,'17'!#REF!,'17'!#REF!,'17'!#REF!,'17'!#REF!</definedName>
    <definedName name="Z_1B9AB2B5_0A50_46C3_981D_8BE75BF62E46_.wvu.Rows" localSheetId="16" hidden="1">'17'!#REF!,'17'!#REF!,'17'!#REF!,'17'!#REF!,'17'!#REF!,'17'!#REF!,'17'!#REF!</definedName>
    <definedName name="Z_20A0B2F7_9F51_4E3D_A024_0877F1F98F8D_.wvu.Rows" localSheetId="16" hidden="1">'17'!#REF!,'17'!#REF!,'17'!#REF!,'17'!#REF!,'17'!#REF!,'17'!#REF!,'17'!#REF!</definedName>
    <definedName name="Z_2C3A3C66_1522_4337_93AC_DFC422DC8462_.wvu.Rows" localSheetId="16" hidden="1">'17'!#REF!,'17'!#REF!,'17'!#REF!,'17'!#REF!,'17'!#REF!,'17'!#REF!,'17'!#REF!</definedName>
    <definedName name="Z_2E074C0E_3584_4321_A729_0961B34312BF_.wvu.Rows" localSheetId="16" hidden="1">'17'!#REF!,'17'!#REF!,'17'!#REF!,'17'!#REF!,'17'!#REF!,'17'!#REF!,'17'!#REF!</definedName>
    <definedName name="Z_2FFCC83E_A488_4450_9F9E_FF506EAEF5FC_.wvu.Rows" localSheetId="16" hidden="1">'17'!#REF!,'17'!#REF!,'17'!#REF!,'17'!#REF!,'17'!#REF!,'17'!#REF!,'17'!#REF!</definedName>
    <definedName name="Z_3351A924_D23D_45D7_8354_55677D787CA4_.wvu.Rows" localSheetId="16" hidden="1">'17'!#REF!,'17'!#REF!,'17'!#REF!,'17'!#REF!,'17'!#REF!,'17'!#REF!,'17'!#REF!</definedName>
    <definedName name="Z_51E3BC0E_B24A_447A_BC0A_03881122E44E_.wvu.Rows" localSheetId="16" hidden="1">'17'!#REF!,'17'!#REF!,'17'!#REF!,'17'!#REF!,'17'!#REF!,'17'!#REF!,'17'!#REF!</definedName>
    <definedName name="Z_5C60C8F2_A96A_4286_AB69_6A192D48B52D_.wvu.Rows" localSheetId="16" hidden="1">'17'!#REF!,'17'!#REF!,'17'!#REF!,'17'!#REF!,'17'!#REF!,'17'!#REF!,'17'!#REF!</definedName>
    <definedName name="Z_667B099C_8E79_4490_AC67_CFE2B9F8FC8D_.wvu.Rows" localSheetId="16" hidden="1">'17'!#REF!,'17'!#REF!,'17'!#REF!,'17'!#REF!,'17'!#REF!,'17'!#REF!,'17'!#REF!</definedName>
    <definedName name="Z_696C5A08_6B5C_4B07_9B14_11E12159ACF3_.wvu.Rows" localSheetId="16" hidden="1">'17'!#REF!,'17'!#REF!,'17'!#REF!,'17'!#REF!,'17'!#REF!,'17'!#REF!</definedName>
    <definedName name="Z_743813BC_E137_480B_B63F_29E16C4A5D78_.wvu.Rows" localSheetId="16" hidden="1">'17'!#REF!,'17'!#REF!,'17'!#REF!,'17'!#REF!,'17'!#REF!,'17'!#REF!,'17'!#REF!</definedName>
    <definedName name="Z_7CD6C56D_7191_499D_884D_23F062610490_.wvu.Rows" localSheetId="16" hidden="1">'17'!#REF!,'17'!#REF!,'17'!#REF!,'17'!#REF!,'17'!#REF!,'17'!#REF!,'17'!#REF!</definedName>
    <definedName name="Z_8AB826A3_3F9F_46E8_8B3C_5D723650CD25_.wvu.Rows" localSheetId="16" hidden="1">'17'!#REF!,'17'!#REF!,'17'!#REF!,'17'!#REF!,'17'!#REF!,'17'!#REF!,'17'!#REF!</definedName>
    <definedName name="Z_9231B71C_ABB0_4122_BB61_A0E14ED7FAC4_.wvu.Rows" localSheetId="16" hidden="1">'17'!#REF!,'17'!#REF!,'17'!#REF!,'17'!#REF!,'17'!#REF!,'17'!#REF!,'17'!#REF!</definedName>
    <definedName name="Z_9CE42830_1BFE_4EEE_AD75_1C30A69A86B1_.wvu.Rows" localSheetId="16" hidden="1">'17'!#REF!,'17'!#REF!,'17'!#REF!,'17'!#REF!,'17'!#REF!,'17'!#REF!,'17'!#REF!</definedName>
    <definedName name="Z_9EA36D12_6C5C_4BE0_9897_E6710354124D_.wvu.Rows" localSheetId="16" hidden="1">'17'!#REF!,'17'!#REF!,'17'!#REF!,'17'!#REF!,'17'!#REF!,'17'!#REF!,'17'!#REF!</definedName>
    <definedName name="Z_A0F29F5B_FB6E_4C5E_B7A7_CDA651D38207_.wvu.Rows" localSheetId="16" hidden="1">'17'!#REF!,'17'!#REF!,'17'!#REF!,'17'!#REF!,'17'!#REF!,'17'!#REF!,'17'!#REF!</definedName>
    <definedName name="Z_A567DF6A_4F50_45D4_A9C8_0879E17AFD34_.wvu.Rows" localSheetId="16" hidden="1">'17'!#REF!,'17'!#REF!,'17'!#REF!,'17'!#REF!,'17'!#REF!,'17'!#REF!,'17'!#REF!</definedName>
    <definedName name="Z_B2CFD8C8_F8F8_47F1_9207_6BE81612C01C_.wvu.Rows" localSheetId="16" hidden="1">'17'!#REF!,'17'!#REF!,'17'!#REF!,'17'!#REF!,'17'!#REF!,'17'!#REF!,'17'!#REF!</definedName>
    <definedName name="Z_BBF15C7D_3EAF_4D98_9096_5B67F6C46C47_.wvu.Rows" localSheetId="16" hidden="1">'17'!#REF!,'17'!#REF!,'17'!#REF!,'17'!#REF!,'17'!#REF!,'17'!#REF!</definedName>
    <definedName name="Z_C122BF8D_C115_42E1_B73A_F9B38D5EC060_.wvu.Rows" localSheetId="16" hidden="1">'17'!#REF!,'17'!#REF!,'17'!#REF!,'17'!#REF!,'17'!#REF!,'17'!#REF!,'17'!#REF!</definedName>
    <definedName name="Z_C4D254D6_9D1C_4B3C_972D_15957FD05DD2_.wvu.Rows" localSheetId="16" hidden="1">'17'!#REF!,'17'!#REF!,'17'!#REF!,'17'!#REF!,'17'!#REF!,'17'!#REF!,'17'!#REF!</definedName>
    <definedName name="Z_D4664C56_FB8A_499D_8E24_CCA12F97FAE9_.wvu.Rows" localSheetId="16" hidden="1">'17'!#REF!,'17'!#REF!,'17'!#REF!,'17'!#REF!,'17'!#REF!,'17'!#REF!,'17'!#REF!</definedName>
    <definedName name="Z_DD995061_F552_4E13_8D40_A47EBB03245B_.wvu.Rows" localSheetId="16" hidden="1">'17'!#REF!,'17'!#REF!,'17'!#REF!,'17'!#REF!,'17'!#REF!,'17'!#REF!,'17'!#REF!</definedName>
    <definedName name="Z_DE2F0B4F_79DE_40A0_A13B_9C7F63D3F970_.wvu.Rows" localSheetId="16" hidden="1">'17'!#REF!,'17'!#REF!,'17'!#REF!,'17'!#REF!,'17'!#REF!,'17'!#REF!,'17'!#REF!</definedName>
    <definedName name="Z_E765F84B_EAF3_44AE_A058_C602C1E67401_.wvu.Rows" localSheetId="16" hidden="1">'17'!#REF!,'17'!#REF!,'17'!#REF!,'17'!#REF!,'17'!#REF!,'17'!#REF!,'17'!#REF!</definedName>
    <definedName name="Z_F34DD4D3_7189_47AF_B853_F133E36CF124_.wvu.Rows" localSheetId="16" hidden="1">'17'!#REF!,'17'!#REF!,'17'!#REF!,'17'!#REF!,'17'!#REF!,'17'!#REF!,'17'!#REF!</definedName>
    <definedName name="Z_F82F81AB_9C82_4E79_8CA3_CEB2B994FC06_.wvu.Rows" localSheetId="16" hidden="1">'17'!#REF!,'17'!#REF!,'17'!#REF!,'17'!#REF!,'17'!#REF!,'17'!#REF!,'17'!#REF!</definedName>
    <definedName name="Z_F89CD5B0_594D_4248_B45D_59008422D599_.wvu.Rows" localSheetId="16" hidden="1">'17'!#REF!,'17'!#REF!,'17'!#REF!,'17'!#REF!,'17'!#REF!,'17'!#REF!,'17'!#REF!</definedName>
    <definedName name="Z_03FBB0AD_5353_49C6_B595_178BC13C96AE_.wvu.Rows" localSheetId="17" hidden="1">'18'!#REF!,'18'!#REF!,'18'!#REF!,'18'!#REF!,'18'!#REF!,'18'!#REF!,'18'!#REF!</definedName>
    <definedName name="Z_070961C3_1DC2_4518_83D7_B3F54BC58AE2_.wvu.Rows" localSheetId="17" hidden="1">'18'!#REF!,'18'!#REF!,'18'!#REF!,'18'!#REF!,'18'!#REF!,'18'!#REF!,'18'!#REF!</definedName>
    <definedName name="Z_0B87D63B_15AD_4587_A73B_CA4B62BDFA01_.wvu.Rows" localSheetId="17" hidden="1">'18'!#REF!,'18'!#REF!,'18'!#REF!,'18'!#REF!,'18'!#REF!,'18'!#REF!,'18'!#REF!</definedName>
    <definedName name="Z_1B9AB2B5_0A50_46C3_981D_8BE75BF62E46_.wvu.Rows" localSheetId="17" hidden="1">'18'!#REF!,'18'!#REF!,'18'!#REF!,'18'!#REF!,'18'!#REF!,'18'!#REF!,'18'!#REF!</definedName>
    <definedName name="Z_20A0B2F7_9F51_4E3D_A024_0877F1F98F8D_.wvu.Rows" localSheetId="17" hidden="1">'18'!#REF!,'18'!#REF!,'18'!#REF!,'18'!#REF!,'18'!#REF!,'18'!#REF!,'18'!#REF!</definedName>
    <definedName name="Z_2C3A3C66_1522_4337_93AC_DFC422DC8462_.wvu.Rows" localSheetId="17" hidden="1">'18'!#REF!,'18'!#REF!,'18'!#REF!,'18'!#REF!,'18'!#REF!,'18'!#REF!,'18'!#REF!</definedName>
    <definedName name="Z_2E074C0E_3584_4321_A729_0961B34312BF_.wvu.Rows" localSheetId="17" hidden="1">'18'!#REF!,'18'!#REF!,'18'!#REF!,'18'!#REF!,'18'!#REF!,'18'!#REF!,'18'!#REF!</definedName>
    <definedName name="Z_2FFCC83E_A488_4450_9F9E_FF506EAEF5FC_.wvu.Rows" localSheetId="17" hidden="1">'18'!#REF!,'18'!#REF!,'18'!#REF!,'18'!#REF!,'18'!#REF!,'18'!#REF!,'18'!#REF!</definedName>
    <definedName name="Z_3351A924_D23D_45D7_8354_55677D787CA4_.wvu.Rows" localSheetId="17" hidden="1">'18'!#REF!,'18'!#REF!,'18'!#REF!,'18'!#REF!,'18'!#REF!,'18'!#REF!,'18'!#REF!</definedName>
    <definedName name="Z_51E3BC0E_B24A_447A_BC0A_03881122E44E_.wvu.Rows" localSheetId="17" hidden="1">'18'!#REF!,'18'!#REF!,'18'!#REF!,'18'!#REF!,'18'!#REF!,'18'!#REF!,'18'!#REF!</definedName>
    <definedName name="Z_5C60C8F2_A96A_4286_AB69_6A192D48B52D_.wvu.Rows" localSheetId="17" hidden="1">'18'!#REF!,'18'!#REF!,'18'!#REF!,'18'!#REF!,'18'!#REF!,'18'!#REF!,'18'!#REF!</definedName>
    <definedName name="Z_667B099C_8E79_4490_AC67_CFE2B9F8FC8D_.wvu.Rows" localSheetId="17" hidden="1">'18'!#REF!,'18'!#REF!,'18'!#REF!,'18'!#REF!,'18'!#REF!,'18'!#REF!,'18'!#REF!</definedName>
    <definedName name="Z_696C5A08_6B5C_4B07_9B14_11E12159ACF3_.wvu.Rows" localSheetId="17" hidden="1">'18'!#REF!,'18'!#REF!,'18'!#REF!,'18'!#REF!,'18'!#REF!,'18'!#REF!</definedName>
    <definedName name="Z_743813BC_E137_480B_B63F_29E16C4A5D78_.wvu.Rows" localSheetId="17" hidden="1">'18'!#REF!,'18'!#REF!,'18'!#REF!,'18'!#REF!,'18'!#REF!,'18'!#REF!,'18'!#REF!</definedName>
    <definedName name="Z_7CD6C56D_7191_499D_884D_23F062610490_.wvu.Rows" localSheetId="17" hidden="1">'18'!#REF!,'18'!#REF!,'18'!#REF!,'18'!#REF!,'18'!#REF!,'18'!#REF!,'18'!#REF!</definedName>
    <definedName name="Z_8AB826A3_3F9F_46E8_8B3C_5D723650CD25_.wvu.Rows" localSheetId="17" hidden="1">'18'!#REF!,'18'!#REF!,'18'!#REF!,'18'!#REF!,'18'!#REF!,'18'!#REF!,'18'!#REF!</definedName>
    <definedName name="Z_9231B71C_ABB0_4122_BB61_A0E14ED7FAC4_.wvu.Rows" localSheetId="17" hidden="1">'18'!#REF!,'18'!#REF!,'18'!#REF!,'18'!#REF!,'18'!#REF!,'18'!#REF!,'18'!#REF!</definedName>
    <definedName name="Z_9CE42830_1BFE_4EEE_AD75_1C30A69A86B1_.wvu.Rows" localSheetId="17" hidden="1">'18'!#REF!,'18'!#REF!,'18'!#REF!,'18'!#REF!,'18'!#REF!,'18'!#REF!,'18'!#REF!</definedName>
    <definedName name="Z_9EA36D12_6C5C_4BE0_9897_E6710354124D_.wvu.Rows" localSheetId="17" hidden="1">'18'!#REF!,'18'!#REF!,'18'!#REF!,'18'!#REF!,'18'!#REF!,'18'!#REF!,'18'!#REF!</definedName>
    <definedName name="Z_A0F29F5B_FB6E_4C5E_B7A7_CDA651D38207_.wvu.Rows" localSheetId="17" hidden="1">'18'!#REF!,'18'!#REF!,'18'!#REF!,'18'!#REF!,'18'!#REF!,'18'!#REF!,'18'!#REF!</definedName>
    <definedName name="Z_A567DF6A_4F50_45D4_A9C8_0879E17AFD34_.wvu.Rows" localSheetId="17" hidden="1">'18'!#REF!,'18'!#REF!,'18'!#REF!,'18'!#REF!,'18'!#REF!,'18'!#REF!,'18'!#REF!</definedName>
    <definedName name="Z_B2CFD8C8_F8F8_47F1_9207_6BE81612C01C_.wvu.Rows" localSheetId="17" hidden="1">'18'!#REF!,'18'!#REF!,'18'!#REF!,'18'!#REF!,'18'!#REF!,'18'!#REF!,'18'!#REF!</definedName>
    <definedName name="Z_BBF15C7D_3EAF_4D98_9096_5B67F6C46C47_.wvu.Rows" localSheetId="17" hidden="1">'18'!#REF!,'18'!#REF!,'18'!#REF!,'18'!#REF!,'18'!#REF!,'18'!#REF!</definedName>
    <definedName name="Z_C122BF8D_C115_42E1_B73A_F9B38D5EC060_.wvu.Rows" localSheetId="17" hidden="1">'18'!#REF!,'18'!#REF!,'18'!#REF!,'18'!#REF!,'18'!#REF!,'18'!#REF!,'18'!#REF!</definedName>
    <definedName name="Z_C4D254D6_9D1C_4B3C_972D_15957FD05DD2_.wvu.Rows" localSheetId="17" hidden="1">'18'!#REF!,'18'!#REF!,'18'!#REF!,'18'!#REF!,'18'!#REF!,'18'!#REF!,'18'!#REF!</definedName>
    <definedName name="Z_D4664C56_FB8A_499D_8E24_CCA12F97FAE9_.wvu.Rows" localSheetId="17" hidden="1">'18'!#REF!,'18'!#REF!,'18'!#REF!,'18'!#REF!,'18'!#REF!,'18'!#REF!,'18'!#REF!</definedName>
    <definedName name="Z_DD995061_F552_4E13_8D40_A47EBB03245B_.wvu.Rows" localSheetId="17" hidden="1">'18'!#REF!,'18'!#REF!,'18'!#REF!,'18'!#REF!,'18'!#REF!,'18'!#REF!,'18'!#REF!</definedName>
    <definedName name="Z_DE2F0B4F_79DE_40A0_A13B_9C7F63D3F970_.wvu.Rows" localSheetId="17" hidden="1">'18'!#REF!,'18'!#REF!,'18'!#REF!,'18'!#REF!,'18'!#REF!,'18'!#REF!,'18'!#REF!</definedName>
    <definedName name="Z_E765F84B_EAF3_44AE_A058_C602C1E67401_.wvu.Rows" localSheetId="17" hidden="1">'18'!#REF!,'18'!#REF!,'18'!#REF!,'18'!#REF!,'18'!#REF!,'18'!#REF!,'18'!#REF!</definedName>
    <definedName name="Z_F34DD4D3_7189_47AF_B853_F133E36CF124_.wvu.Rows" localSheetId="17" hidden="1">'18'!#REF!,'18'!#REF!,'18'!#REF!,'18'!#REF!,'18'!#REF!,'18'!#REF!,'18'!#REF!</definedName>
    <definedName name="Z_F82F81AB_9C82_4E79_8CA3_CEB2B994FC06_.wvu.Rows" localSheetId="17" hidden="1">'18'!#REF!,'18'!#REF!,'18'!#REF!,'18'!#REF!,'18'!#REF!,'18'!#REF!,'18'!#REF!</definedName>
    <definedName name="Z_F89CD5B0_594D_4248_B45D_59008422D599_.wvu.Rows" localSheetId="17" hidden="1">'18'!#REF!,'18'!#REF!,'18'!#REF!,'18'!#REF!,'18'!#REF!,'18'!#REF!,'18'!#REF!</definedName>
    <definedName name="Z_03FBB0AD_5353_49C6_B595_178BC13C96AE_.wvu.Rows" localSheetId="18" hidden="1">'19'!#REF!,'19'!#REF!,'19'!#REF!,'19'!#REF!,'19'!#REF!,'19'!#REF!,'19'!#REF!</definedName>
    <definedName name="Z_070961C3_1DC2_4518_83D7_B3F54BC58AE2_.wvu.Rows" localSheetId="18" hidden="1">'19'!#REF!,'19'!#REF!,'19'!#REF!,'19'!#REF!,'19'!#REF!,'19'!#REF!,'19'!#REF!</definedName>
    <definedName name="Z_0B87D63B_15AD_4587_A73B_CA4B62BDFA01_.wvu.Rows" localSheetId="18" hidden="1">'19'!#REF!,'19'!#REF!,'19'!#REF!,'19'!#REF!,'19'!#REF!,'19'!#REF!,'19'!#REF!</definedName>
    <definedName name="Z_1B9AB2B5_0A50_46C3_981D_8BE75BF62E46_.wvu.Rows" localSheetId="18" hidden="1">'19'!#REF!,'19'!#REF!,'19'!#REF!,'19'!#REF!,'19'!#REF!,'19'!#REF!,'19'!#REF!</definedName>
    <definedName name="Z_20A0B2F7_9F51_4E3D_A024_0877F1F98F8D_.wvu.Rows" localSheetId="18" hidden="1">'19'!#REF!,'19'!#REF!,'19'!#REF!,'19'!#REF!,'19'!#REF!,'19'!#REF!,'19'!#REF!</definedName>
    <definedName name="Z_2C3A3C66_1522_4337_93AC_DFC422DC8462_.wvu.Rows" localSheetId="18" hidden="1">'19'!#REF!,'19'!#REF!,'19'!#REF!,'19'!#REF!,'19'!#REF!,'19'!#REF!,'19'!#REF!</definedName>
    <definedName name="Z_2E074C0E_3584_4321_A729_0961B34312BF_.wvu.Rows" localSheetId="18" hidden="1">'19'!#REF!,'19'!#REF!,'19'!#REF!,'19'!#REF!,'19'!#REF!,'19'!#REF!,'19'!#REF!</definedName>
    <definedName name="Z_2FFCC83E_A488_4450_9F9E_FF506EAEF5FC_.wvu.Rows" localSheetId="18" hidden="1">'19'!#REF!,'19'!#REF!,'19'!#REF!,'19'!#REF!,'19'!#REF!,'19'!#REF!,'19'!#REF!</definedName>
    <definedName name="Z_3351A924_D23D_45D7_8354_55677D787CA4_.wvu.Rows" localSheetId="18" hidden="1">'19'!#REF!,'19'!#REF!,'19'!#REF!,'19'!#REF!,'19'!#REF!,'19'!#REF!,'19'!#REF!</definedName>
    <definedName name="Z_51E3BC0E_B24A_447A_BC0A_03881122E44E_.wvu.Rows" localSheetId="18" hidden="1">'19'!#REF!,'19'!#REF!,'19'!#REF!,'19'!#REF!,'19'!#REF!,'19'!#REF!,'19'!#REF!</definedName>
    <definedName name="Z_5C60C8F2_A96A_4286_AB69_6A192D48B52D_.wvu.Rows" localSheetId="18" hidden="1">'19'!#REF!,'19'!#REF!,'19'!#REF!,'19'!#REF!,'19'!#REF!,'19'!#REF!,'19'!#REF!</definedName>
    <definedName name="Z_667B099C_8E79_4490_AC67_CFE2B9F8FC8D_.wvu.Rows" localSheetId="18" hidden="1">'19'!#REF!,'19'!#REF!,'19'!#REF!,'19'!#REF!,'19'!#REF!,'19'!#REF!,'19'!#REF!</definedName>
    <definedName name="Z_696C5A08_6B5C_4B07_9B14_11E12159ACF3_.wvu.Rows" localSheetId="18" hidden="1">'19'!#REF!,'19'!#REF!,'19'!#REF!,'19'!#REF!,'19'!#REF!,'19'!#REF!</definedName>
    <definedName name="Z_743813BC_E137_480B_B63F_29E16C4A5D78_.wvu.Rows" localSheetId="18" hidden="1">'19'!#REF!,'19'!#REF!,'19'!#REF!,'19'!#REF!,'19'!#REF!,'19'!#REF!,'19'!#REF!</definedName>
    <definedName name="Z_7CD6C56D_7191_499D_884D_23F062610490_.wvu.Rows" localSheetId="18" hidden="1">'19'!#REF!,'19'!#REF!,'19'!#REF!,'19'!#REF!,'19'!#REF!,'19'!#REF!,'19'!#REF!</definedName>
    <definedName name="Z_8AB826A3_3F9F_46E8_8B3C_5D723650CD25_.wvu.Rows" localSheetId="18" hidden="1">'19'!#REF!,'19'!#REF!,'19'!#REF!,'19'!#REF!,'19'!#REF!,'19'!#REF!,'19'!#REF!</definedName>
    <definedName name="Z_9231B71C_ABB0_4122_BB61_A0E14ED7FAC4_.wvu.Rows" localSheetId="18" hidden="1">'19'!#REF!,'19'!#REF!,'19'!#REF!,'19'!#REF!,'19'!#REF!,'19'!#REF!,'19'!#REF!</definedName>
    <definedName name="Z_9CE42830_1BFE_4EEE_AD75_1C30A69A86B1_.wvu.Rows" localSheetId="18" hidden="1">'19'!#REF!,'19'!#REF!,'19'!#REF!,'19'!#REF!,'19'!#REF!,'19'!#REF!,'19'!#REF!</definedName>
    <definedName name="Z_9EA36D12_6C5C_4BE0_9897_E6710354124D_.wvu.Rows" localSheetId="18" hidden="1">'19'!#REF!,'19'!#REF!,'19'!#REF!,'19'!#REF!,'19'!#REF!,'19'!#REF!,'19'!#REF!</definedName>
    <definedName name="Z_A0F29F5B_FB6E_4C5E_B7A7_CDA651D38207_.wvu.Rows" localSheetId="18" hidden="1">'19'!#REF!,'19'!#REF!,'19'!#REF!,'19'!#REF!,'19'!#REF!,'19'!#REF!,'19'!#REF!</definedName>
    <definedName name="Z_A567DF6A_4F50_45D4_A9C8_0879E17AFD34_.wvu.Rows" localSheetId="18" hidden="1">'19'!#REF!,'19'!#REF!,'19'!#REF!,'19'!#REF!,'19'!#REF!,'19'!#REF!,'19'!#REF!</definedName>
    <definedName name="Z_B2CFD8C8_F8F8_47F1_9207_6BE81612C01C_.wvu.Rows" localSheetId="18" hidden="1">'19'!#REF!,'19'!#REF!,'19'!#REF!,'19'!#REF!,'19'!#REF!,'19'!#REF!,'19'!#REF!</definedName>
    <definedName name="Z_BBF15C7D_3EAF_4D98_9096_5B67F6C46C47_.wvu.Rows" localSheetId="18" hidden="1">'19'!#REF!,'19'!#REF!,'19'!#REF!,'19'!#REF!,'19'!#REF!,'19'!#REF!</definedName>
    <definedName name="Z_C122BF8D_C115_42E1_B73A_F9B38D5EC060_.wvu.Rows" localSheetId="18" hidden="1">'19'!#REF!,'19'!#REF!,'19'!#REF!,'19'!#REF!,'19'!#REF!,'19'!#REF!,'19'!#REF!</definedName>
    <definedName name="Z_C4D254D6_9D1C_4B3C_972D_15957FD05DD2_.wvu.Rows" localSheetId="18" hidden="1">'19'!#REF!,'19'!#REF!,'19'!#REF!,'19'!#REF!,'19'!#REF!,'19'!#REF!,'19'!#REF!</definedName>
    <definedName name="Z_D4664C56_FB8A_499D_8E24_CCA12F97FAE9_.wvu.Rows" localSheetId="18" hidden="1">'19'!#REF!,'19'!#REF!,'19'!#REF!,'19'!#REF!,'19'!#REF!,'19'!#REF!,'19'!#REF!</definedName>
    <definedName name="Z_DD995061_F552_4E13_8D40_A47EBB03245B_.wvu.Rows" localSheetId="18" hidden="1">'19'!#REF!,'19'!#REF!,'19'!#REF!,'19'!#REF!,'19'!#REF!,'19'!#REF!,'19'!#REF!</definedName>
    <definedName name="Z_DE2F0B4F_79DE_40A0_A13B_9C7F63D3F970_.wvu.Rows" localSheetId="18" hidden="1">'19'!#REF!,'19'!#REF!,'19'!#REF!,'19'!#REF!,'19'!#REF!,'19'!#REF!,'19'!#REF!</definedName>
    <definedName name="Z_E765F84B_EAF3_44AE_A058_C602C1E67401_.wvu.Rows" localSheetId="18" hidden="1">'19'!#REF!,'19'!#REF!,'19'!#REF!,'19'!#REF!,'19'!#REF!,'19'!#REF!,'19'!#REF!</definedName>
    <definedName name="Z_F34DD4D3_7189_47AF_B853_F133E36CF124_.wvu.Rows" localSheetId="18" hidden="1">'19'!#REF!,'19'!#REF!,'19'!#REF!,'19'!#REF!,'19'!#REF!,'19'!#REF!,'19'!#REF!</definedName>
    <definedName name="Z_F82F81AB_9C82_4E79_8CA3_CEB2B994FC06_.wvu.Rows" localSheetId="18" hidden="1">'19'!#REF!,'19'!#REF!,'19'!#REF!,'19'!#REF!,'19'!#REF!,'19'!#REF!,'19'!#REF!</definedName>
    <definedName name="Z_F89CD5B0_594D_4248_B45D_59008422D599_.wvu.Rows" localSheetId="18" hidden="1">'19'!#REF!,'19'!#REF!,'19'!#REF!,'19'!#REF!,'19'!#REF!,'19'!#REF!,'19'!#REF!</definedName>
    <definedName name="Z_03FBB0AD_5353_49C6_B595_178BC13C96AE_.wvu.Rows" localSheetId="19" hidden="1">'20'!#REF!,'20'!#REF!,'20'!#REF!,'20'!#REF!,'20'!#REF!,'20'!#REF!,'20'!#REF!</definedName>
    <definedName name="Z_070961C3_1DC2_4518_83D7_B3F54BC58AE2_.wvu.Rows" localSheetId="19" hidden="1">'20'!#REF!,'20'!#REF!,'20'!#REF!,'20'!#REF!,'20'!#REF!,'20'!#REF!,'20'!#REF!</definedName>
    <definedName name="Z_0B87D63B_15AD_4587_A73B_CA4B62BDFA01_.wvu.Rows" localSheetId="19" hidden="1">'20'!#REF!,'20'!#REF!,'20'!#REF!,'20'!#REF!,'20'!#REF!,'20'!#REF!,'20'!#REF!</definedName>
    <definedName name="Z_1B9AB2B5_0A50_46C3_981D_8BE75BF62E46_.wvu.Rows" localSheetId="19" hidden="1">'20'!#REF!,'20'!#REF!,'20'!#REF!,'20'!#REF!,'20'!#REF!,'20'!#REF!,'20'!#REF!</definedName>
    <definedName name="Z_20A0B2F7_9F51_4E3D_A024_0877F1F98F8D_.wvu.Rows" localSheetId="19" hidden="1">'20'!#REF!,'20'!#REF!,'20'!#REF!,'20'!#REF!,'20'!#REF!,'20'!#REF!,'20'!#REF!</definedName>
    <definedName name="Z_2C3A3C66_1522_4337_93AC_DFC422DC8462_.wvu.Rows" localSheetId="19" hidden="1">'20'!#REF!,'20'!#REF!,'20'!#REF!,'20'!#REF!,'20'!#REF!,'20'!#REF!,'20'!#REF!</definedName>
    <definedName name="Z_2E074C0E_3584_4321_A729_0961B34312BF_.wvu.Rows" localSheetId="19" hidden="1">'20'!#REF!,'20'!#REF!,'20'!#REF!,'20'!#REF!,'20'!#REF!,'20'!#REF!,'20'!#REF!</definedName>
    <definedName name="Z_2FFCC83E_A488_4450_9F9E_FF506EAEF5FC_.wvu.Rows" localSheetId="19" hidden="1">'20'!#REF!,'20'!#REF!,'20'!#REF!,'20'!#REF!,'20'!#REF!,'20'!#REF!,'20'!#REF!</definedName>
    <definedName name="Z_3351A924_D23D_45D7_8354_55677D787CA4_.wvu.Rows" localSheetId="19" hidden="1">'20'!#REF!,'20'!#REF!,'20'!#REF!,'20'!#REF!,'20'!#REF!,'20'!#REF!,'20'!#REF!</definedName>
    <definedName name="Z_51E3BC0E_B24A_447A_BC0A_03881122E44E_.wvu.Rows" localSheetId="19" hidden="1">'20'!#REF!,'20'!#REF!,'20'!#REF!,'20'!#REF!,'20'!#REF!,'20'!#REF!,'20'!#REF!</definedName>
    <definedName name="Z_5C60C8F2_A96A_4286_AB69_6A192D48B52D_.wvu.Rows" localSheetId="19" hidden="1">'20'!#REF!,'20'!#REF!,'20'!#REF!,'20'!#REF!,'20'!#REF!,'20'!#REF!,'20'!#REF!</definedName>
    <definedName name="Z_667B099C_8E79_4490_AC67_CFE2B9F8FC8D_.wvu.Rows" localSheetId="19" hidden="1">'20'!#REF!,'20'!#REF!,'20'!#REF!,'20'!#REF!,'20'!#REF!,'20'!#REF!,'20'!#REF!</definedName>
    <definedName name="Z_696C5A08_6B5C_4B07_9B14_11E12159ACF3_.wvu.Rows" localSheetId="19" hidden="1">'20'!#REF!,'20'!#REF!,'20'!#REF!,'20'!#REF!,'20'!#REF!,'20'!#REF!</definedName>
    <definedName name="Z_743813BC_E137_480B_B63F_29E16C4A5D78_.wvu.Rows" localSheetId="19" hidden="1">'20'!#REF!,'20'!#REF!,'20'!#REF!,'20'!#REF!,'20'!#REF!,'20'!#REF!,'20'!#REF!</definedName>
    <definedName name="Z_7CD6C56D_7191_499D_884D_23F062610490_.wvu.Rows" localSheetId="19" hidden="1">'20'!#REF!,'20'!#REF!,'20'!#REF!,'20'!#REF!,'20'!#REF!,'20'!#REF!,'20'!#REF!</definedName>
    <definedName name="Z_8AB826A3_3F9F_46E8_8B3C_5D723650CD25_.wvu.Rows" localSheetId="19" hidden="1">'20'!#REF!,'20'!#REF!,'20'!#REF!,'20'!#REF!,'20'!#REF!,'20'!#REF!,'20'!#REF!</definedName>
    <definedName name="Z_9231B71C_ABB0_4122_BB61_A0E14ED7FAC4_.wvu.Rows" localSheetId="19" hidden="1">'20'!#REF!,'20'!#REF!,'20'!#REF!,'20'!#REF!,'20'!#REF!,'20'!#REF!,'20'!#REF!</definedName>
    <definedName name="Z_9CE42830_1BFE_4EEE_AD75_1C30A69A86B1_.wvu.Rows" localSheetId="19" hidden="1">'20'!#REF!,'20'!#REF!,'20'!#REF!,'20'!#REF!,'20'!#REF!,'20'!#REF!,'20'!#REF!</definedName>
    <definedName name="Z_9EA36D12_6C5C_4BE0_9897_E6710354124D_.wvu.Rows" localSheetId="19" hidden="1">'20'!#REF!,'20'!#REF!,'20'!#REF!,'20'!#REF!,'20'!#REF!,'20'!#REF!,'20'!#REF!</definedName>
    <definedName name="Z_A0F29F5B_FB6E_4C5E_B7A7_CDA651D38207_.wvu.Rows" localSheetId="19" hidden="1">'20'!#REF!,'20'!#REF!,'20'!#REF!,'20'!#REF!,'20'!#REF!,'20'!#REF!,'20'!#REF!</definedName>
    <definedName name="Z_A567DF6A_4F50_45D4_A9C8_0879E17AFD34_.wvu.Rows" localSheetId="19" hidden="1">'20'!#REF!,'20'!#REF!,'20'!#REF!,'20'!#REF!,'20'!#REF!,'20'!#REF!,'20'!#REF!</definedName>
    <definedName name="Z_B2CFD8C8_F8F8_47F1_9207_6BE81612C01C_.wvu.Rows" localSheetId="19" hidden="1">'20'!#REF!,'20'!#REF!,'20'!#REF!,'20'!#REF!,'20'!#REF!,'20'!#REF!,'20'!#REF!</definedName>
    <definedName name="Z_BBF15C7D_3EAF_4D98_9096_5B67F6C46C47_.wvu.Rows" localSheetId="19" hidden="1">'20'!#REF!,'20'!#REF!,'20'!#REF!,'20'!#REF!,'20'!#REF!,'20'!#REF!</definedName>
    <definedName name="Z_C122BF8D_C115_42E1_B73A_F9B38D5EC060_.wvu.Rows" localSheetId="19" hidden="1">'20'!#REF!,'20'!#REF!,'20'!#REF!,'20'!#REF!,'20'!#REF!,'20'!#REF!,'20'!#REF!</definedName>
    <definedName name="Z_C4D254D6_9D1C_4B3C_972D_15957FD05DD2_.wvu.Rows" localSheetId="19" hidden="1">'20'!#REF!,'20'!#REF!,'20'!#REF!,'20'!#REF!,'20'!#REF!,'20'!#REF!,'20'!#REF!</definedName>
    <definedName name="Z_D4664C56_FB8A_499D_8E24_CCA12F97FAE9_.wvu.Rows" localSheetId="19" hidden="1">'20'!#REF!,'20'!#REF!,'20'!#REF!,'20'!#REF!,'20'!#REF!,'20'!#REF!,'20'!#REF!</definedName>
    <definedName name="Z_DD995061_F552_4E13_8D40_A47EBB03245B_.wvu.Rows" localSheetId="19" hidden="1">'20'!#REF!,'20'!#REF!,'20'!#REF!,'20'!#REF!,'20'!#REF!,'20'!#REF!,'20'!#REF!</definedName>
    <definedName name="Z_DE2F0B4F_79DE_40A0_A13B_9C7F63D3F970_.wvu.Rows" localSheetId="19" hidden="1">'20'!#REF!,'20'!#REF!,'20'!#REF!,'20'!#REF!,'20'!#REF!,'20'!#REF!,'20'!#REF!</definedName>
    <definedName name="Z_E765F84B_EAF3_44AE_A058_C602C1E67401_.wvu.Rows" localSheetId="19" hidden="1">'20'!#REF!,'20'!#REF!,'20'!#REF!,'20'!#REF!,'20'!#REF!,'20'!#REF!,'20'!#REF!</definedName>
    <definedName name="Z_F34DD4D3_7189_47AF_B853_F133E36CF124_.wvu.Rows" localSheetId="19" hidden="1">'20'!#REF!,'20'!#REF!,'20'!#REF!,'20'!#REF!,'20'!#REF!,'20'!#REF!,'20'!#REF!</definedName>
    <definedName name="Z_F82F81AB_9C82_4E79_8CA3_CEB2B994FC06_.wvu.Rows" localSheetId="19" hidden="1">'20'!#REF!,'20'!#REF!,'20'!#REF!,'20'!#REF!,'20'!#REF!,'20'!#REF!,'20'!#REF!</definedName>
    <definedName name="Z_F89CD5B0_594D_4248_B45D_59008422D599_.wvu.Rows" localSheetId="19" hidden="1">'20'!#REF!,'20'!#REF!,'20'!#REF!,'20'!#REF!,'20'!#REF!,'20'!#REF!,'20'!#REF!</definedName>
    <definedName name="Z_03FBB0AD_5353_49C6_B595_178BC13C96AE_.wvu.Rows" localSheetId="20" hidden="1">'21'!#REF!,'21'!#REF!,'21'!#REF!,'21'!#REF!,'21'!#REF!,'21'!#REF!,'21'!#REF!</definedName>
    <definedName name="Z_070961C3_1DC2_4518_83D7_B3F54BC58AE2_.wvu.Rows" localSheetId="20" hidden="1">'21'!#REF!,'21'!#REF!,'21'!#REF!,'21'!#REF!,'21'!#REF!,'21'!#REF!,'21'!#REF!</definedName>
    <definedName name="Z_0B87D63B_15AD_4587_A73B_CA4B62BDFA01_.wvu.Rows" localSheetId="20" hidden="1">'21'!#REF!,'21'!#REF!,'21'!#REF!,'21'!#REF!,'21'!#REF!,'21'!#REF!,'21'!#REF!</definedName>
    <definedName name="Z_1B9AB2B5_0A50_46C3_981D_8BE75BF62E46_.wvu.Rows" localSheetId="20" hidden="1">'21'!#REF!,'21'!#REF!,'21'!#REF!,'21'!#REF!,'21'!#REF!,'21'!#REF!,'21'!#REF!</definedName>
    <definedName name="Z_20A0B2F7_9F51_4E3D_A024_0877F1F98F8D_.wvu.Rows" localSheetId="20" hidden="1">'21'!#REF!,'21'!#REF!,'21'!#REF!,'21'!#REF!,'21'!#REF!,'21'!#REF!,'21'!#REF!</definedName>
    <definedName name="Z_2C3A3C66_1522_4337_93AC_DFC422DC8462_.wvu.Rows" localSheetId="20" hidden="1">'21'!#REF!,'21'!#REF!,'21'!#REF!,'21'!#REF!,'21'!#REF!,'21'!#REF!,'21'!#REF!</definedName>
    <definedName name="Z_2E074C0E_3584_4321_A729_0961B34312BF_.wvu.Rows" localSheetId="20" hidden="1">'21'!#REF!,'21'!#REF!,'21'!#REF!,'21'!#REF!,'21'!#REF!,'21'!#REF!,'21'!#REF!</definedName>
    <definedName name="Z_2FFCC83E_A488_4450_9F9E_FF506EAEF5FC_.wvu.Rows" localSheetId="20" hidden="1">'21'!#REF!,'21'!#REF!,'21'!#REF!,'21'!#REF!,'21'!#REF!,'21'!#REF!,'21'!#REF!</definedName>
    <definedName name="Z_3351A924_D23D_45D7_8354_55677D787CA4_.wvu.Rows" localSheetId="20" hidden="1">'21'!#REF!,'21'!#REF!,'21'!#REF!,'21'!#REF!,'21'!#REF!,'21'!#REF!,'21'!#REF!</definedName>
    <definedName name="Z_51E3BC0E_B24A_447A_BC0A_03881122E44E_.wvu.Rows" localSheetId="20" hidden="1">'21'!#REF!,'21'!#REF!,'21'!#REF!,'21'!#REF!,'21'!#REF!,'21'!#REF!,'21'!#REF!</definedName>
    <definedName name="Z_5C60C8F2_A96A_4286_AB69_6A192D48B52D_.wvu.Rows" localSheetId="20" hidden="1">'21'!#REF!,'21'!#REF!,'21'!#REF!,'21'!#REF!,'21'!#REF!,'21'!#REF!,'21'!#REF!</definedName>
    <definedName name="Z_667B099C_8E79_4490_AC67_CFE2B9F8FC8D_.wvu.Rows" localSheetId="20" hidden="1">'21'!#REF!,'21'!#REF!,'21'!#REF!,'21'!#REF!,'21'!#REF!,'21'!#REF!,'21'!#REF!</definedName>
    <definedName name="Z_696C5A08_6B5C_4B07_9B14_11E12159ACF3_.wvu.Rows" localSheetId="20" hidden="1">'21'!#REF!,'21'!#REF!,'21'!#REF!,'21'!#REF!,'21'!#REF!,'21'!#REF!</definedName>
    <definedName name="Z_743813BC_E137_480B_B63F_29E16C4A5D78_.wvu.Rows" localSheetId="20" hidden="1">'21'!#REF!,'21'!#REF!,'21'!#REF!,'21'!#REF!,'21'!#REF!,'21'!#REF!,'21'!#REF!</definedName>
    <definedName name="Z_7CD6C56D_7191_499D_884D_23F062610490_.wvu.Rows" localSheetId="20" hidden="1">'21'!#REF!,'21'!#REF!,'21'!#REF!,'21'!#REF!,'21'!#REF!,'21'!#REF!,'21'!#REF!</definedName>
    <definedName name="Z_8AB826A3_3F9F_46E8_8B3C_5D723650CD25_.wvu.Rows" localSheetId="20" hidden="1">'21'!#REF!,'21'!#REF!,'21'!#REF!,'21'!#REF!,'21'!#REF!,'21'!#REF!,'21'!#REF!</definedName>
    <definedName name="Z_9231B71C_ABB0_4122_BB61_A0E14ED7FAC4_.wvu.Rows" localSheetId="20" hidden="1">'21'!#REF!,'21'!#REF!,'21'!#REF!,'21'!#REF!,'21'!#REF!,'21'!#REF!,'21'!#REF!</definedName>
    <definedName name="Z_9CE42830_1BFE_4EEE_AD75_1C30A69A86B1_.wvu.Rows" localSheetId="20" hidden="1">'21'!#REF!,'21'!#REF!,'21'!#REF!,'21'!#REF!,'21'!#REF!,'21'!#REF!,'21'!#REF!</definedName>
    <definedName name="Z_9EA36D12_6C5C_4BE0_9897_E6710354124D_.wvu.Rows" localSheetId="20" hidden="1">'21'!#REF!,'21'!#REF!,'21'!#REF!,'21'!#REF!,'21'!#REF!,'21'!#REF!,'21'!#REF!</definedName>
    <definedName name="Z_A0F29F5B_FB6E_4C5E_B7A7_CDA651D38207_.wvu.Rows" localSheetId="20" hidden="1">'21'!#REF!,'21'!#REF!,'21'!#REF!,'21'!#REF!,'21'!#REF!,'21'!#REF!,'21'!#REF!</definedName>
    <definedName name="Z_A567DF6A_4F50_45D4_A9C8_0879E17AFD34_.wvu.Rows" localSheetId="20" hidden="1">'21'!#REF!,'21'!#REF!,'21'!#REF!,'21'!#REF!,'21'!#REF!,'21'!#REF!,'21'!#REF!</definedName>
    <definedName name="Z_B2CFD8C8_F8F8_47F1_9207_6BE81612C01C_.wvu.Rows" localSheetId="20" hidden="1">'21'!#REF!,'21'!#REF!,'21'!#REF!,'21'!#REF!,'21'!#REF!,'21'!#REF!,'21'!#REF!</definedName>
    <definedName name="Z_BBF15C7D_3EAF_4D98_9096_5B67F6C46C47_.wvu.Rows" localSheetId="20" hidden="1">'21'!#REF!,'21'!#REF!,'21'!#REF!,'21'!#REF!,'21'!#REF!,'21'!#REF!</definedName>
    <definedName name="Z_C122BF8D_C115_42E1_B73A_F9B38D5EC060_.wvu.Rows" localSheetId="20" hidden="1">'21'!#REF!,'21'!#REF!,'21'!#REF!,'21'!#REF!,'21'!#REF!,'21'!#REF!,'21'!#REF!</definedName>
    <definedName name="Z_C4D254D6_9D1C_4B3C_972D_15957FD05DD2_.wvu.Rows" localSheetId="20" hidden="1">'21'!#REF!,'21'!#REF!,'21'!#REF!,'21'!#REF!,'21'!#REF!,'21'!#REF!,'21'!#REF!</definedName>
    <definedName name="Z_D4664C56_FB8A_499D_8E24_CCA12F97FAE9_.wvu.Rows" localSheetId="20" hidden="1">'21'!#REF!,'21'!#REF!,'21'!#REF!,'21'!#REF!,'21'!#REF!,'21'!#REF!,'21'!#REF!</definedName>
    <definedName name="Z_DD995061_F552_4E13_8D40_A47EBB03245B_.wvu.Rows" localSheetId="20" hidden="1">'21'!#REF!,'21'!#REF!,'21'!#REF!,'21'!#REF!,'21'!#REF!,'21'!#REF!,'21'!#REF!</definedName>
    <definedName name="Z_DE2F0B4F_79DE_40A0_A13B_9C7F63D3F970_.wvu.Rows" localSheetId="20" hidden="1">'21'!#REF!,'21'!#REF!,'21'!#REF!,'21'!#REF!,'21'!#REF!,'21'!#REF!,'21'!#REF!</definedName>
    <definedName name="Z_E765F84B_EAF3_44AE_A058_C602C1E67401_.wvu.Rows" localSheetId="20" hidden="1">'21'!#REF!,'21'!#REF!,'21'!#REF!,'21'!#REF!,'21'!#REF!,'21'!#REF!,'21'!#REF!</definedName>
    <definedName name="Z_F34DD4D3_7189_47AF_B853_F133E36CF124_.wvu.Rows" localSheetId="20" hidden="1">'21'!#REF!,'21'!#REF!,'21'!#REF!,'21'!#REF!,'21'!#REF!,'21'!#REF!,'21'!#REF!</definedName>
    <definedName name="Z_F82F81AB_9C82_4E79_8CA3_CEB2B994FC06_.wvu.Rows" localSheetId="20" hidden="1">'21'!#REF!,'21'!#REF!,'21'!#REF!,'21'!#REF!,'21'!#REF!,'21'!#REF!,'21'!#REF!</definedName>
    <definedName name="Z_F89CD5B0_594D_4248_B45D_59008422D599_.wvu.Rows" localSheetId="20" hidden="1">'21'!#REF!,'21'!#REF!,'21'!#REF!,'21'!#REF!,'21'!#REF!,'21'!#REF!,'21'!#REF!</definedName>
    <definedName name="Z_03FBB0AD_5353_49C6_B595_178BC13C96AE_.wvu.Rows" localSheetId="21" hidden="1">'22'!#REF!,'22'!#REF!,'22'!#REF!,'22'!#REF!,'22'!#REF!,'22'!#REF!,'22'!#REF!</definedName>
    <definedName name="Z_070961C3_1DC2_4518_83D7_B3F54BC58AE2_.wvu.Rows" localSheetId="21" hidden="1">'22'!#REF!,'22'!#REF!,'22'!#REF!,'22'!#REF!,'22'!#REF!,'22'!#REF!,'22'!#REF!</definedName>
    <definedName name="Z_0B87D63B_15AD_4587_A73B_CA4B62BDFA01_.wvu.Rows" localSheetId="21" hidden="1">'22'!#REF!,'22'!#REF!,'22'!#REF!,'22'!#REF!,'22'!#REF!,'22'!#REF!,'22'!#REF!</definedName>
    <definedName name="Z_1B9AB2B5_0A50_46C3_981D_8BE75BF62E46_.wvu.Rows" localSheetId="21" hidden="1">'22'!#REF!,'22'!#REF!,'22'!#REF!,'22'!#REF!,'22'!#REF!,'22'!#REF!,'22'!#REF!</definedName>
    <definedName name="Z_20A0B2F7_9F51_4E3D_A024_0877F1F98F8D_.wvu.Rows" localSheetId="21" hidden="1">'22'!#REF!,'22'!#REF!,'22'!#REF!,'22'!#REF!,'22'!#REF!,'22'!#REF!,'22'!#REF!</definedName>
    <definedName name="Z_2C3A3C66_1522_4337_93AC_DFC422DC8462_.wvu.Rows" localSheetId="21" hidden="1">'22'!#REF!,'22'!#REF!,'22'!#REF!,'22'!#REF!,'22'!#REF!,'22'!#REF!,'22'!#REF!</definedName>
    <definedName name="Z_2E074C0E_3584_4321_A729_0961B34312BF_.wvu.Rows" localSheetId="21" hidden="1">'22'!#REF!,'22'!#REF!,'22'!#REF!,'22'!#REF!,'22'!#REF!,'22'!#REF!,'22'!#REF!</definedName>
    <definedName name="Z_2FFCC83E_A488_4450_9F9E_FF506EAEF5FC_.wvu.Rows" localSheetId="21" hidden="1">'22'!#REF!,'22'!#REF!,'22'!#REF!,'22'!#REF!,'22'!#REF!,'22'!#REF!,'22'!#REF!</definedName>
    <definedName name="Z_3351A924_D23D_45D7_8354_55677D787CA4_.wvu.Rows" localSheetId="21" hidden="1">'22'!#REF!,'22'!#REF!,'22'!#REF!,'22'!#REF!,'22'!#REF!,'22'!#REF!,'22'!#REF!</definedName>
    <definedName name="Z_51E3BC0E_B24A_447A_BC0A_03881122E44E_.wvu.Rows" localSheetId="21" hidden="1">'22'!#REF!,'22'!#REF!,'22'!#REF!,'22'!#REF!,'22'!#REF!,'22'!#REF!,'22'!#REF!</definedName>
    <definedName name="Z_5C60C8F2_A96A_4286_AB69_6A192D48B52D_.wvu.Rows" localSheetId="21" hidden="1">'22'!#REF!,'22'!#REF!,'22'!#REF!,'22'!#REF!,'22'!#REF!,'22'!#REF!,'22'!#REF!</definedName>
    <definedName name="Z_667B099C_8E79_4490_AC67_CFE2B9F8FC8D_.wvu.Rows" localSheetId="21" hidden="1">'22'!#REF!,'22'!#REF!,'22'!#REF!,'22'!#REF!,'22'!#REF!,'22'!#REF!,'22'!#REF!</definedName>
    <definedName name="Z_696C5A08_6B5C_4B07_9B14_11E12159ACF3_.wvu.Rows" localSheetId="21" hidden="1">'22'!#REF!,'22'!#REF!,'22'!#REF!,'22'!#REF!,'22'!#REF!,'22'!#REF!</definedName>
    <definedName name="Z_743813BC_E137_480B_B63F_29E16C4A5D78_.wvu.Rows" localSheetId="21" hidden="1">'22'!#REF!,'22'!#REF!,'22'!#REF!,'22'!#REF!,'22'!#REF!,'22'!#REF!,'22'!#REF!</definedName>
    <definedName name="Z_7CD6C56D_7191_499D_884D_23F062610490_.wvu.Rows" localSheetId="21" hidden="1">'22'!#REF!,'22'!#REF!,'22'!#REF!,'22'!#REF!,'22'!#REF!,'22'!#REF!,'22'!#REF!</definedName>
    <definedName name="Z_8AB826A3_3F9F_46E8_8B3C_5D723650CD25_.wvu.Rows" localSheetId="21" hidden="1">'22'!#REF!,'22'!#REF!,'22'!#REF!,'22'!#REF!,'22'!#REF!,'22'!#REF!,'22'!#REF!</definedName>
    <definedName name="Z_9231B71C_ABB0_4122_BB61_A0E14ED7FAC4_.wvu.Rows" localSheetId="21" hidden="1">'22'!#REF!,'22'!#REF!,'22'!#REF!,'22'!#REF!,'22'!#REF!,'22'!#REF!,'22'!#REF!</definedName>
    <definedName name="Z_9CE42830_1BFE_4EEE_AD75_1C30A69A86B1_.wvu.Rows" localSheetId="21" hidden="1">'22'!#REF!,'22'!#REF!,'22'!#REF!,'22'!#REF!,'22'!#REF!,'22'!#REF!,'22'!#REF!</definedName>
    <definedName name="Z_9EA36D12_6C5C_4BE0_9897_E6710354124D_.wvu.Rows" localSheetId="21" hidden="1">'22'!#REF!,'22'!#REF!,'22'!#REF!,'22'!#REF!,'22'!#REF!,'22'!#REF!,'22'!#REF!</definedName>
    <definedName name="Z_A0F29F5B_FB6E_4C5E_B7A7_CDA651D38207_.wvu.Rows" localSheetId="21" hidden="1">'22'!#REF!,'22'!#REF!,'22'!#REF!,'22'!#REF!,'22'!#REF!,'22'!#REF!,'22'!#REF!</definedName>
    <definedName name="Z_A567DF6A_4F50_45D4_A9C8_0879E17AFD34_.wvu.Rows" localSheetId="21" hidden="1">'22'!#REF!,'22'!#REF!,'22'!#REF!,'22'!#REF!,'22'!#REF!,'22'!#REF!,'22'!#REF!</definedName>
    <definedName name="Z_B2CFD8C8_F8F8_47F1_9207_6BE81612C01C_.wvu.Rows" localSheetId="21" hidden="1">'22'!#REF!,'22'!#REF!,'22'!#REF!,'22'!#REF!,'22'!#REF!,'22'!#REF!,'22'!#REF!</definedName>
    <definedName name="Z_BBF15C7D_3EAF_4D98_9096_5B67F6C46C47_.wvu.Rows" localSheetId="21" hidden="1">'22'!#REF!,'22'!#REF!,'22'!#REF!,'22'!#REF!,'22'!#REF!,'22'!#REF!</definedName>
    <definedName name="Z_C122BF8D_C115_42E1_B73A_F9B38D5EC060_.wvu.Rows" localSheetId="21" hidden="1">'22'!#REF!,'22'!#REF!,'22'!#REF!,'22'!#REF!,'22'!#REF!,'22'!#REF!,'22'!#REF!</definedName>
    <definedName name="Z_C4D254D6_9D1C_4B3C_972D_15957FD05DD2_.wvu.Rows" localSheetId="21" hidden="1">'22'!#REF!,'22'!#REF!,'22'!#REF!,'22'!#REF!,'22'!#REF!,'22'!#REF!,'22'!#REF!</definedName>
    <definedName name="Z_D4664C56_FB8A_499D_8E24_CCA12F97FAE9_.wvu.Rows" localSheetId="21" hidden="1">'22'!#REF!,'22'!#REF!,'22'!#REF!,'22'!#REF!,'22'!#REF!,'22'!#REF!,'22'!#REF!</definedName>
    <definedName name="Z_DD995061_F552_4E13_8D40_A47EBB03245B_.wvu.Rows" localSheetId="21" hidden="1">'22'!#REF!,'22'!#REF!,'22'!#REF!,'22'!#REF!,'22'!#REF!,'22'!#REF!,'22'!#REF!</definedName>
    <definedName name="Z_DE2F0B4F_79DE_40A0_A13B_9C7F63D3F970_.wvu.Rows" localSheetId="21" hidden="1">'22'!#REF!,'22'!#REF!,'22'!#REF!,'22'!#REF!,'22'!#REF!,'22'!#REF!,'22'!#REF!</definedName>
    <definedName name="Z_E765F84B_EAF3_44AE_A058_C602C1E67401_.wvu.Rows" localSheetId="21" hidden="1">'22'!#REF!,'22'!#REF!,'22'!#REF!,'22'!#REF!,'22'!#REF!,'22'!#REF!,'22'!#REF!</definedName>
    <definedName name="Z_F34DD4D3_7189_47AF_B853_F133E36CF124_.wvu.Rows" localSheetId="21" hidden="1">'22'!#REF!,'22'!#REF!,'22'!#REF!,'22'!#REF!,'22'!#REF!,'22'!#REF!,'22'!#REF!</definedName>
    <definedName name="Z_F82F81AB_9C82_4E79_8CA3_CEB2B994FC06_.wvu.Rows" localSheetId="21" hidden="1">'22'!#REF!,'22'!#REF!,'22'!#REF!,'22'!#REF!,'22'!#REF!,'22'!#REF!,'22'!#REF!</definedName>
    <definedName name="Z_F89CD5B0_594D_4248_B45D_59008422D599_.wvu.Rows" localSheetId="21" hidden="1">'22'!#REF!,'22'!#REF!,'22'!#REF!,'22'!#REF!,'22'!#REF!,'22'!#REF!,'22'!#REF!</definedName>
    <definedName name="Z_03FBB0AD_5353_49C6_B595_178BC13C96AE_.wvu.Rows" localSheetId="22" hidden="1">'23'!#REF!,'23'!#REF!,'23'!#REF!,'23'!#REF!,'23'!#REF!,'23'!#REF!,'23'!#REF!</definedName>
    <definedName name="Z_070961C3_1DC2_4518_83D7_B3F54BC58AE2_.wvu.Rows" localSheetId="22" hidden="1">'23'!#REF!,'23'!#REF!,'23'!#REF!,'23'!#REF!,'23'!#REF!,'23'!#REF!,'23'!#REF!</definedName>
    <definedName name="Z_0B87D63B_15AD_4587_A73B_CA4B62BDFA01_.wvu.Rows" localSheetId="22" hidden="1">'23'!#REF!,'23'!#REF!,'23'!#REF!,'23'!#REF!,'23'!#REF!,'23'!#REF!,'23'!#REF!</definedName>
    <definedName name="Z_1B9AB2B5_0A50_46C3_981D_8BE75BF62E46_.wvu.Rows" localSheetId="22" hidden="1">'23'!#REF!,'23'!#REF!,'23'!#REF!,'23'!#REF!,'23'!#REF!,'23'!#REF!,'23'!#REF!</definedName>
    <definedName name="Z_20A0B2F7_9F51_4E3D_A024_0877F1F98F8D_.wvu.Rows" localSheetId="22" hidden="1">'23'!#REF!,'23'!#REF!,'23'!#REF!,'23'!#REF!,'23'!#REF!,'23'!#REF!,'23'!#REF!</definedName>
    <definedName name="Z_2C3A3C66_1522_4337_93AC_DFC422DC8462_.wvu.Rows" localSheetId="22" hidden="1">'23'!#REF!,'23'!#REF!,'23'!#REF!,'23'!#REF!,'23'!#REF!,'23'!#REF!,'23'!#REF!</definedName>
    <definedName name="Z_2E074C0E_3584_4321_A729_0961B34312BF_.wvu.Rows" localSheetId="22" hidden="1">'23'!#REF!,'23'!#REF!,'23'!#REF!,'23'!#REF!,'23'!#REF!,'23'!#REF!,'23'!#REF!</definedName>
    <definedName name="Z_2FFCC83E_A488_4450_9F9E_FF506EAEF5FC_.wvu.Rows" localSheetId="22" hidden="1">'23'!#REF!,'23'!#REF!,'23'!#REF!,'23'!#REF!,'23'!#REF!,'23'!#REF!,'23'!#REF!</definedName>
    <definedName name="Z_3351A924_D23D_45D7_8354_55677D787CA4_.wvu.Rows" localSheetId="22" hidden="1">'23'!#REF!,'23'!#REF!,'23'!#REF!,'23'!#REF!,'23'!#REF!,'23'!#REF!,'23'!#REF!</definedName>
    <definedName name="Z_51E3BC0E_B24A_447A_BC0A_03881122E44E_.wvu.Rows" localSheetId="22" hidden="1">'23'!#REF!,'23'!#REF!,'23'!#REF!,'23'!#REF!,'23'!#REF!,'23'!#REF!,'23'!#REF!</definedName>
    <definedName name="Z_5C60C8F2_A96A_4286_AB69_6A192D48B52D_.wvu.Rows" localSheetId="22" hidden="1">'23'!#REF!,'23'!#REF!,'23'!#REF!,'23'!#REF!,'23'!#REF!,'23'!#REF!,'23'!#REF!</definedName>
    <definedName name="Z_667B099C_8E79_4490_AC67_CFE2B9F8FC8D_.wvu.Rows" localSheetId="22" hidden="1">'23'!#REF!,'23'!#REF!,'23'!#REF!,'23'!#REF!,'23'!#REF!,'23'!#REF!,'23'!#REF!</definedName>
    <definedName name="Z_696C5A08_6B5C_4B07_9B14_11E12159ACF3_.wvu.Rows" localSheetId="22" hidden="1">'23'!#REF!,'23'!#REF!,'23'!#REF!,'23'!#REF!,'23'!#REF!,'23'!#REF!</definedName>
    <definedName name="Z_743813BC_E137_480B_B63F_29E16C4A5D78_.wvu.Rows" localSheetId="22" hidden="1">'23'!#REF!,'23'!#REF!,'23'!#REF!,'23'!#REF!,'23'!#REF!,'23'!#REF!,'23'!#REF!</definedName>
    <definedName name="Z_7CD6C56D_7191_499D_884D_23F062610490_.wvu.Rows" localSheetId="22" hidden="1">'23'!#REF!,'23'!#REF!,'23'!#REF!,'23'!#REF!,'23'!#REF!,'23'!#REF!,'23'!#REF!</definedName>
    <definedName name="Z_8AB826A3_3F9F_46E8_8B3C_5D723650CD25_.wvu.Rows" localSheetId="22" hidden="1">'23'!#REF!,'23'!#REF!,'23'!#REF!,'23'!#REF!,'23'!#REF!,'23'!#REF!,'23'!#REF!</definedName>
    <definedName name="Z_9231B71C_ABB0_4122_BB61_A0E14ED7FAC4_.wvu.Rows" localSheetId="22" hidden="1">'23'!#REF!,'23'!#REF!,'23'!#REF!,'23'!#REF!,'23'!#REF!,'23'!#REF!,'23'!#REF!</definedName>
    <definedName name="Z_9CE42830_1BFE_4EEE_AD75_1C30A69A86B1_.wvu.Rows" localSheetId="22" hidden="1">'23'!#REF!,'23'!#REF!,'23'!#REF!,'23'!#REF!,'23'!#REF!,'23'!#REF!,'23'!#REF!</definedName>
    <definedName name="Z_9EA36D12_6C5C_4BE0_9897_E6710354124D_.wvu.Rows" localSheetId="22" hidden="1">'23'!#REF!,'23'!#REF!,'23'!#REF!,'23'!#REF!,'23'!#REF!,'23'!#REF!,'23'!#REF!</definedName>
    <definedName name="Z_A0F29F5B_FB6E_4C5E_B7A7_CDA651D38207_.wvu.Rows" localSheetId="22" hidden="1">'23'!#REF!,'23'!#REF!,'23'!#REF!,'23'!#REF!,'23'!#REF!,'23'!#REF!,'23'!#REF!</definedName>
    <definedName name="Z_A567DF6A_4F50_45D4_A9C8_0879E17AFD34_.wvu.Rows" localSheetId="22" hidden="1">'23'!#REF!,'23'!#REF!,'23'!#REF!,'23'!#REF!,'23'!#REF!,'23'!#REF!,'23'!#REF!</definedName>
    <definedName name="Z_B2CFD8C8_F8F8_47F1_9207_6BE81612C01C_.wvu.Rows" localSheetId="22" hidden="1">'23'!#REF!,'23'!#REF!,'23'!#REF!,'23'!#REF!,'23'!#REF!,'23'!#REF!,'23'!#REF!</definedName>
    <definedName name="Z_BBF15C7D_3EAF_4D98_9096_5B67F6C46C47_.wvu.Rows" localSheetId="22" hidden="1">'23'!#REF!,'23'!#REF!,'23'!#REF!,'23'!#REF!,'23'!#REF!,'23'!#REF!</definedName>
    <definedName name="Z_C122BF8D_C115_42E1_B73A_F9B38D5EC060_.wvu.Rows" localSheetId="22" hidden="1">'23'!#REF!,'23'!#REF!,'23'!#REF!,'23'!#REF!,'23'!#REF!,'23'!#REF!,'23'!#REF!</definedName>
    <definedName name="Z_C4D254D6_9D1C_4B3C_972D_15957FD05DD2_.wvu.Rows" localSheetId="22" hidden="1">'23'!#REF!,'23'!#REF!,'23'!#REF!,'23'!#REF!,'23'!#REF!,'23'!#REF!,'23'!#REF!</definedName>
    <definedName name="Z_D4664C56_FB8A_499D_8E24_CCA12F97FAE9_.wvu.Rows" localSheetId="22" hidden="1">'23'!#REF!,'23'!#REF!,'23'!#REF!,'23'!#REF!,'23'!#REF!,'23'!#REF!,'23'!#REF!</definedName>
    <definedName name="Z_DD995061_F552_4E13_8D40_A47EBB03245B_.wvu.Rows" localSheetId="22" hidden="1">'23'!#REF!,'23'!#REF!,'23'!#REF!,'23'!#REF!,'23'!#REF!,'23'!#REF!,'23'!#REF!</definedName>
    <definedName name="Z_DE2F0B4F_79DE_40A0_A13B_9C7F63D3F970_.wvu.Rows" localSheetId="22" hidden="1">'23'!#REF!,'23'!#REF!,'23'!#REF!,'23'!#REF!,'23'!#REF!,'23'!#REF!,'23'!#REF!</definedName>
    <definedName name="Z_E765F84B_EAF3_44AE_A058_C602C1E67401_.wvu.Rows" localSheetId="22" hidden="1">'23'!#REF!,'23'!#REF!,'23'!#REF!,'23'!#REF!,'23'!#REF!,'23'!#REF!,'23'!#REF!</definedName>
    <definedName name="Z_F34DD4D3_7189_47AF_B853_F133E36CF124_.wvu.Rows" localSheetId="22" hidden="1">'23'!#REF!,'23'!#REF!,'23'!#REF!,'23'!#REF!,'23'!#REF!,'23'!#REF!,'23'!#REF!</definedName>
    <definedName name="Z_F82F81AB_9C82_4E79_8CA3_CEB2B994FC06_.wvu.Rows" localSheetId="22" hidden="1">'23'!#REF!,'23'!#REF!,'23'!#REF!,'23'!#REF!,'23'!#REF!,'23'!#REF!,'23'!#REF!</definedName>
    <definedName name="Z_F89CD5B0_594D_4248_B45D_59008422D599_.wvu.Rows" localSheetId="22" hidden="1">'23'!#REF!,'23'!#REF!,'23'!#REF!,'23'!#REF!,'23'!#REF!,'23'!#REF!,'23'!#REF!</definedName>
    <definedName name="Z_03FBB0AD_5353_49C6_B595_178BC13C96AE_.wvu.Rows" localSheetId="23" hidden="1">'24'!#REF!,'24'!#REF!,'24'!#REF!,'24'!#REF!,'24'!#REF!,'24'!#REF!,'24'!#REF!</definedName>
    <definedName name="Z_070961C3_1DC2_4518_83D7_B3F54BC58AE2_.wvu.Rows" localSheetId="23" hidden="1">'24'!#REF!,'24'!#REF!,'24'!#REF!,'24'!#REF!,'24'!#REF!,'24'!#REF!,'24'!#REF!</definedName>
    <definedName name="Z_0B87D63B_15AD_4587_A73B_CA4B62BDFA01_.wvu.Rows" localSheetId="23" hidden="1">'24'!#REF!,'24'!#REF!,'24'!#REF!,'24'!#REF!,'24'!#REF!,'24'!#REF!,'24'!#REF!</definedName>
    <definedName name="Z_1B9AB2B5_0A50_46C3_981D_8BE75BF62E46_.wvu.Rows" localSheetId="23" hidden="1">'24'!#REF!,'24'!#REF!,'24'!#REF!,'24'!#REF!,'24'!#REF!,'24'!#REF!,'24'!#REF!</definedName>
    <definedName name="Z_20A0B2F7_9F51_4E3D_A024_0877F1F98F8D_.wvu.Rows" localSheetId="23" hidden="1">'24'!#REF!,'24'!#REF!,'24'!#REF!,'24'!#REF!,'24'!#REF!,'24'!#REF!,'24'!#REF!</definedName>
    <definedName name="Z_2C3A3C66_1522_4337_93AC_DFC422DC8462_.wvu.Rows" localSheetId="23" hidden="1">'24'!#REF!,'24'!#REF!,'24'!#REF!,'24'!#REF!,'24'!#REF!,'24'!#REF!,'24'!#REF!</definedName>
    <definedName name="Z_2E074C0E_3584_4321_A729_0961B34312BF_.wvu.Rows" localSheetId="23" hidden="1">'24'!#REF!,'24'!#REF!,'24'!#REF!,'24'!#REF!,'24'!#REF!,'24'!#REF!,'24'!#REF!</definedName>
    <definedName name="Z_2FFCC83E_A488_4450_9F9E_FF506EAEF5FC_.wvu.Rows" localSheetId="23" hidden="1">'24'!#REF!,'24'!#REF!,'24'!#REF!,'24'!#REF!,'24'!#REF!,'24'!#REF!,'24'!#REF!</definedName>
    <definedName name="Z_3351A924_D23D_45D7_8354_55677D787CA4_.wvu.Rows" localSheetId="23" hidden="1">'24'!#REF!,'24'!#REF!,'24'!#REF!,'24'!#REF!,'24'!#REF!,'24'!#REF!,'24'!#REF!</definedName>
    <definedName name="Z_51E3BC0E_B24A_447A_BC0A_03881122E44E_.wvu.Rows" localSheetId="23" hidden="1">'24'!#REF!,'24'!#REF!,'24'!#REF!,'24'!#REF!,'24'!#REF!,'24'!#REF!,'24'!#REF!</definedName>
    <definedName name="Z_5C60C8F2_A96A_4286_AB69_6A192D48B52D_.wvu.Rows" localSheetId="23" hidden="1">'24'!#REF!,'24'!#REF!,'24'!#REF!,'24'!#REF!,'24'!#REF!,'24'!#REF!,'24'!#REF!</definedName>
    <definedName name="Z_667B099C_8E79_4490_AC67_CFE2B9F8FC8D_.wvu.Rows" localSheetId="23" hidden="1">'24'!#REF!,'24'!#REF!,'24'!#REF!,'24'!#REF!,'24'!#REF!,'24'!#REF!,'24'!#REF!</definedName>
    <definedName name="Z_696C5A08_6B5C_4B07_9B14_11E12159ACF3_.wvu.Rows" localSheetId="23" hidden="1">'24'!#REF!,'24'!#REF!,'24'!#REF!,'24'!#REF!,'24'!#REF!,'24'!#REF!</definedName>
    <definedName name="Z_743813BC_E137_480B_B63F_29E16C4A5D78_.wvu.Rows" localSheetId="23" hidden="1">'24'!#REF!,'24'!#REF!,'24'!#REF!,'24'!#REF!,'24'!#REF!,'24'!#REF!,'24'!#REF!</definedName>
    <definedName name="Z_7CD6C56D_7191_499D_884D_23F062610490_.wvu.Rows" localSheetId="23" hidden="1">'24'!#REF!,'24'!#REF!,'24'!#REF!,'24'!#REF!,'24'!#REF!,'24'!#REF!,'24'!#REF!</definedName>
    <definedName name="Z_8AB826A3_3F9F_46E8_8B3C_5D723650CD25_.wvu.Rows" localSheetId="23" hidden="1">'24'!#REF!,'24'!#REF!,'24'!#REF!,'24'!#REF!,'24'!#REF!,'24'!#REF!,'24'!#REF!</definedName>
    <definedName name="Z_9231B71C_ABB0_4122_BB61_A0E14ED7FAC4_.wvu.Rows" localSheetId="23" hidden="1">'24'!#REF!,'24'!#REF!,'24'!#REF!,'24'!#REF!,'24'!#REF!,'24'!#REF!,'24'!#REF!</definedName>
    <definedName name="Z_9CE42830_1BFE_4EEE_AD75_1C30A69A86B1_.wvu.Rows" localSheetId="23" hidden="1">'24'!#REF!,'24'!#REF!,'24'!#REF!,'24'!#REF!,'24'!#REF!,'24'!#REF!,'24'!#REF!</definedName>
    <definedName name="Z_9EA36D12_6C5C_4BE0_9897_E6710354124D_.wvu.Rows" localSheetId="23" hidden="1">'24'!#REF!,'24'!#REF!,'24'!#REF!,'24'!#REF!,'24'!#REF!,'24'!#REF!,'24'!#REF!</definedName>
    <definedName name="Z_A0F29F5B_FB6E_4C5E_B7A7_CDA651D38207_.wvu.Rows" localSheetId="23" hidden="1">'24'!#REF!,'24'!#REF!,'24'!#REF!,'24'!#REF!,'24'!#REF!,'24'!#REF!,'24'!#REF!</definedName>
    <definedName name="Z_A567DF6A_4F50_45D4_A9C8_0879E17AFD34_.wvu.Rows" localSheetId="23" hidden="1">'24'!#REF!,'24'!#REF!,'24'!#REF!,'24'!#REF!,'24'!#REF!,'24'!#REF!,'24'!#REF!</definedName>
    <definedName name="Z_B2CFD8C8_F8F8_47F1_9207_6BE81612C01C_.wvu.Rows" localSheetId="23" hidden="1">'24'!#REF!,'24'!#REF!,'24'!#REF!,'24'!#REF!,'24'!#REF!,'24'!#REF!,'24'!#REF!</definedName>
    <definedName name="Z_BBF15C7D_3EAF_4D98_9096_5B67F6C46C47_.wvu.Rows" localSheetId="23" hidden="1">'24'!#REF!,'24'!#REF!,'24'!#REF!,'24'!#REF!,'24'!#REF!,'24'!#REF!</definedName>
    <definedName name="Z_C122BF8D_C115_42E1_B73A_F9B38D5EC060_.wvu.Rows" localSheetId="23" hidden="1">'24'!#REF!,'24'!#REF!,'24'!#REF!,'24'!#REF!,'24'!#REF!,'24'!#REF!,'24'!#REF!</definedName>
    <definedName name="Z_C4D254D6_9D1C_4B3C_972D_15957FD05DD2_.wvu.Rows" localSheetId="23" hidden="1">'24'!#REF!,'24'!#REF!,'24'!#REF!,'24'!#REF!,'24'!#REF!,'24'!#REF!,'24'!#REF!</definedName>
    <definedName name="Z_D4664C56_FB8A_499D_8E24_CCA12F97FAE9_.wvu.Rows" localSheetId="23" hidden="1">'24'!#REF!,'24'!#REF!,'24'!#REF!,'24'!#REF!,'24'!#REF!,'24'!#REF!,'24'!#REF!</definedName>
    <definedName name="Z_DD995061_F552_4E13_8D40_A47EBB03245B_.wvu.Rows" localSheetId="23" hidden="1">'24'!#REF!,'24'!#REF!,'24'!#REF!,'24'!#REF!,'24'!#REF!,'24'!#REF!,'24'!#REF!</definedName>
    <definedName name="Z_DE2F0B4F_79DE_40A0_A13B_9C7F63D3F970_.wvu.Rows" localSheetId="23" hidden="1">'24'!#REF!,'24'!#REF!,'24'!#REF!,'24'!#REF!,'24'!#REF!,'24'!#REF!,'24'!#REF!</definedName>
    <definedName name="Z_E765F84B_EAF3_44AE_A058_C602C1E67401_.wvu.Rows" localSheetId="23" hidden="1">'24'!#REF!,'24'!#REF!,'24'!#REF!,'24'!#REF!,'24'!#REF!,'24'!#REF!,'24'!#REF!</definedName>
    <definedName name="Z_F34DD4D3_7189_47AF_B853_F133E36CF124_.wvu.Rows" localSheetId="23" hidden="1">'24'!#REF!,'24'!#REF!,'24'!#REF!,'24'!#REF!,'24'!#REF!,'24'!#REF!,'24'!#REF!</definedName>
    <definedName name="Z_F82F81AB_9C82_4E79_8CA3_CEB2B994FC06_.wvu.Rows" localSheetId="23" hidden="1">'24'!#REF!,'24'!#REF!,'24'!#REF!,'24'!#REF!,'24'!#REF!,'24'!#REF!,'24'!#REF!</definedName>
    <definedName name="Z_F89CD5B0_594D_4248_B45D_59008422D599_.wvu.Rows" localSheetId="23" hidden="1">'24'!#REF!,'24'!#REF!,'24'!#REF!,'24'!#REF!,'24'!#REF!,'24'!#REF!,'24'!#REF!</definedName>
    <definedName name="Z_03FBB0AD_5353_49C6_B595_178BC13C96AE_.wvu.Rows" localSheetId="24" hidden="1">'25'!#REF!,'25'!#REF!,'25'!#REF!,'25'!#REF!,'25'!#REF!,'25'!#REF!,'25'!#REF!</definedName>
    <definedName name="Z_070961C3_1DC2_4518_83D7_B3F54BC58AE2_.wvu.Rows" localSheetId="24" hidden="1">'25'!#REF!,'25'!#REF!,'25'!#REF!,'25'!#REF!,'25'!#REF!,'25'!#REF!,'25'!#REF!</definedName>
    <definedName name="Z_0B87D63B_15AD_4587_A73B_CA4B62BDFA01_.wvu.Rows" localSheetId="24" hidden="1">'25'!#REF!,'25'!#REF!,'25'!#REF!,'25'!#REF!,'25'!#REF!,'25'!#REF!,'25'!#REF!</definedName>
    <definedName name="Z_1B9AB2B5_0A50_46C3_981D_8BE75BF62E46_.wvu.Rows" localSheetId="24" hidden="1">'25'!#REF!,'25'!#REF!,'25'!#REF!,'25'!#REF!,'25'!#REF!,'25'!#REF!,'25'!#REF!</definedName>
    <definedName name="Z_20A0B2F7_9F51_4E3D_A024_0877F1F98F8D_.wvu.Rows" localSheetId="24" hidden="1">'25'!#REF!,'25'!#REF!,'25'!#REF!,'25'!#REF!,'25'!#REF!,'25'!#REF!,'25'!#REF!</definedName>
    <definedName name="Z_2C3A3C66_1522_4337_93AC_DFC422DC8462_.wvu.Rows" localSheetId="24" hidden="1">'25'!#REF!,'25'!#REF!,'25'!#REF!,'25'!#REF!,'25'!#REF!,'25'!#REF!,'25'!#REF!</definedName>
    <definedName name="Z_2E074C0E_3584_4321_A729_0961B34312BF_.wvu.Rows" localSheetId="24" hidden="1">'25'!#REF!,'25'!#REF!,'25'!#REF!,'25'!#REF!,'25'!#REF!,'25'!#REF!,'25'!#REF!</definedName>
    <definedName name="Z_2FFCC83E_A488_4450_9F9E_FF506EAEF5FC_.wvu.Rows" localSheetId="24" hidden="1">'25'!#REF!,'25'!#REF!,'25'!#REF!,'25'!#REF!,'25'!#REF!,'25'!#REF!,'25'!#REF!</definedName>
    <definedName name="Z_3351A924_D23D_45D7_8354_55677D787CA4_.wvu.Rows" localSheetId="24" hidden="1">'25'!#REF!,'25'!#REF!,'25'!#REF!,'25'!#REF!,'25'!#REF!,'25'!#REF!,'25'!#REF!</definedName>
    <definedName name="Z_51E3BC0E_B24A_447A_BC0A_03881122E44E_.wvu.Rows" localSheetId="24" hidden="1">'25'!#REF!,'25'!#REF!,'25'!#REF!,'25'!#REF!,'25'!#REF!,'25'!#REF!,'25'!#REF!</definedName>
    <definedName name="Z_5C60C8F2_A96A_4286_AB69_6A192D48B52D_.wvu.Rows" localSheetId="24" hidden="1">'25'!#REF!,'25'!#REF!,'25'!#REF!,'25'!#REF!,'25'!#REF!,'25'!#REF!,'25'!#REF!</definedName>
    <definedName name="Z_667B099C_8E79_4490_AC67_CFE2B9F8FC8D_.wvu.Rows" localSheetId="24" hidden="1">'25'!#REF!,'25'!#REF!,'25'!#REF!,'25'!#REF!,'25'!#REF!,'25'!#REF!,'25'!#REF!</definedName>
    <definedName name="Z_696C5A08_6B5C_4B07_9B14_11E12159ACF3_.wvu.Rows" localSheetId="24" hidden="1">'25'!#REF!,'25'!#REF!,'25'!#REF!,'25'!#REF!,'25'!#REF!,'25'!#REF!</definedName>
    <definedName name="Z_743813BC_E137_480B_B63F_29E16C4A5D78_.wvu.Rows" localSheetId="24" hidden="1">'25'!#REF!,'25'!#REF!,'25'!#REF!,'25'!#REF!,'25'!#REF!,'25'!#REF!,'25'!#REF!</definedName>
    <definedName name="Z_7CD6C56D_7191_499D_884D_23F062610490_.wvu.Rows" localSheetId="24" hidden="1">'25'!#REF!,'25'!#REF!,'25'!#REF!,'25'!#REF!,'25'!#REF!,'25'!#REF!,'25'!#REF!</definedName>
    <definedName name="Z_8AB826A3_3F9F_46E8_8B3C_5D723650CD25_.wvu.Rows" localSheetId="24" hidden="1">'25'!#REF!,'25'!#REF!,'25'!#REF!,'25'!#REF!,'25'!#REF!,'25'!#REF!,'25'!#REF!</definedName>
    <definedName name="Z_9231B71C_ABB0_4122_BB61_A0E14ED7FAC4_.wvu.Rows" localSheetId="24" hidden="1">'25'!#REF!,'25'!#REF!,'25'!#REF!,'25'!#REF!,'25'!#REF!,'25'!#REF!,'25'!#REF!</definedName>
    <definedName name="Z_9CE42830_1BFE_4EEE_AD75_1C30A69A86B1_.wvu.Rows" localSheetId="24" hidden="1">'25'!#REF!,'25'!#REF!,'25'!#REF!,'25'!#REF!,'25'!#REF!,'25'!#REF!,'25'!#REF!</definedName>
    <definedName name="Z_9EA36D12_6C5C_4BE0_9897_E6710354124D_.wvu.Rows" localSheetId="24" hidden="1">'25'!#REF!,'25'!#REF!,'25'!#REF!,'25'!#REF!,'25'!#REF!,'25'!#REF!,'25'!#REF!</definedName>
    <definedName name="Z_A0F29F5B_FB6E_4C5E_B7A7_CDA651D38207_.wvu.Rows" localSheetId="24" hidden="1">'25'!#REF!,'25'!#REF!,'25'!#REF!,'25'!#REF!,'25'!#REF!,'25'!#REF!,'25'!#REF!</definedName>
    <definedName name="Z_A567DF6A_4F50_45D4_A9C8_0879E17AFD34_.wvu.Rows" localSheetId="24" hidden="1">'25'!#REF!,'25'!#REF!,'25'!#REF!,'25'!#REF!,'25'!#REF!,'25'!#REF!,'25'!#REF!</definedName>
    <definedName name="Z_B2CFD8C8_F8F8_47F1_9207_6BE81612C01C_.wvu.Rows" localSheetId="24" hidden="1">'25'!#REF!,'25'!#REF!,'25'!#REF!,'25'!#REF!,'25'!#REF!,'25'!#REF!,'25'!#REF!</definedName>
    <definedName name="Z_BBF15C7D_3EAF_4D98_9096_5B67F6C46C47_.wvu.Rows" localSheetId="24" hidden="1">'25'!#REF!,'25'!#REF!,'25'!#REF!,'25'!#REF!,'25'!#REF!,'25'!#REF!</definedName>
    <definedName name="Z_C122BF8D_C115_42E1_B73A_F9B38D5EC060_.wvu.Rows" localSheetId="24" hidden="1">'25'!#REF!,'25'!#REF!,'25'!#REF!,'25'!#REF!,'25'!#REF!,'25'!#REF!,'25'!#REF!</definedName>
    <definedName name="Z_C4D254D6_9D1C_4B3C_972D_15957FD05DD2_.wvu.Rows" localSheetId="24" hidden="1">'25'!#REF!,'25'!#REF!,'25'!#REF!,'25'!#REF!,'25'!#REF!,'25'!#REF!,'25'!#REF!</definedName>
    <definedName name="Z_D4664C56_FB8A_499D_8E24_CCA12F97FAE9_.wvu.Rows" localSheetId="24" hidden="1">'25'!#REF!,'25'!#REF!,'25'!#REF!,'25'!#REF!,'25'!#REF!,'25'!#REF!,'25'!#REF!</definedName>
    <definedName name="Z_DD995061_F552_4E13_8D40_A47EBB03245B_.wvu.Rows" localSheetId="24" hidden="1">'25'!#REF!,'25'!#REF!,'25'!#REF!,'25'!#REF!,'25'!#REF!,'25'!#REF!,'25'!#REF!</definedName>
    <definedName name="Z_DE2F0B4F_79DE_40A0_A13B_9C7F63D3F970_.wvu.Rows" localSheetId="24" hidden="1">'25'!#REF!,'25'!#REF!,'25'!#REF!,'25'!#REF!,'25'!#REF!,'25'!#REF!,'25'!#REF!</definedName>
    <definedName name="Z_E765F84B_EAF3_44AE_A058_C602C1E67401_.wvu.Rows" localSheetId="24" hidden="1">'25'!#REF!,'25'!#REF!,'25'!#REF!,'25'!#REF!,'25'!#REF!,'25'!#REF!,'25'!#REF!</definedName>
    <definedName name="Z_F34DD4D3_7189_47AF_B853_F133E36CF124_.wvu.Rows" localSheetId="24" hidden="1">'25'!#REF!,'25'!#REF!,'25'!#REF!,'25'!#REF!,'25'!#REF!,'25'!#REF!,'25'!#REF!</definedName>
    <definedName name="Z_F82F81AB_9C82_4E79_8CA3_CEB2B994FC06_.wvu.Rows" localSheetId="24" hidden="1">'25'!#REF!,'25'!#REF!,'25'!#REF!,'25'!#REF!,'25'!#REF!,'25'!#REF!,'25'!#REF!</definedName>
    <definedName name="Z_F89CD5B0_594D_4248_B45D_59008422D599_.wvu.Rows" localSheetId="24" hidden="1">'25'!#REF!,'25'!#REF!,'25'!#REF!,'25'!#REF!,'25'!#REF!,'25'!#REF!,'25'!#REF!</definedName>
    <definedName name="Z_03FBB0AD_5353_49C6_B595_178BC13C96AE_.wvu.Rows" localSheetId="25" hidden="1">'26'!#REF!,'26'!#REF!,'26'!#REF!,'26'!#REF!,'26'!#REF!,'26'!#REF!,'26'!#REF!</definedName>
    <definedName name="Z_070961C3_1DC2_4518_83D7_B3F54BC58AE2_.wvu.Rows" localSheetId="25" hidden="1">'26'!#REF!,'26'!#REF!,'26'!#REF!,'26'!#REF!,'26'!#REF!,'26'!#REF!,'26'!#REF!</definedName>
    <definedName name="Z_0B87D63B_15AD_4587_A73B_CA4B62BDFA01_.wvu.Rows" localSheetId="25" hidden="1">'26'!#REF!,'26'!#REF!,'26'!#REF!,'26'!#REF!,'26'!#REF!,'26'!#REF!,'26'!#REF!</definedName>
    <definedName name="Z_1B9AB2B5_0A50_46C3_981D_8BE75BF62E46_.wvu.Rows" localSheetId="25" hidden="1">'26'!#REF!,'26'!#REF!,'26'!#REF!,'26'!#REF!,'26'!#REF!,'26'!#REF!,'26'!#REF!</definedName>
    <definedName name="Z_20A0B2F7_9F51_4E3D_A024_0877F1F98F8D_.wvu.Rows" localSheetId="25" hidden="1">'26'!#REF!,'26'!#REF!,'26'!#REF!,'26'!#REF!,'26'!#REF!,'26'!#REF!,'26'!#REF!</definedName>
    <definedName name="Z_2C3A3C66_1522_4337_93AC_DFC422DC8462_.wvu.Rows" localSheetId="25" hidden="1">'26'!#REF!,'26'!#REF!,'26'!#REF!,'26'!#REF!,'26'!#REF!,'26'!#REF!,'26'!#REF!</definedName>
    <definedName name="Z_2E074C0E_3584_4321_A729_0961B34312BF_.wvu.Rows" localSheetId="25" hidden="1">'26'!#REF!,'26'!#REF!,'26'!#REF!,'26'!#REF!,'26'!#REF!,'26'!#REF!,'26'!#REF!</definedName>
    <definedName name="Z_2FFCC83E_A488_4450_9F9E_FF506EAEF5FC_.wvu.Rows" localSheetId="25" hidden="1">'26'!#REF!,'26'!#REF!,'26'!#REF!,'26'!#REF!,'26'!#REF!,'26'!#REF!,'26'!#REF!</definedName>
    <definedName name="Z_3351A924_D23D_45D7_8354_55677D787CA4_.wvu.Rows" localSheetId="25" hidden="1">'26'!#REF!,'26'!#REF!,'26'!#REF!,'26'!#REF!,'26'!#REF!,'26'!#REF!,'26'!#REF!</definedName>
    <definedName name="Z_51E3BC0E_B24A_447A_BC0A_03881122E44E_.wvu.Rows" localSheetId="25" hidden="1">'26'!#REF!,'26'!#REF!,'26'!#REF!,'26'!#REF!,'26'!#REF!,'26'!#REF!,'26'!#REF!</definedName>
    <definedName name="Z_5C60C8F2_A96A_4286_AB69_6A192D48B52D_.wvu.Rows" localSheetId="25" hidden="1">'26'!#REF!,'26'!#REF!,'26'!#REF!,'26'!#REF!,'26'!#REF!,'26'!#REF!,'26'!#REF!</definedName>
    <definedName name="Z_667B099C_8E79_4490_AC67_CFE2B9F8FC8D_.wvu.Rows" localSheetId="25" hidden="1">'26'!#REF!,'26'!#REF!,'26'!#REF!,'26'!#REF!,'26'!#REF!,'26'!#REF!,'26'!#REF!</definedName>
    <definedName name="Z_696C5A08_6B5C_4B07_9B14_11E12159ACF3_.wvu.Rows" localSheetId="25" hidden="1">'26'!#REF!,'26'!#REF!,'26'!#REF!,'26'!#REF!,'26'!#REF!,'26'!#REF!</definedName>
    <definedName name="Z_743813BC_E137_480B_B63F_29E16C4A5D78_.wvu.Rows" localSheetId="25" hidden="1">'26'!#REF!,'26'!#REF!,'26'!#REF!,'26'!#REF!,'26'!#REF!,'26'!#REF!,'26'!#REF!</definedName>
    <definedName name="Z_7CD6C56D_7191_499D_884D_23F062610490_.wvu.Rows" localSheetId="25" hidden="1">'26'!#REF!,'26'!#REF!,'26'!#REF!,'26'!#REF!,'26'!#REF!,'26'!#REF!,'26'!#REF!</definedName>
    <definedName name="Z_8AB826A3_3F9F_46E8_8B3C_5D723650CD25_.wvu.Rows" localSheetId="25" hidden="1">'26'!#REF!,'26'!#REF!,'26'!#REF!,'26'!#REF!,'26'!#REF!,'26'!#REF!,'26'!#REF!</definedName>
    <definedName name="Z_9231B71C_ABB0_4122_BB61_A0E14ED7FAC4_.wvu.Rows" localSheetId="25" hidden="1">'26'!#REF!,'26'!#REF!,'26'!#REF!,'26'!#REF!,'26'!#REF!,'26'!#REF!,'26'!#REF!</definedName>
    <definedName name="Z_9CE42830_1BFE_4EEE_AD75_1C30A69A86B1_.wvu.Rows" localSheetId="25" hidden="1">'26'!#REF!,'26'!#REF!,'26'!#REF!,'26'!#REF!,'26'!#REF!,'26'!#REF!,'26'!#REF!</definedName>
    <definedName name="Z_9EA36D12_6C5C_4BE0_9897_E6710354124D_.wvu.Rows" localSheetId="25" hidden="1">'26'!#REF!,'26'!#REF!,'26'!#REF!,'26'!#REF!,'26'!#REF!,'26'!#REF!,'26'!#REF!</definedName>
    <definedName name="Z_A0F29F5B_FB6E_4C5E_B7A7_CDA651D38207_.wvu.Rows" localSheetId="25" hidden="1">'26'!#REF!,'26'!#REF!,'26'!#REF!,'26'!#REF!,'26'!#REF!,'26'!#REF!,'26'!#REF!</definedName>
    <definedName name="Z_A567DF6A_4F50_45D4_A9C8_0879E17AFD34_.wvu.Rows" localSheetId="25" hidden="1">'26'!#REF!,'26'!#REF!,'26'!#REF!,'26'!#REF!,'26'!#REF!,'26'!#REF!,'26'!#REF!</definedName>
    <definedName name="Z_B2CFD8C8_F8F8_47F1_9207_6BE81612C01C_.wvu.Rows" localSheetId="25" hidden="1">'26'!#REF!,'26'!#REF!,'26'!#REF!,'26'!#REF!,'26'!#REF!,'26'!#REF!,'26'!#REF!</definedName>
    <definedName name="Z_BBF15C7D_3EAF_4D98_9096_5B67F6C46C47_.wvu.Rows" localSheetId="25" hidden="1">'26'!#REF!,'26'!#REF!,'26'!#REF!,'26'!#REF!,'26'!#REF!,'26'!#REF!</definedName>
    <definedName name="Z_C122BF8D_C115_42E1_B73A_F9B38D5EC060_.wvu.Rows" localSheetId="25" hidden="1">'26'!#REF!,'26'!#REF!,'26'!#REF!,'26'!#REF!,'26'!#REF!,'26'!#REF!,'26'!#REF!</definedName>
    <definedName name="Z_C4D254D6_9D1C_4B3C_972D_15957FD05DD2_.wvu.Rows" localSheetId="25" hidden="1">'26'!#REF!,'26'!#REF!,'26'!#REF!,'26'!#REF!,'26'!#REF!,'26'!#REF!,'26'!#REF!</definedName>
    <definedName name="Z_D4664C56_FB8A_499D_8E24_CCA12F97FAE9_.wvu.Rows" localSheetId="25" hidden="1">'26'!#REF!,'26'!#REF!,'26'!#REF!,'26'!#REF!,'26'!#REF!,'26'!#REF!,'26'!#REF!</definedName>
    <definedName name="Z_DD995061_F552_4E13_8D40_A47EBB03245B_.wvu.Rows" localSheetId="25" hidden="1">'26'!#REF!,'26'!#REF!,'26'!#REF!,'26'!#REF!,'26'!#REF!,'26'!#REF!,'26'!#REF!</definedName>
    <definedName name="Z_DE2F0B4F_79DE_40A0_A13B_9C7F63D3F970_.wvu.Rows" localSheetId="25" hidden="1">'26'!#REF!,'26'!#REF!,'26'!#REF!,'26'!#REF!,'26'!#REF!,'26'!#REF!,'26'!#REF!</definedName>
    <definedName name="Z_E765F84B_EAF3_44AE_A058_C602C1E67401_.wvu.Rows" localSheetId="25" hidden="1">'26'!#REF!,'26'!#REF!,'26'!#REF!,'26'!#REF!,'26'!#REF!,'26'!#REF!,'26'!#REF!</definedName>
    <definedName name="Z_F34DD4D3_7189_47AF_B853_F133E36CF124_.wvu.Rows" localSheetId="25" hidden="1">'26'!#REF!,'26'!#REF!,'26'!#REF!,'26'!#REF!,'26'!#REF!,'26'!#REF!,'26'!#REF!</definedName>
    <definedName name="Z_F82F81AB_9C82_4E79_8CA3_CEB2B994FC06_.wvu.Rows" localSheetId="25" hidden="1">'26'!#REF!,'26'!#REF!,'26'!#REF!,'26'!#REF!,'26'!#REF!,'26'!#REF!,'26'!#REF!</definedName>
    <definedName name="Z_F89CD5B0_594D_4248_B45D_59008422D599_.wvu.Rows" localSheetId="25" hidden="1">'26'!#REF!,'26'!#REF!,'26'!#REF!,'26'!#REF!,'26'!#REF!,'26'!#REF!,'26'!#REF!</definedName>
    <definedName name="Z_03FBB0AD_5353_49C6_B595_178BC13C96AE_.wvu.Rows" localSheetId="26" hidden="1">'27'!#REF!,'27'!#REF!,'27'!#REF!,'27'!#REF!,'27'!#REF!,'27'!#REF!,'27'!#REF!</definedName>
    <definedName name="Z_070961C3_1DC2_4518_83D7_B3F54BC58AE2_.wvu.Rows" localSheetId="26" hidden="1">'27'!#REF!,'27'!#REF!,'27'!#REF!,'27'!#REF!,'27'!#REF!,'27'!#REF!,'27'!#REF!</definedName>
    <definedName name="Z_0B87D63B_15AD_4587_A73B_CA4B62BDFA01_.wvu.Rows" localSheetId="26" hidden="1">'27'!#REF!,'27'!#REF!,'27'!#REF!,'27'!#REF!,'27'!#REF!,'27'!#REF!,'27'!#REF!</definedName>
    <definedName name="Z_1B9AB2B5_0A50_46C3_981D_8BE75BF62E46_.wvu.Rows" localSheetId="26" hidden="1">'27'!#REF!,'27'!#REF!,'27'!#REF!,'27'!#REF!,'27'!#REF!,'27'!#REF!,'27'!#REF!</definedName>
    <definedName name="Z_20A0B2F7_9F51_4E3D_A024_0877F1F98F8D_.wvu.Rows" localSheetId="26" hidden="1">'27'!#REF!,'27'!#REF!,'27'!#REF!,'27'!#REF!,'27'!#REF!,'27'!#REF!,'27'!#REF!</definedName>
    <definedName name="Z_2C3A3C66_1522_4337_93AC_DFC422DC8462_.wvu.Rows" localSheetId="26" hidden="1">'27'!#REF!,'27'!#REF!,'27'!#REF!,'27'!#REF!,'27'!#REF!,'27'!#REF!,'27'!#REF!</definedName>
    <definedName name="Z_2E074C0E_3584_4321_A729_0961B34312BF_.wvu.Rows" localSheetId="26" hidden="1">'27'!#REF!,'27'!#REF!,'27'!#REF!,'27'!#REF!,'27'!#REF!,'27'!#REF!,'27'!#REF!</definedName>
    <definedName name="Z_2FFCC83E_A488_4450_9F9E_FF506EAEF5FC_.wvu.Rows" localSheetId="26" hidden="1">'27'!#REF!,'27'!#REF!,'27'!#REF!,'27'!#REF!,'27'!#REF!,'27'!#REF!,'27'!#REF!</definedName>
    <definedName name="Z_3351A924_D23D_45D7_8354_55677D787CA4_.wvu.Rows" localSheetId="26" hidden="1">'27'!#REF!,'27'!#REF!,'27'!#REF!,'27'!#REF!,'27'!#REF!,'27'!#REF!,'27'!#REF!</definedName>
    <definedName name="Z_51E3BC0E_B24A_447A_BC0A_03881122E44E_.wvu.Rows" localSheetId="26" hidden="1">'27'!#REF!,'27'!#REF!,'27'!#REF!,'27'!#REF!,'27'!#REF!,'27'!#REF!,'27'!#REF!</definedName>
    <definedName name="Z_5C60C8F2_A96A_4286_AB69_6A192D48B52D_.wvu.Rows" localSheetId="26" hidden="1">'27'!#REF!,'27'!#REF!,'27'!#REF!,'27'!#REF!,'27'!#REF!,'27'!#REF!,'27'!#REF!</definedName>
    <definedName name="Z_667B099C_8E79_4490_AC67_CFE2B9F8FC8D_.wvu.Rows" localSheetId="26" hidden="1">'27'!#REF!,'27'!#REF!,'27'!#REF!,'27'!#REF!,'27'!#REF!,'27'!#REF!,'27'!#REF!</definedName>
    <definedName name="Z_696C5A08_6B5C_4B07_9B14_11E12159ACF3_.wvu.Rows" localSheetId="26" hidden="1">'27'!#REF!,'27'!#REF!,'27'!#REF!,'27'!#REF!,'27'!#REF!,'27'!#REF!</definedName>
    <definedName name="Z_743813BC_E137_480B_B63F_29E16C4A5D78_.wvu.Rows" localSheetId="26" hidden="1">'27'!#REF!,'27'!#REF!,'27'!#REF!,'27'!#REF!,'27'!#REF!,'27'!#REF!,'27'!#REF!</definedName>
    <definedName name="Z_7CD6C56D_7191_499D_884D_23F062610490_.wvu.Rows" localSheetId="26" hidden="1">'27'!#REF!,'27'!#REF!,'27'!#REF!,'27'!#REF!,'27'!#REF!,'27'!#REF!,'27'!#REF!</definedName>
    <definedName name="Z_8AB826A3_3F9F_46E8_8B3C_5D723650CD25_.wvu.Rows" localSheetId="26" hidden="1">'27'!#REF!,'27'!#REF!,'27'!#REF!,'27'!#REF!,'27'!#REF!,'27'!#REF!,'27'!#REF!</definedName>
    <definedName name="Z_9231B71C_ABB0_4122_BB61_A0E14ED7FAC4_.wvu.Rows" localSheetId="26" hidden="1">'27'!#REF!,'27'!#REF!,'27'!#REF!,'27'!#REF!,'27'!#REF!,'27'!#REF!,'27'!#REF!</definedName>
    <definedName name="Z_9CE42830_1BFE_4EEE_AD75_1C30A69A86B1_.wvu.Rows" localSheetId="26" hidden="1">'27'!#REF!,'27'!#REF!,'27'!#REF!,'27'!#REF!,'27'!#REF!,'27'!#REF!,'27'!#REF!</definedName>
    <definedName name="Z_9EA36D12_6C5C_4BE0_9897_E6710354124D_.wvu.Rows" localSheetId="26" hidden="1">'27'!#REF!,'27'!#REF!,'27'!#REF!,'27'!#REF!,'27'!#REF!,'27'!#REF!,'27'!#REF!</definedName>
    <definedName name="Z_A0F29F5B_FB6E_4C5E_B7A7_CDA651D38207_.wvu.Rows" localSheetId="26" hidden="1">'27'!#REF!,'27'!#REF!,'27'!#REF!,'27'!#REF!,'27'!#REF!,'27'!#REF!,'27'!#REF!</definedName>
    <definedName name="Z_A567DF6A_4F50_45D4_A9C8_0879E17AFD34_.wvu.Rows" localSheetId="26" hidden="1">'27'!#REF!,'27'!#REF!,'27'!#REF!,'27'!#REF!,'27'!#REF!,'27'!#REF!,'27'!#REF!</definedName>
    <definedName name="Z_B2CFD8C8_F8F8_47F1_9207_6BE81612C01C_.wvu.Rows" localSheetId="26" hidden="1">'27'!#REF!,'27'!#REF!,'27'!#REF!,'27'!#REF!,'27'!#REF!,'27'!#REF!,'27'!#REF!</definedName>
    <definedName name="Z_BBF15C7D_3EAF_4D98_9096_5B67F6C46C47_.wvu.Rows" localSheetId="26" hidden="1">'27'!#REF!,'27'!#REF!,'27'!#REF!,'27'!#REF!,'27'!#REF!,'27'!#REF!</definedName>
    <definedName name="Z_C122BF8D_C115_42E1_B73A_F9B38D5EC060_.wvu.Rows" localSheetId="26" hidden="1">'27'!#REF!,'27'!#REF!,'27'!#REF!,'27'!#REF!,'27'!#REF!,'27'!#REF!,'27'!#REF!</definedName>
    <definedName name="Z_C4D254D6_9D1C_4B3C_972D_15957FD05DD2_.wvu.Rows" localSheetId="26" hidden="1">'27'!#REF!,'27'!#REF!,'27'!#REF!,'27'!#REF!,'27'!#REF!,'27'!#REF!,'27'!#REF!</definedName>
    <definedName name="Z_D4664C56_FB8A_499D_8E24_CCA12F97FAE9_.wvu.Rows" localSheetId="26" hidden="1">'27'!#REF!,'27'!#REF!,'27'!#REF!,'27'!#REF!,'27'!#REF!,'27'!#REF!,'27'!#REF!</definedName>
    <definedName name="Z_DD995061_F552_4E13_8D40_A47EBB03245B_.wvu.Rows" localSheetId="26" hidden="1">'27'!#REF!,'27'!#REF!,'27'!#REF!,'27'!#REF!,'27'!#REF!,'27'!#REF!,'27'!#REF!</definedName>
    <definedName name="Z_DE2F0B4F_79DE_40A0_A13B_9C7F63D3F970_.wvu.Rows" localSheetId="26" hidden="1">'27'!#REF!,'27'!#REF!,'27'!#REF!,'27'!#REF!,'27'!#REF!,'27'!#REF!,'27'!#REF!</definedName>
    <definedName name="Z_E765F84B_EAF3_44AE_A058_C602C1E67401_.wvu.Rows" localSheetId="26" hidden="1">'27'!#REF!,'27'!#REF!,'27'!#REF!,'27'!#REF!,'27'!#REF!,'27'!#REF!,'27'!#REF!</definedName>
    <definedName name="Z_F34DD4D3_7189_47AF_B853_F133E36CF124_.wvu.Rows" localSheetId="26" hidden="1">'27'!#REF!,'27'!#REF!,'27'!#REF!,'27'!#REF!,'27'!#REF!,'27'!#REF!,'27'!#REF!</definedName>
    <definedName name="Z_F82F81AB_9C82_4E79_8CA3_CEB2B994FC06_.wvu.Rows" localSheetId="26" hidden="1">'27'!#REF!,'27'!#REF!,'27'!#REF!,'27'!#REF!,'27'!#REF!,'27'!#REF!,'27'!#REF!</definedName>
    <definedName name="Z_F89CD5B0_594D_4248_B45D_59008422D599_.wvu.Rows" localSheetId="26" hidden="1">'27'!#REF!,'27'!#REF!,'27'!#REF!,'27'!#REF!,'27'!#REF!,'27'!#REF!,'27'!#REF!</definedName>
    <definedName name="Z_03FBB0AD_5353_49C6_B595_178BC13C96AE_.wvu.Rows" localSheetId="27" hidden="1">'28'!#REF!,'28'!#REF!,'28'!#REF!,'28'!#REF!,'28'!#REF!,'28'!#REF!,'28'!#REF!</definedName>
    <definedName name="Z_070961C3_1DC2_4518_83D7_B3F54BC58AE2_.wvu.Rows" localSheetId="27" hidden="1">'28'!#REF!,'28'!#REF!,'28'!#REF!,'28'!#REF!,'28'!#REF!,'28'!#REF!,'28'!#REF!</definedName>
    <definedName name="Z_0B87D63B_15AD_4587_A73B_CA4B62BDFA01_.wvu.Rows" localSheetId="27" hidden="1">'28'!#REF!,'28'!#REF!,'28'!#REF!,'28'!#REF!,'28'!#REF!,'28'!#REF!,'28'!#REF!</definedName>
    <definedName name="Z_1B9AB2B5_0A50_46C3_981D_8BE75BF62E46_.wvu.Rows" localSheetId="27" hidden="1">'28'!#REF!,'28'!#REF!,'28'!#REF!,'28'!#REF!,'28'!#REF!,'28'!#REF!,'28'!#REF!</definedName>
    <definedName name="Z_20A0B2F7_9F51_4E3D_A024_0877F1F98F8D_.wvu.Rows" localSheetId="27" hidden="1">'28'!#REF!,'28'!#REF!,'28'!#REF!,'28'!#REF!,'28'!#REF!,'28'!#REF!,'28'!#REF!</definedName>
    <definedName name="Z_2C3A3C66_1522_4337_93AC_DFC422DC8462_.wvu.Rows" localSheetId="27" hidden="1">'28'!#REF!,'28'!#REF!,'28'!#REF!,'28'!#REF!,'28'!#REF!,'28'!#REF!,'28'!#REF!</definedName>
    <definedName name="Z_2E074C0E_3584_4321_A729_0961B34312BF_.wvu.Rows" localSheetId="27" hidden="1">'28'!#REF!,'28'!#REF!,'28'!#REF!,'28'!#REF!,'28'!#REF!,'28'!#REF!,'28'!#REF!</definedName>
    <definedName name="Z_2FFCC83E_A488_4450_9F9E_FF506EAEF5FC_.wvu.Rows" localSheetId="27" hidden="1">'28'!#REF!,'28'!#REF!,'28'!#REF!,'28'!#REF!,'28'!#REF!,'28'!#REF!,'28'!#REF!</definedName>
    <definedName name="Z_3351A924_D23D_45D7_8354_55677D787CA4_.wvu.Rows" localSheetId="27" hidden="1">'28'!#REF!,'28'!#REF!,'28'!#REF!,'28'!#REF!,'28'!#REF!,'28'!#REF!,'28'!#REF!</definedName>
    <definedName name="Z_51E3BC0E_B24A_447A_BC0A_03881122E44E_.wvu.Rows" localSheetId="27" hidden="1">'28'!#REF!,'28'!#REF!,'28'!#REF!,'28'!#REF!,'28'!#REF!,'28'!#REF!,'28'!#REF!</definedName>
    <definedName name="Z_5C60C8F2_A96A_4286_AB69_6A192D48B52D_.wvu.Rows" localSheetId="27" hidden="1">'28'!#REF!,'28'!#REF!,'28'!#REF!,'28'!#REF!,'28'!#REF!,'28'!#REF!,'28'!#REF!</definedName>
    <definedName name="Z_667B099C_8E79_4490_AC67_CFE2B9F8FC8D_.wvu.Rows" localSheetId="27" hidden="1">'28'!#REF!,'28'!#REF!,'28'!#REF!,'28'!#REF!,'28'!#REF!,'28'!#REF!,'28'!#REF!</definedName>
    <definedName name="Z_696C5A08_6B5C_4B07_9B14_11E12159ACF3_.wvu.Rows" localSheetId="27" hidden="1">'28'!#REF!,'28'!#REF!,'28'!#REF!,'28'!#REF!,'28'!#REF!,'28'!#REF!</definedName>
    <definedName name="Z_743813BC_E137_480B_B63F_29E16C4A5D78_.wvu.Rows" localSheetId="27" hidden="1">'28'!#REF!,'28'!#REF!,'28'!#REF!,'28'!#REF!,'28'!#REF!,'28'!#REF!,'28'!#REF!</definedName>
    <definedName name="Z_7CD6C56D_7191_499D_884D_23F062610490_.wvu.Rows" localSheetId="27" hidden="1">'28'!#REF!,'28'!#REF!,'28'!#REF!,'28'!#REF!,'28'!#REF!,'28'!#REF!,'28'!#REF!</definedName>
    <definedName name="Z_8AB826A3_3F9F_46E8_8B3C_5D723650CD25_.wvu.Rows" localSheetId="27" hidden="1">'28'!#REF!,'28'!#REF!,'28'!#REF!,'28'!#REF!,'28'!#REF!,'28'!#REF!,'28'!#REF!</definedName>
    <definedName name="Z_9231B71C_ABB0_4122_BB61_A0E14ED7FAC4_.wvu.Rows" localSheetId="27" hidden="1">'28'!#REF!,'28'!#REF!,'28'!#REF!,'28'!#REF!,'28'!#REF!,'28'!#REF!,'28'!#REF!</definedName>
    <definedName name="Z_9CE42830_1BFE_4EEE_AD75_1C30A69A86B1_.wvu.Rows" localSheetId="27" hidden="1">'28'!#REF!,'28'!#REF!,'28'!#REF!,'28'!#REF!,'28'!#REF!,'28'!#REF!,'28'!#REF!</definedName>
    <definedName name="Z_9EA36D12_6C5C_4BE0_9897_E6710354124D_.wvu.Rows" localSheetId="27" hidden="1">'28'!#REF!,'28'!#REF!,'28'!#REF!,'28'!#REF!,'28'!#REF!,'28'!#REF!,'28'!#REF!</definedName>
    <definedName name="Z_A0F29F5B_FB6E_4C5E_B7A7_CDA651D38207_.wvu.Rows" localSheetId="27" hidden="1">'28'!#REF!,'28'!#REF!,'28'!#REF!,'28'!#REF!,'28'!#REF!,'28'!#REF!,'28'!#REF!</definedName>
    <definedName name="Z_A567DF6A_4F50_45D4_A9C8_0879E17AFD34_.wvu.Rows" localSheetId="27" hidden="1">'28'!#REF!,'28'!#REF!,'28'!#REF!,'28'!#REF!,'28'!#REF!,'28'!#REF!,'28'!#REF!</definedName>
    <definedName name="Z_B2CFD8C8_F8F8_47F1_9207_6BE81612C01C_.wvu.Rows" localSheetId="27" hidden="1">'28'!#REF!,'28'!#REF!,'28'!#REF!,'28'!#REF!,'28'!#REF!,'28'!#REF!,'28'!#REF!</definedName>
    <definedName name="Z_BBF15C7D_3EAF_4D98_9096_5B67F6C46C47_.wvu.Rows" localSheetId="27" hidden="1">'28'!#REF!,'28'!#REF!,'28'!#REF!,'28'!#REF!,'28'!#REF!,'28'!#REF!</definedName>
    <definedName name="Z_C122BF8D_C115_42E1_B73A_F9B38D5EC060_.wvu.Rows" localSheetId="27" hidden="1">'28'!#REF!,'28'!#REF!,'28'!#REF!,'28'!#REF!,'28'!#REF!,'28'!#REF!,'28'!#REF!</definedName>
    <definedName name="Z_C4D254D6_9D1C_4B3C_972D_15957FD05DD2_.wvu.Rows" localSheetId="27" hidden="1">'28'!#REF!,'28'!#REF!,'28'!#REF!,'28'!#REF!,'28'!#REF!,'28'!#REF!,'28'!#REF!</definedName>
    <definedName name="Z_D4664C56_FB8A_499D_8E24_CCA12F97FAE9_.wvu.Rows" localSheetId="27" hidden="1">'28'!#REF!,'28'!#REF!,'28'!#REF!,'28'!#REF!,'28'!#REF!,'28'!#REF!,'28'!#REF!</definedName>
    <definedName name="Z_DD995061_F552_4E13_8D40_A47EBB03245B_.wvu.Rows" localSheetId="27" hidden="1">'28'!#REF!,'28'!#REF!,'28'!#REF!,'28'!#REF!,'28'!#REF!,'28'!#REF!,'28'!#REF!</definedName>
    <definedName name="Z_DE2F0B4F_79DE_40A0_A13B_9C7F63D3F970_.wvu.Rows" localSheetId="27" hidden="1">'28'!#REF!,'28'!#REF!,'28'!#REF!,'28'!#REF!,'28'!#REF!,'28'!#REF!,'28'!#REF!</definedName>
    <definedName name="Z_E765F84B_EAF3_44AE_A058_C602C1E67401_.wvu.Rows" localSheetId="27" hidden="1">'28'!#REF!,'28'!#REF!,'28'!#REF!,'28'!#REF!,'28'!#REF!,'28'!#REF!,'28'!#REF!</definedName>
    <definedName name="Z_F34DD4D3_7189_47AF_B853_F133E36CF124_.wvu.Rows" localSheetId="27" hidden="1">'28'!#REF!,'28'!#REF!,'28'!#REF!,'28'!#REF!,'28'!#REF!,'28'!#REF!,'28'!#REF!</definedName>
    <definedName name="Z_F82F81AB_9C82_4E79_8CA3_CEB2B994FC06_.wvu.Rows" localSheetId="27" hidden="1">'28'!#REF!,'28'!#REF!,'28'!#REF!,'28'!#REF!,'28'!#REF!,'28'!#REF!,'28'!#REF!</definedName>
    <definedName name="Z_F89CD5B0_594D_4248_B45D_59008422D599_.wvu.Rows" localSheetId="27" hidden="1">'28'!#REF!,'28'!#REF!,'28'!#REF!,'28'!#REF!,'28'!#REF!,'28'!#REF!,'28'!#REF!</definedName>
    <definedName name="Z_03FBB0AD_5353_49C6_B595_178BC13C96AE_.wvu.Rows" localSheetId="28" hidden="1">'29'!#REF!,'29'!#REF!,'29'!#REF!,'29'!#REF!,'29'!#REF!,'29'!#REF!,'29'!#REF!</definedName>
    <definedName name="Z_070961C3_1DC2_4518_83D7_B3F54BC58AE2_.wvu.Rows" localSheetId="28" hidden="1">'29'!#REF!,'29'!#REF!,'29'!#REF!,'29'!#REF!,'29'!#REF!,'29'!#REF!,'29'!#REF!</definedName>
    <definedName name="Z_0B87D63B_15AD_4587_A73B_CA4B62BDFA01_.wvu.Rows" localSheetId="28" hidden="1">'29'!#REF!,'29'!#REF!,'29'!#REF!,'29'!#REF!,'29'!#REF!,'29'!#REF!,'29'!#REF!</definedName>
    <definedName name="Z_1B9AB2B5_0A50_46C3_981D_8BE75BF62E46_.wvu.Rows" localSheetId="28" hidden="1">'29'!#REF!,'29'!#REF!,'29'!#REF!,'29'!#REF!,'29'!#REF!,'29'!#REF!,'29'!#REF!</definedName>
    <definedName name="Z_20A0B2F7_9F51_4E3D_A024_0877F1F98F8D_.wvu.Rows" localSheetId="28" hidden="1">'29'!#REF!,'29'!#REF!,'29'!#REF!,'29'!#REF!,'29'!#REF!,'29'!#REF!,'29'!#REF!</definedName>
    <definedName name="Z_2C3A3C66_1522_4337_93AC_DFC422DC8462_.wvu.Rows" localSheetId="28" hidden="1">'29'!#REF!,'29'!#REF!,'29'!#REF!,'29'!#REF!,'29'!#REF!,'29'!#REF!,'29'!#REF!</definedName>
    <definedName name="Z_2E074C0E_3584_4321_A729_0961B34312BF_.wvu.Rows" localSheetId="28" hidden="1">'29'!#REF!,'29'!#REF!,'29'!#REF!,'29'!#REF!,'29'!#REF!,'29'!#REF!,'29'!#REF!</definedName>
    <definedName name="Z_2FFCC83E_A488_4450_9F9E_FF506EAEF5FC_.wvu.Rows" localSheetId="28" hidden="1">'29'!#REF!,'29'!#REF!,'29'!#REF!,'29'!#REF!,'29'!#REF!,'29'!#REF!,'29'!#REF!</definedName>
    <definedName name="Z_3351A924_D23D_45D7_8354_55677D787CA4_.wvu.Rows" localSheetId="28" hidden="1">'29'!#REF!,'29'!#REF!,'29'!#REF!,'29'!#REF!,'29'!#REF!,'29'!#REF!,'29'!#REF!</definedName>
    <definedName name="Z_51E3BC0E_B24A_447A_BC0A_03881122E44E_.wvu.Rows" localSheetId="28" hidden="1">'29'!#REF!,'29'!#REF!,'29'!#REF!,'29'!#REF!,'29'!#REF!,'29'!#REF!,'29'!#REF!</definedName>
    <definedName name="Z_5C60C8F2_A96A_4286_AB69_6A192D48B52D_.wvu.Rows" localSheetId="28" hidden="1">'29'!#REF!,'29'!#REF!,'29'!#REF!,'29'!#REF!,'29'!#REF!,'29'!#REF!,'29'!#REF!</definedName>
    <definedName name="Z_667B099C_8E79_4490_AC67_CFE2B9F8FC8D_.wvu.Rows" localSheetId="28" hidden="1">'29'!#REF!,'29'!#REF!,'29'!#REF!,'29'!#REF!,'29'!#REF!,'29'!#REF!,'29'!#REF!</definedName>
    <definedName name="Z_696C5A08_6B5C_4B07_9B14_11E12159ACF3_.wvu.Rows" localSheetId="28" hidden="1">'29'!#REF!,'29'!#REF!,'29'!#REF!,'29'!#REF!,'29'!#REF!,'29'!#REF!</definedName>
    <definedName name="Z_743813BC_E137_480B_B63F_29E16C4A5D78_.wvu.Rows" localSheetId="28" hidden="1">'29'!#REF!,'29'!#REF!,'29'!#REF!,'29'!#REF!,'29'!#REF!,'29'!#REF!,'29'!#REF!</definedName>
    <definedName name="Z_7CD6C56D_7191_499D_884D_23F062610490_.wvu.Rows" localSheetId="28" hidden="1">'29'!#REF!,'29'!#REF!,'29'!#REF!,'29'!#REF!,'29'!#REF!,'29'!#REF!,'29'!#REF!</definedName>
    <definedName name="Z_8AB826A3_3F9F_46E8_8B3C_5D723650CD25_.wvu.Rows" localSheetId="28" hidden="1">'29'!#REF!,'29'!#REF!,'29'!#REF!,'29'!#REF!,'29'!#REF!,'29'!#REF!,'29'!#REF!</definedName>
    <definedName name="Z_9231B71C_ABB0_4122_BB61_A0E14ED7FAC4_.wvu.Rows" localSheetId="28" hidden="1">'29'!#REF!,'29'!#REF!,'29'!#REF!,'29'!#REF!,'29'!#REF!,'29'!#REF!,'29'!#REF!</definedName>
    <definedName name="Z_9CE42830_1BFE_4EEE_AD75_1C30A69A86B1_.wvu.Rows" localSheetId="28" hidden="1">'29'!#REF!,'29'!#REF!,'29'!#REF!,'29'!#REF!,'29'!#REF!,'29'!#REF!,'29'!#REF!</definedName>
    <definedName name="Z_9EA36D12_6C5C_4BE0_9897_E6710354124D_.wvu.Rows" localSheetId="28" hidden="1">'29'!#REF!,'29'!#REF!,'29'!#REF!,'29'!#REF!,'29'!#REF!,'29'!#REF!,'29'!#REF!</definedName>
    <definedName name="Z_A0F29F5B_FB6E_4C5E_B7A7_CDA651D38207_.wvu.Rows" localSheetId="28" hidden="1">'29'!#REF!,'29'!#REF!,'29'!#REF!,'29'!#REF!,'29'!#REF!,'29'!#REF!,'29'!#REF!</definedName>
    <definedName name="Z_A567DF6A_4F50_45D4_A9C8_0879E17AFD34_.wvu.Rows" localSheetId="28" hidden="1">'29'!#REF!,'29'!#REF!,'29'!#REF!,'29'!#REF!,'29'!#REF!,'29'!#REF!,'29'!#REF!</definedName>
    <definedName name="Z_B2CFD8C8_F8F8_47F1_9207_6BE81612C01C_.wvu.Rows" localSheetId="28" hidden="1">'29'!#REF!,'29'!#REF!,'29'!#REF!,'29'!#REF!,'29'!#REF!,'29'!#REF!,'29'!#REF!</definedName>
    <definedName name="Z_BBF15C7D_3EAF_4D98_9096_5B67F6C46C47_.wvu.Rows" localSheetId="28" hidden="1">'29'!#REF!,'29'!#REF!,'29'!#REF!,'29'!#REF!,'29'!#REF!,'29'!#REF!</definedName>
    <definedName name="Z_C122BF8D_C115_42E1_B73A_F9B38D5EC060_.wvu.Rows" localSheetId="28" hidden="1">'29'!#REF!,'29'!#REF!,'29'!#REF!,'29'!#REF!,'29'!#REF!,'29'!#REF!,'29'!#REF!</definedName>
    <definedName name="Z_C4D254D6_9D1C_4B3C_972D_15957FD05DD2_.wvu.Rows" localSheetId="28" hidden="1">'29'!#REF!,'29'!#REF!,'29'!#REF!,'29'!#REF!,'29'!#REF!,'29'!#REF!,'29'!#REF!</definedName>
    <definedName name="Z_D4664C56_FB8A_499D_8E24_CCA12F97FAE9_.wvu.Rows" localSheetId="28" hidden="1">'29'!#REF!,'29'!#REF!,'29'!#REF!,'29'!#REF!,'29'!#REF!,'29'!#REF!,'29'!#REF!</definedName>
    <definedName name="Z_DD995061_F552_4E13_8D40_A47EBB03245B_.wvu.Rows" localSheetId="28" hidden="1">'29'!#REF!,'29'!#REF!,'29'!#REF!,'29'!#REF!,'29'!#REF!,'29'!#REF!,'29'!#REF!</definedName>
    <definedName name="Z_DE2F0B4F_79DE_40A0_A13B_9C7F63D3F970_.wvu.Rows" localSheetId="28" hidden="1">'29'!#REF!,'29'!#REF!,'29'!#REF!,'29'!#REF!,'29'!#REF!,'29'!#REF!,'29'!#REF!</definedName>
    <definedName name="Z_E765F84B_EAF3_44AE_A058_C602C1E67401_.wvu.Rows" localSheetId="28" hidden="1">'29'!#REF!,'29'!#REF!,'29'!#REF!,'29'!#REF!,'29'!#REF!,'29'!#REF!,'29'!#REF!</definedName>
    <definedName name="Z_F34DD4D3_7189_47AF_B853_F133E36CF124_.wvu.Rows" localSheetId="28" hidden="1">'29'!#REF!,'29'!#REF!,'29'!#REF!,'29'!#REF!,'29'!#REF!,'29'!#REF!,'29'!#REF!</definedName>
    <definedName name="Z_F82F81AB_9C82_4E79_8CA3_CEB2B994FC06_.wvu.Rows" localSheetId="28" hidden="1">'29'!#REF!,'29'!#REF!,'29'!#REF!,'29'!#REF!,'29'!#REF!,'29'!#REF!,'29'!#REF!</definedName>
    <definedName name="Z_F89CD5B0_594D_4248_B45D_59008422D599_.wvu.Rows" localSheetId="28" hidden="1">'29'!#REF!,'29'!#REF!,'29'!#REF!,'29'!#REF!,'29'!#REF!,'29'!#REF!,'29'!#REF!</definedName>
    <definedName name="Z_03FBB0AD_5353_49C6_B595_178BC13C96AE_.wvu.Rows" localSheetId="29" hidden="1">'30'!#REF!,'30'!#REF!,'30'!#REF!,'30'!#REF!,'30'!#REF!,'30'!#REF!,'30'!#REF!</definedName>
    <definedName name="Z_070961C3_1DC2_4518_83D7_B3F54BC58AE2_.wvu.Rows" localSheetId="29" hidden="1">'30'!#REF!,'30'!#REF!,'30'!#REF!,'30'!#REF!,'30'!#REF!,'30'!#REF!,'30'!#REF!</definedName>
    <definedName name="Z_0B87D63B_15AD_4587_A73B_CA4B62BDFA01_.wvu.Rows" localSheetId="29" hidden="1">'30'!#REF!,'30'!#REF!,'30'!#REF!,'30'!#REF!,'30'!#REF!,'30'!#REF!,'30'!#REF!</definedName>
    <definedName name="Z_1B9AB2B5_0A50_46C3_981D_8BE75BF62E46_.wvu.Rows" localSheetId="29" hidden="1">'30'!#REF!,'30'!#REF!,'30'!#REF!,'30'!#REF!,'30'!#REF!,'30'!#REF!,'30'!#REF!</definedName>
    <definedName name="Z_20A0B2F7_9F51_4E3D_A024_0877F1F98F8D_.wvu.Rows" localSheetId="29" hidden="1">'30'!#REF!,'30'!#REF!,'30'!#REF!,'30'!#REF!,'30'!#REF!,'30'!#REF!,'30'!#REF!</definedName>
    <definedName name="Z_2C3A3C66_1522_4337_93AC_DFC422DC8462_.wvu.Rows" localSheetId="29" hidden="1">'30'!#REF!,'30'!#REF!,'30'!#REF!,'30'!#REF!,'30'!#REF!,'30'!#REF!,'30'!#REF!</definedName>
    <definedName name="Z_2E074C0E_3584_4321_A729_0961B34312BF_.wvu.Rows" localSheetId="29" hidden="1">'30'!#REF!,'30'!#REF!,'30'!#REF!,'30'!#REF!,'30'!#REF!,'30'!#REF!,'30'!#REF!</definedName>
    <definedName name="Z_2FFCC83E_A488_4450_9F9E_FF506EAEF5FC_.wvu.Rows" localSheetId="29" hidden="1">'30'!#REF!,'30'!#REF!,'30'!#REF!,'30'!#REF!,'30'!#REF!,'30'!#REF!,'30'!#REF!</definedName>
    <definedName name="Z_3351A924_D23D_45D7_8354_55677D787CA4_.wvu.Rows" localSheetId="29" hidden="1">'30'!#REF!,'30'!#REF!,'30'!#REF!,'30'!#REF!,'30'!#REF!,'30'!#REF!,'30'!#REF!</definedName>
    <definedName name="Z_51E3BC0E_B24A_447A_BC0A_03881122E44E_.wvu.Rows" localSheetId="29" hidden="1">'30'!#REF!,'30'!#REF!,'30'!#REF!,'30'!#REF!,'30'!#REF!,'30'!#REF!,'30'!#REF!</definedName>
    <definedName name="Z_5C60C8F2_A96A_4286_AB69_6A192D48B52D_.wvu.Rows" localSheetId="29" hidden="1">'30'!#REF!,'30'!#REF!,'30'!#REF!,'30'!#REF!,'30'!#REF!,'30'!#REF!,'30'!#REF!</definedName>
    <definedName name="Z_667B099C_8E79_4490_AC67_CFE2B9F8FC8D_.wvu.Rows" localSheetId="29" hidden="1">'30'!#REF!,'30'!#REF!,'30'!#REF!,'30'!#REF!,'30'!#REF!,'30'!#REF!,'30'!#REF!</definedName>
    <definedName name="Z_696C5A08_6B5C_4B07_9B14_11E12159ACF3_.wvu.Rows" localSheetId="29" hidden="1">'30'!#REF!,'30'!#REF!,'30'!#REF!,'30'!#REF!,'30'!#REF!,'30'!#REF!</definedName>
    <definedName name="Z_743813BC_E137_480B_B63F_29E16C4A5D78_.wvu.Rows" localSheetId="29" hidden="1">'30'!#REF!,'30'!#REF!,'30'!#REF!,'30'!#REF!,'30'!#REF!,'30'!#REF!,'30'!#REF!</definedName>
    <definedName name="Z_7CD6C56D_7191_499D_884D_23F062610490_.wvu.Rows" localSheetId="29" hidden="1">'30'!#REF!,'30'!#REF!,'30'!#REF!,'30'!#REF!,'30'!#REF!,'30'!#REF!,'30'!#REF!</definedName>
    <definedName name="Z_8AB826A3_3F9F_46E8_8B3C_5D723650CD25_.wvu.Rows" localSheetId="29" hidden="1">'30'!#REF!,'30'!#REF!,'30'!#REF!,'30'!#REF!,'30'!#REF!,'30'!#REF!,'30'!#REF!</definedName>
    <definedName name="Z_9231B71C_ABB0_4122_BB61_A0E14ED7FAC4_.wvu.Rows" localSheetId="29" hidden="1">'30'!#REF!,'30'!#REF!,'30'!#REF!,'30'!#REF!,'30'!#REF!,'30'!#REF!,'30'!#REF!</definedName>
    <definedName name="Z_9CE42830_1BFE_4EEE_AD75_1C30A69A86B1_.wvu.Rows" localSheetId="29" hidden="1">'30'!#REF!,'30'!#REF!,'30'!#REF!,'30'!#REF!,'30'!#REF!,'30'!#REF!,'30'!#REF!</definedName>
    <definedName name="Z_9EA36D12_6C5C_4BE0_9897_E6710354124D_.wvu.Rows" localSheetId="29" hidden="1">'30'!#REF!,'30'!#REF!,'30'!#REF!,'30'!#REF!,'30'!#REF!,'30'!#REF!,'30'!#REF!</definedName>
    <definedName name="Z_A0F29F5B_FB6E_4C5E_B7A7_CDA651D38207_.wvu.Rows" localSheetId="29" hidden="1">'30'!#REF!,'30'!#REF!,'30'!#REF!,'30'!#REF!,'30'!#REF!,'30'!#REF!,'30'!#REF!</definedName>
    <definedName name="Z_A567DF6A_4F50_45D4_A9C8_0879E17AFD34_.wvu.Rows" localSheetId="29" hidden="1">'30'!#REF!,'30'!#REF!,'30'!#REF!,'30'!#REF!,'30'!#REF!,'30'!#REF!,'30'!#REF!</definedName>
    <definedName name="Z_B2CFD8C8_F8F8_47F1_9207_6BE81612C01C_.wvu.Rows" localSheetId="29" hidden="1">'30'!#REF!,'30'!#REF!,'30'!#REF!,'30'!#REF!,'30'!#REF!,'30'!#REF!,'30'!#REF!</definedName>
    <definedName name="Z_BBF15C7D_3EAF_4D98_9096_5B67F6C46C47_.wvu.Rows" localSheetId="29" hidden="1">'30'!#REF!,'30'!#REF!,'30'!#REF!,'30'!#REF!,'30'!#REF!,'30'!#REF!</definedName>
    <definedName name="Z_C122BF8D_C115_42E1_B73A_F9B38D5EC060_.wvu.Rows" localSheetId="29" hidden="1">'30'!#REF!,'30'!#REF!,'30'!#REF!,'30'!#REF!,'30'!#REF!,'30'!#REF!,'30'!#REF!</definedName>
    <definedName name="Z_C4D254D6_9D1C_4B3C_972D_15957FD05DD2_.wvu.Rows" localSheetId="29" hidden="1">'30'!#REF!,'30'!#REF!,'30'!#REF!,'30'!#REF!,'30'!#REF!,'30'!#REF!,'30'!#REF!</definedName>
    <definedName name="Z_D4664C56_FB8A_499D_8E24_CCA12F97FAE9_.wvu.Rows" localSheetId="29" hidden="1">'30'!#REF!,'30'!#REF!,'30'!#REF!,'30'!#REF!,'30'!#REF!,'30'!#REF!,'30'!#REF!</definedName>
    <definedName name="Z_DD995061_F552_4E13_8D40_A47EBB03245B_.wvu.Rows" localSheetId="29" hidden="1">'30'!#REF!,'30'!#REF!,'30'!#REF!,'30'!#REF!,'30'!#REF!,'30'!#REF!,'30'!#REF!</definedName>
    <definedName name="Z_DE2F0B4F_79DE_40A0_A13B_9C7F63D3F970_.wvu.Rows" localSheetId="29" hidden="1">'30'!#REF!,'30'!#REF!,'30'!#REF!,'30'!#REF!,'30'!#REF!,'30'!#REF!,'30'!#REF!</definedName>
    <definedName name="Z_E765F84B_EAF3_44AE_A058_C602C1E67401_.wvu.Rows" localSheetId="29" hidden="1">'30'!#REF!,'30'!#REF!,'30'!#REF!,'30'!#REF!,'30'!#REF!,'30'!#REF!,'30'!#REF!</definedName>
    <definedName name="Z_F34DD4D3_7189_47AF_B853_F133E36CF124_.wvu.Rows" localSheetId="29" hidden="1">'30'!#REF!,'30'!#REF!,'30'!#REF!,'30'!#REF!,'30'!#REF!,'30'!#REF!,'30'!#REF!</definedName>
    <definedName name="Z_F82F81AB_9C82_4E79_8CA3_CEB2B994FC06_.wvu.Rows" localSheetId="29" hidden="1">'30'!#REF!,'30'!#REF!,'30'!#REF!,'30'!#REF!,'30'!#REF!,'30'!#REF!,'30'!#REF!</definedName>
    <definedName name="Z_F89CD5B0_594D_4248_B45D_59008422D599_.wvu.Rows" localSheetId="29" hidden="1">'30'!#REF!,'30'!#REF!,'30'!#REF!,'30'!#REF!,'30'!#REF!,'30'!#REF!,'30'!#REF!</definedName>
    <definedName name="ДаНет">Тех.Лист!$A$1:$A$2</definedName>
  </definedNames>
  <calcPr/>
</workbook>
</file>

<file path=xl/sharedStrings.xml><?xml version="1.0" encoding="utf-8"?>
<sst xmlns="http://schemas.openxmlformats.org/spreadsheetml/2006/main" count="370" uniqueCount="370">
  <si>
    <t xml:space="preserve">_____________________________ Согласовано</t>
  </si>
  <si>
    <t xml:space="preserve">Реестр разбит по Юр. лицам!!! КРУТИТЕ ВНИЗ</t>
  </si>
  <si>
    <t xml:space="preserve">ФАБРИКА ПРОЕКТОВ</t>
  </si>
  <si>
    <t xml:space="preserve">Счет Альфа 1674</t>
  </si>
  <si>
    <r>
      <rPr>
        <i/>
        <sz val="11"/>
        <color theme="1"/>
        <rFont val="Times New Roman"/>
      </rPr>
      <t xml:space="preserve">счет </t>
    </r>
    <r>
      <rPr>
        <b/>
        <i/>
        <sz val="11"/>
        <color theme="1"/>
        <rFont val="Times New Roman"/>
      </rPr>
      <t xml:space="preserve">СБЕР 6989</t>
    </r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</si>
  <si>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</si>
  <si>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</si>
  <si>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</si>
  <si>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</si>
  <si>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</si>
  <si>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</si>
  <si>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</si>
  <si>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</si>
  <si>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</si>
  <si>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</si>
  <si>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 / Приоритет</t>
  </si>
  <si>
    <t xml:space="preserve">Коммерческая деятельность (Закупка ТМЦ Снабжение / Логистика / Транзит)</t>
  </si>
  <si>
    <t xml:space="preserve"> </t>
  </si>
  <si>
    <t xml:space="preserve">АХР (Продажи / IT служба / Юр служба / ФЭО /Секретариат)</t>
  </si>
  <si>
    <t xml:space="preserve">Бухгалтерия  (Налоги / ЗП / ЕСН / прочие платежи бух. службы)</t>
  </si>
  <si>
    <t xml:space="preserve">ИТОГО ФАБРИКА ПРОЕКТОВ  РАСХОДЫ ПО РЕЕСТРУ</t>
  </si>
  <si>
    <t xml:space="preserve">ДЕФИЦИТ  /  ПРОФИЦИТ с Остатка на начало дня</t>
  </si>
  <si>
    <t xml:space="preserve">Реестр закрыт!!!</t>
  </si>
  <si>
    <t xml:space="preserve">135 400 с РИК</t>
  </si>
  <si>
    <t xml:space="preserve">20 000 с УК </t>
  </si>
  <si>
    <t xml:space="preserve">Лещенко В.А.</t>
  </si>
  <si>
    <t xml:space="preserve">ООО ГЕРМЕС</t>
  </si>
  <si>
    <t xml:space="preserve">Счет № 493 от 24.10.2025</t>
  </si>
  <si>
    <t>.218750</t>
  </si>
  <si>
    <t xml:space="preserve">Закупка бетона</t>
  </si>
  <si>
    <t xml:space="preserve">Бюджет </t>
  </si>
  <si>
    <t>Да</t>
  </si>
  <si>
    <t xml:space="preserve">ГП 294 Забор. ИП Малый. Договор №ФП31072025 от 31.07.2025 Приложение №2</t>
  </si>
  <si>
    <t xml:space="preserve">ООО "Айрон"</t>
  </si>
  <si>
    <t xml:space="preserve">Счет №АИПП-2504 от 21.03.2025</t>
  </si>
  <si>
    <t>.=16534</t>
  </si>
  <si>
    <t xml:space="preserve">Закупка металла. </t>
  </si>
  <si>
    <t xml:space="preserve">(Щепкино. СПА.стены)ИП Малый Договор подряда №ФП-03022025 от 03.02.2025 Пр. №2 от 03.02.2025 ИП Малый</t>
  </si>
  <si>
    <t xml:space="preserve">Счет № АИПП-3664 от 25.04.2025</t>
  </si>
  <si>
    <t>.126845</t>
  </si>
  <si>
    <t xml:space="preserve">Закупка металла на объект</t>
  </si>
  <si>
    <t xml:space="preserve">ГП 204 (Навес) Договор подряда №ФП-27032025 от 27.03.2025 Приложение № 2 от 27.03.2025</t>
  </si>
  <si>
    <t xml:space="preserve">Счет № АИПП-3754 от 29.04.2025</t>
  </si>
  <si>
    <t>.27325</t>
  </si>
  <si>
    <t xml:space="preserve">ГП 204(навес) Договор подряда №ФП-27032025 от 27.03.2025 Приложение №2 от 27.03.2025</t>
  </si>
  <si>
    <t xml:space="preserve">Счет № АИПП-5404 от 30.06.2025</t>
  </si>
  <si>
    <t>.150100</t>
  </si>
  <si>
    <t xml:space="preserve">ГП 294. ХБП ИП Малый Договор подряда №ФП-19062025 от 19.06.2025 Приложение №2 от 19.06.2025</t>
  </si>
  <si>
    <t xml:space="preserve">Счет № АИПП-5407 от 30.06.2025</t>
  </si>
  <si>
    <t>.17300</t>
  </si>
  <si>
    <t xml:space="preserve">ГП 204. ИП Малый. Договор подряда №ФП-27032025 от 27.03.2025 Приложение №2 от 27.03.2025</t>
  </si>
  <si>
    <t xml:space="preserve">Счет № АИПП-5408 от 30.06.2025</t>
  </si>
  <si>
    <t>.35505</t>
  </si>
  <si>
    <t xml:space="preserve">ГП 13. (ХБП) ИП Малый. Договор подряда №ФП-10660-72/01 от 12.02.2024 г. Приложение №1/8 от 14.03.2025</t>
  </si>
  <si>
    <t xml:space="preserve">Счет № АИПП-6301 от 04.08.2025</t>
  </si>
  <si>
    <t>.163370</t>
  </si>
  <si>
    <t xml:space="preserve">ГП 326. Забор ИП Малый</t>
  </si>
  <si>
    <t xml:space="preserve">Счет № АИПП-6303 от 04.08.2025</t>
  </si>
  <si>
    <t>.115500</t>
  </si>
  <si>
    <t xml:space="preserve">ГП 294. Бассеин ИП Малый</t>
  </si>
  <si>
    <t xml:space="preserve">Счет № АИПП-6304 от 04.08.2025</t>
  </si>
  <si>
    <t>.51000</t>
  </si>
  <si>
    <t xml:space="preserve">ГП 294. Забор ИП Малый</t>
  </si>
  <si>
    <t xml:space="preserve">ИП Полежаев А.А.</t>
  </si>
  <si>
    <t xml:space="preserve">Счет № 42 от 26.09.2025</t>
  </si>
  <si>
    <t>.363298</t>
  </si>
  <si>
    <t xml:space="preserve">Устройство фасада с молдингами на ХБП по дог.№ФП-10660-29 от 16.09.2022, пр.№ 1/19</t>
  </si>
  <si>
    <t xml:space="preserve">Окончательный ГП 326</t>
  </si>
  <si>
    <t xml:space="preserve">Счет № 44 от 30.09.2025</t>
  </si>
  <si>
    <t>.313500</t>
  </si>
  <si>
    <t xml:space="preserve">Устройство фасада с молдингами на ХБП. Договор подряда №ФП-10660-29 от 16.09.2022 Приложение № 1/25</t>
  </si>
  <si>
    <t xml:space="preserve">Аванс ГП 294,295</t>
  </si>
  <si>
    <t xml:space="preserve">Малый П.А.</t>
  </si>
  <si>
    <t xml:space="preserve">Счёт №50 от 26.11.2025</t>
  </si>
  <si>
    <t>.538264</t>
  </si>
  <si>
    <t xml:space="preserve">Устройство фасада с молдингами</t>
  </si>
  <si>
    <t xml:space="preserve">Окончательный ГП-243</t>
  </si>
  <si>
    <t xml:space="preserve">Счёт№51 от 02.12.2025</t>
  </si>
  <si>
    <t>.54956</t>
  </si>
  <si>
    <t xml:space="preserve">Устройство калон террасы</t>
  </si>
  <si>
    <t xml:space="preserve">Окончательный. ГП-294.295 Договор подряда№ФП-10660-29 ОТ 16.09.2022</t>
  </si>
  <si>
    <t xml:space="preserve">Счёт№53 от 20.01.2025</t>
  </si>
  <si>
    <t>.842553</t>
  </si>
  <si>
    <t>Фасад</t>
  </si>
  <si>
    <t xml:space="preserve">ГП-148 Дог№-ФП-25112024-01от 25.11.2024 ПР№2 от 25.11.2024</t>
  </si>
  <si>
    <t xml:space="preserve">ИП Чередниченко</t>
  </si>
  <si>
    <t xml:space="preserve">Счёт № 17 от 05.12.2025.</t>
  </si>
  <si>
    <t>.112952</t>
  </si>
  <si>
    <t xml:space="preserve">Монтаж натяжных потолков</t>
  </si>
  <si>
    <t>да</t>
  </si>
  <si>
    <t xml:space="preserve">ГП-138 Дог-10660-84/01от01.10.2024</t>
  </si>
  <si>
    <t xml:space="preserve">ИП Любомирский В.Г.</t>
  </si>
  <si>
    <t xml:space="preserve">Счет № 20 от 28.07.2025</t>
  </si>
  <si>
    <t>.558077</t>
  </si>
  <si>
    <t xml:space="preserve">Электромонтажные работы</t>
  </si>
  <si>
    <t xml:space="preserve">Вн. рынок. Щепкин СПА</t>
  </si>
  <si>
    <t xml:space="preserve">Салпагаров Р.А.</t>
  </si>
  <si>
    <t xml:space="preserve">Счет № 25 от 23.09.2025</t>
  </si>
  <si>
    <t>.210906</t>
  </si>
  <si>
    <t xml:space="preserve">Оплата работ по пр.1/12 от 22.09.25 к дог.№ФП-10660-10/01 от 19.03.2024г</t>
  </si>
  <si>
    <t xml:space="preserve">ГП 13. Электрика. 4й этап</t>
  </si>
  <si>
    <t xml:space="preserve">ИП Кравченко К.Н.</t>
  </si>
  <si>
    <t xml:space="preserve">Счёт№542 от 24.10.2025</t>
  </si>
  <si>
    <t>.32621,5</t>
  </si>
  <si>
    <t>Пиломатериалы</t>
  </si>
  <si>
    <t xml:space="preserve">Вн.Рынок. Щепкино, кровля</t>
  </si>
  <si>
    <t xml:space="preserve">Счёт №548 от 28.10.2025</t>
  </si>
  <si>
    <t>.38400</t>
  </si>
  <si>
    <t xml:space="preserve">Вн.Рынок. Щепкино,кровля</t>
  </si>
  <si>
    <t xml:space="preserve">Счёт №566 от 19.11.2025</t>
  </si>
  <si>
    <t xml:space="preserve">Навес ГП 262</t>
  </si>
  <si>
    <t xml:space="preserve">Счёт № 609 от 22.12.2025</t>
  </si>
  <si>
    <t>.128725,35</t>
  </si>
  <si>
    <t xml:space="preserve">Синицына В.В.</t>
  </si>
  <si>
    <t xml:space="preserve">ИП Храмова Э.Э.</t>
  </si>
  <si>
    <t xml:space="preserve">Счет №2042 от 17.11.2025</t>
  </si>
  <si>
    <t>.42000</t>
  </si>
  <si>
    <t xml:space="preserve">Услуги по благоустройству территории с 10.11.2025 по 13.11.2025 </t>
  </si>
  <si>
    <t> </t>
  </si>
  <si>
    <t xml:space="preserve">ИП Храмова Э.Э</t>
  </si>
  <si>
    <t xml:space="preserve">Счёт№2177от 08.12.2025</t>
  </si>
  <si>
    <t>.16800</t>
  </si>
  <si>
    <t xml:space="preserve">Благоустройство территории</t>
  </si>
  <si>
    <t xml:space="preserve">ГП-103 Дог№ФП-10660-36 Планирование грунта</t>
  </si>
  <si>
    <t xml:space="preserve">Счёт№2233 от 15.12.2025</t>
  </si>
  <si>
    <t>.8400</t>
  </si>
  <si>
    <t xml:space="preserve">ГП-218,231,213,214,216,221,188 Дог№10660-36 от 15.032023 чистка преддомовых территорий</t>
  </si>
  <si>
    <t xml:space="preserve">Счет №2252 от 22.12.2025</t>
  </si>
  <si>
    <t xml:space="preserve">Услуги по благоустройству территории</t>
  </si>
  <si>
    <t xml:space="preserve">Счет №2301 от 25.12.2025г.</t>
  </si>
  <si>
    <t>.25200</t>
  </si>
  <si>
    <t xml:space="preserve">ИП Сердечная О.Ю.</t>
  </si>
  <si>
    <t xml:space="preserve">Счет № 291 от 17.09.2025</t>
  </si>
  <si>
    <t>.59500</t>
  </si>
  <si>
    <t xml:space="preserve">Договор №3 от 30.03.2022 г. Транспортные услуги по перевозке опалубки, 05.09.2025 г.,16.09.2025 г.</t>
  </si>
  <si>
    <t xml:space="preserve">ГП 294. Бассейн.ИП Малый</t>
  </si>
  <si>
    <t xml:space="preserve">ИП Козлова Н.В.</t>
  </si>
  <si>
    <t xml:space="preserve">Счет № 27 от 19.11.2024</t>
  </si>
  <si>
    <t>.=30500</t>
  </si>
  <si>
    <t xml:space="preserve">Ус-во фасада по дог.№ФП-10660-93 от 01.10.2024 от 19.11.2024</t>
  </si>
  <si>
    <t>Окончательный.ГП-211</t>
  </si>
  <si>
    <t xml:space="preserve">ООО "АЛЮМИНИУМ"</t>
  </si>
  <si>
    <t xml:space="preserve">Счет № 385 от 03.09.2025</t>
  </si>
  <si>
    <t>.386200</t>
  </si>
  <si>
    <t xml:space="preserve">Оплата за алюмииевые конструкции по дог.№ФП-28052024 от 28.05.2025</t>
  </si>
  <si>
    <t xml:space="preserve">ГП 291. Витражи. </t>
  </si>
  <si>
    <t xml:space="preserve">ИП Никулов А.В.</t>
  </si>
  <si>
    <t xml:space="preserve">Счет №113 от 21.11.2025</t>
  </si>
  <si>
    <t>.=146016/2</t>
  </si>
  <si>
    <t xml:space="preserve">Аванс по Приложению 1/14 к Договору №ФП-10660-98 от 04.04.2025</t>
  </si>
  <si>
    <t xml:space="preserve">Монтаж системы полива на придомовой ГП 273, 280</t>
  </si>
  <si>
    <t xml:space="preserve">Лещенко В.А. </t>
  </si>
  <si>
    <t xml:space="preserve">ИП Стрельцов В.А.</t>
  </si>
  <si>
    <t xml:space="preserve">Счет № 23 от 07.11.2025</t>
  </si>
  <si>
    <t>.600050</t>
  </si>
  <si>
    <t xml:space="preserve">Устройство приточно-вытяжной вентиляции согласно Приложения №1/13 от 11.06.2025г. к Договору подряда №ФП-10660-53/01 от 08.10.2024 г.</t>
  </si>
  <si>
    <t xml:space="preserve">ГП 291. Вентиляция</t>
  </si>
  <si>
    <t xml:space="preserve">ИП Алты-Садых С.Ю</t>
  </si>
  <si>
    <t xml:space="preserve">Счёт№18/2 от 15.12.2025</t>
  </si>
  <si>
    <t>.109250</t>
  </si>
  <si>
    <t xml:space="preserve">Окончательный платеж за работы, изготовление,монтаж,шлифовку пропитку и окраску деревянных элементов террасы </t>
  </si>
  <si>
    <t xml:space="preserve">ГП-148 Дог№-ФП-10660-31 ОТ 14.11.2022</t>
  </si>
  <si>
    <t xml:space="preserve">ИП Чеботарев А.В.</t>
  </si>
  <si>
    <t xml:space="preserve">Счет № 1369 от 11.09.2025</t>
  </si>
  <si>
    <t>.107000</t>
  </si>
  <si>
    <t xml:space="preserve">Разработка дизайн проекта. Пр.№ 1/2 к дог.№ФП-10660-101 от 21.08.2025</t>
  </si>
  <si>
    <t xml:space="preserve">ГП 146</t>
  </si>
  <si>
    <t xml:space="preserve">ИП Глазунов Е.А.</t>
  </si>
  <si>
    <t xml:space="preserve">Счёт№15 от 22.01.2026</t>
  </si>
  <si>
    <t>.18400</t>
  </si>
  <si>
    <t xml:space="preserve">Уборка помещений</t>
  </si>
  <si>
    <t xml:space="preserve">сз Шкрябина</t>
  </si>
  <si>
    <t xml:space="preserve">Счет №24365802 от 04.12.2025г.</t>
  </si>
  <si>
    <t>.=414800-114800-130000</t>
  </si>
  <si>
    <t xml:space="preserve">Монтаж фасонных изделий</t>
  </si>
  <si>
    <t xml:space="preserve">ГП 291-292</t>
  </si>
  <si>
    <t xml:space="preserve">ИП Чеботарёв</t>
  </si>
  <si>
    <t xml:space="preserve">Счёт№281 от 24.02.2026</t>
  </si>
  <si>
    <t>.30000</t>
  </si>
  <si>
    <t xml:space="preserve">Авторский надзор</t>
  </si>
  <si>
    <t xml:space="preserve">ГП 291 Дог об авторском надзоре№2 от 24.02.2026</t>
  </si>
  <si>
    <t xml:space="preserve">ИП Доброхотова Н.А.</t>
  </si>
  <si>
    <t xml:space="preserve">Счёт№1 от 15.01.2026</t>
  </si>
  <si>
    <t>.20000</t>
  </si>
  <si>
    <t xml:space="preserve">ЛДУ </t>
  </si>
  <si>
    <t xml:space="preserve">Вн. рынок Ореховая роща Дог№ФП-10660 ОТ 21.02.2024</t>
  </si>
  <si>
    <t>ООО"Офисмаг"</t>
  </si>
  <si>
    <t xml:space="preserve">Счёт№Сч-КОР-326943от 18.02.2026</t>
  </si>
  <si>
    <t>Канцтовары</t>
  </si>
  <si>
    <t>оплачен</t>
  </si>
  <si>
    <t xml:space="preserve">Дмитриева О. В.</t>
  </si>
  <si>
    <t xml:space="preserve">ИФНС по ЕНП</t>
  </si>
  <si>
    <t xml:space="preserve">КБК 182 01 06 12 01 01 0000 510</t>
  </si>
  <si>
    <t xml:space="preserve">НДФЛ (период с 23.02-28.02.2026)</t>
  </si>
  <si>
    <t xml:space="preserve">срок оплаты до 05.03.26</t>
  </si>
  <si>
    <t>.73000</t>
  </si>
  <si>
    <t xml:space="preserve">НДФЛ (период с 01.02-22.02.2026)</t>
  </si>
  <si>
    <t xml:space="preserve">срок оплаты до 02.03.26</t>
  </si>
  <si>
    <t xml:space="preserve">КБК 18201061201010000510</t>
  </si>
  <si>
    <t xml:space="preserve">Страховые взносы за январь 2026 г (налоги с фот)</t>
  </si>
  <si>
    <t>ООО"Ростехплан"</t>
  </si>
  <si>
    <t xml:space="preserve">Счёт№06/03 от06.03.2026</t>
  </si>
  <si>
    <t>.12000</t>
  </si>
  <si>
    <t>Техплан</t>
  </si>
  <si>
    <t xml:space="preserve">ГП-326 Дог№04707 от 11.02.2026</t>
  </si>
  <si>
    <t>Антоненко</t>
  </si>
  <si>
    <t xml:space="preserve">ООО «КЕХ еКоммерц»</t>
  </si>
  <si>
    <t xml:space="preserve">Счет № 01-2033820861 от 05 марта 2026 г.</t>
  </si>
  <si>
    <t xml:space="preserve">Внесение аванса в личный кабинет 353814823 по счёту № 01-2033820861 от
05.03.2026 в сумме 10 000,00 руб., в т. ч. НДС 1 803,28 руб.</t>
  </si>
  <si>
    <t xml:space="preserve">ИП Медовник Андрей Сергеевич</t>
  </si>
  <si>
    <t xml:space="preserve">Счет на оплату № 125 от 16 февраля 2026 г.
Поставщик</t>
  </si>
  <si>
    <t xml:space="preserve">Адаптация/модификация программ для ЭВМ
и баз данных на платформе Prologue-UNI
(Тариф: "Визитка", Проект: "abfabrika.ru",
Период: "Март 2026 г.")</t>
  </si>
  <si>
    <t xml:space="preserve">7 000 с ЯП</t>
  </si>
  <si>
    <t>.1680,64</t>
  </si>
  <si>
    <t xml:space="preserve">Амитон Д.Д.</t>
  </si>
  <si>
    <t xml:space="preserve">ПАО Вымпелком</t>
  </si>
  <si>
    <t xml:space="preserve">счёт 101189501178 от 28.02.26</t>
  </si>
  <si>
    <t>.6019,15</t>
  </si>
  <si>
    <t xml:space="preserve">оплата услуг связи</t>
  </si>
  <si>
    <t>Альфа-Банк</t>
  </si>
  <si>
    <t>реестр</t>
  </si>
  <si>
    <t xml:space="preserve">зарплата за февраль 2026 г.</t>
  </si>
  <si>
    <t xml:space="preserve">на обработке</t>
  </si>
  <si>
    <t>.225000</t>
  </si>
  <si>
    <t xml:space="preserve">Страховые взносы за февраль 2026 г (налоги с фот)</t>
  </si>
  <si>
    <t xml:space="preserve">Счёт№389 от 10.03.2026</t>
  </si>
  <si>
    <t>.12600</t>
  </si>
  <si>
    <t xml:space="preserve">Услуги по благоустройству територии</t>
  </si>
  <si>
    <t xml:space="preserve">Дог №ФП-10660 от 15.03.2023</t>
  </si>
  <si>
    <t xml:space="preserve">ИП Кривошлыкова</t>
  </si>
  <si>
    <t xml:space="preserve">Счёт№42 от 11.03.2026</t>
  </si>
  <si>
    <t>.27200</t>
  </si>
  <si>
    <t xml:space="preserve">Транспортные услуги</t>
  </si>
  <si>
    <t xml:space="preserve">ГП 385 Фундамент</t>
  </si>
  <si>
    <t xml:space="preserve">ООО Яндекс 360 для бизнеса</t>
  </si>
  <si>
    <t xml:space="preserve">счёт ЛС-5001476685-1 от 11 марта 2026 г.</t>
  </si>
  <si>
    <t>.3326</t>
  </si>
  <si>
    <t xml:space="preserve">оплата доступа к сервису электронной почты</t>
  </si>
  <si>
    <t xml:space="preserve">ООО "УСПЕХ"</t>
  </si>
  <si>
    <t xml:space="preserve">Счёт№11695от 12.03.2026</t>
  </si>
  <si>
    <t>.11119</t>
  </si>
  <si>
    <t xml:space="preserve">Хим препараты для обработки растений</t>
  </si>
  <si>
    <t>Дендро</t>
  </si>
  <si>
    <t xml:space="preserve">ИП Кривошлыкова Я.В.</t>
  </si>
  <si>
    <t>Счёт№45от13.03.2026</t>
  </si>
  <si>
    <t>.12500</t>
  </si>
  <si>
    <t xml:space="preserve">Оказание транспортных услуг</t>
  </si>
  <si>
    <t xml:space="preserve">ГП-385 ХБП Дог№ФП10022025 ПР№2 от 17.02.2025</t>
  </si>
  <si>
    <t xml:space="preserve">Малый П.А</t>
  </si>
  <si>
    <t xml:space="preserve">АО Евраз Маркет</t>
  </si>
  <si>
    <t xml:space="preserve">Счёт№ИНН00-050099 от13.03.2026</t>
  </si>
  <si>
    <t>.60157,20</t>
  </si>
  <si>
    <t>Металлопрокат</t>
  </si>
  <si>
    <t xml:space="preserve">ИП Исаев О.Ю.</t>
  </si>
  <si>
    <t xml:space="preserve">Счёт№27223от 13.03.2026</t>
  </si>
  <si>
    <t xml:space="preserve">Вода питьевая </t>
  </si>
  <si>
    <t xml:space="preserve">Попова Е.П.</t>
  </si>
  <si>
    <t xml:space="preserve">Кожанов Александр Николаевич</t>
  </si>
  <si>
    <t xml:space="preserve">Заяв.на возмещ.ДС от 12.03.2026</t>
  </si>
  <si>
    <t xml:space="preserve">Счёт№13 от 18.03.2025</t>
  </si>
  <si>
    <t>.116000</t>
  </si>
  <si>
    <t xml:space="preserve">Монтаж плинтуса</t>
  </si>
  <si>
    <t xml:space="preserve">ГП-138 Дог №ФП-10660-84/01 ОТ 01.10.2024</t>
  </si>
  <si>
    <t xml:space="preserve">Счёт№14 от 18.03.2026</t>
  </si>
  <si>
    <t>.196745</t>
  </si>
  <si>
    <t xml:space="preserve">Малярные работы (потолки,доп работы</t>
  </si>
  <si>
    <t xml:space="preserve">Счёт№15 от 18.03.2026</t>
  </si>
  <si>
    <t>.247720</t>
  </si>
  <si>
    <t xml:space="preserve">Счёт№16 от18.03.2026</t>
  </si>
  <si>
    <t>.77175</t>
  </si>
  <si>
    <t xml:space="preserve">Плиточные работы.дверные откосы</t>
  </si>
  <si>
    <t xml:space="preserve">ГП-138 Дог№ФП-10660-84/01 ОТ 01.10.2024</t>
  </si>
  <si>
    <t>МалыйП.А.</t>
  </si>
  <si>
    <t xml:space="preserve">Счёт№46 от 16.03 2026</t>
  </si>
  <si>
    <t>.40482</t>
  </si>
  <si>
    <t xml:space="preserve">Дог №ФП-10660-85 от 19.07.2024 </t>
  </si>
  <si>
    <t xml:space="preserve">ООО "ЛЕ МОНЛИД"</t>
  </si>
  <si>
    <t xml:space="preserve">Пополнение клиентского счета</t>
  </si>
  <si>
    <t xml:space="preserve">Счет на оплату № 231 от 16 марта 2026 г.</t>
  </si>
  <si>
    <t>.5000</t>
  </si>
  <si>
    <t xml:space="preserve">Адаптация/модификация программ для ЭВМ
и баз данных на платформе Prologue-UNI
(Тариф: "Визитка", Проект: "abfabrika.ru",
Период: "2026 Апрель")</t>
  </si>
  <si>
    <t xml:space="preserve">Заяв.на возмещ.ДС от 17.03.2026</t>
  </si>
  <si>
    <t xml:space="preserve">ИП Храмова </t>
  </si>
  <si>
    <t xml:space="preserve">Счёт№443 от 16.03.2026</t>
  </si>
  <si>
    <t xml:space="preserve">Услуги по благоустройству территории с 11.03.2026 по 12.03.2026</t>
  </si>
  <si>
    <t xml:space="preserve">Дог №ФП-10660-36 ОТ 15.03.2023</t>
  </si>
  <si>
    <t xml:space="preserve">ООО "РостАвтоБетон"</t>
  </si>
  <si>
    <t xml:space="preserve">Счёт№6 от 14.03.2026</t>
  </si>
  <si>
    <t>.105400</t>
  </si>
  <si>
    <t>Бетон</t>
  </si>
  <si>
    <t>ГП-385</t>
  </si>
  <si>
    <t xml:space="preserve">Счёт№5 от 19.03.2026</t>
  </si>
  <si>
    <t>.21400</t>
  </si>
  <si>
    <t xml:space="preserve">Аванс </t>
  </si>
  <si>
    <t xml:space="preserve">ГП-235Дог№ФП-10660-73 от21.02.2024Пр-1/9</t>
  </si>
  <si>
    <t xml:space="preserve">Счёт №16 от 20.03.2026</t>
  </si>
  <si>
    <t>.26000</t>
  </si>
  <si>
    <t xml:space="preserve">Запуск системы полива</t>
  </si>
  <si>
    <t xml:space="preserve">Дог№ФП-10660-98 от 04.04.2025ПР№1/15 от 16.03.2026</t>
  </si>
  <si>
    <t xml:space="preserve">Счёт№25 от 19.03.2026</t>
  </si>
  <si>
    <t xml:space="preserve">Авансовый платёж за отопление и водоснабжение,водоотведение</t>
  </si>
  <si>
    <t xml:space="preserve">ГП-146 Дог№ФП-10660-53/01 ОТ 08.10.2024 ПР№1/16 от 29.12.2025</t>
  </si>
  <si>
    <t xml:space="preserve">ООО"Агроцентр Дон"</t>
  </si>
  <si>
    <t xml:space="preserve">Счёт№31 от 19.03.2026</t>
  </si>
  <si>
    <t>.28320</t>
  </si>
  <si>
    <t xml:space="preserve">Препараты для растений </t>
  </si>
  <si>
    <t xml:space="preserve">ООО ПК"Пуршат"</t>
  </si>
  <si>
    <t xml:space="preserve">Счёт№РМ-3235 от 18.03.2026</t>
  </si>
  <si>
    <t>.9497</t>
  </si>
  <si>
    <t xml:space="preserve">ООО"ВСЕ ИНСТРУМЕНТЫ.РУ"</t>
  </si>
  <si>
    <t xml:space="preserve">Счёт№2603-182351-62749 от 23.03.2026</t>
  </si>
  <si>
    <t>.4094</t>
  </si>
  <si>
    <t xml:space="preserve">Батарея акумуляторная к опрыскователю</t>
  </si>
  <si>
    <t xml:space="preserve">Счёт№6 от23.03.2026</t>
  </si>
  <si>
    <t>.19920</t>
  </si>
  <si>
    <t xml:space="preserve">ГП-163Дог№ФП-10660-73 ОТ 21.02.2024 ПР-1/10</t>
  </si>
  <si>
    <t xml:space="preserve">ООО "Телемир"</t>
  </si>
  <si>
    <t xml:space="preserve">Счет на оплату № 30154 от 22 марта 2026 г.</t>
  </si>
  <si>
    <t>.2200</t>
  </si>
  <si>
    <t xml:space="preserve">Предоставление услуг связи по договору TN65/2/260324 за
период 01.04.2026 - 30.04.2026 для проекта abfabrika.ru</t>
  </si>
  <si>
    <t xml:space="preserve">В назначении платежа необходимо указывать: "Оплата по счету №30154 от 22 марта 2026 г, в
том числе НДС 22%, 396,72 руб."</t>
  </si>
  <si>
    <t xml:space="preserve">ИП ПОГУДИН ГРИГОРИЙ АНДРЕЕВИЧ</t>
  </si>
  <si>
    <t xml:space="preserve">Счет на оплату № 523 от 25 марта 2026 г.</t>
  </si>
  <si>
    <t xml:space="preserve">Дизайн-макет буклета 6 полос, 2 биговки, А4</t>
  </si>
  <si>
    <t xml:space="preserve">зарплата за первую половину марта 2026 г.</t>
  </si>
  <si>
    <t>.49000</t>
  </si>
  <si>
    <t xml:space="preserve">НДФЛ (период с 01.03-22.03.2026)</t>
  </si>
  <si>
    <t xml:space="preserve">срок оплаты до 27.03.26</t>
  </si>
  <si>
    <t xml:space="preserve">ОСТАВЛЯЙТЕ НА КОМИССИЮ</t>
  </si>
  <si>
    <t xml:space="preserve">ИП Храмова</t>
  </si>
  <si>
    <t xml:space="preserve">Счёт№493 от 23.03.2026</t>
  </si>
  <si>
    <t xml:space="preserve">Услуги по благоустройству</t>
  </si>
  <si>
    <t>Счёт№126от24.03.2026</t>
  </si>
  <si>
    <t xml:space="preserve">Ежедневная уборка</t>
  </si>
  <si>
    <t>ООО"АРТГРИН"</t>
  </si>
  <si>
    <t xml:space="preserve">Счёт№УТ-5 от26.03.2025</t>
  </si>
  <si>
    <t>.156000</t>
  </si>
  <si>
    <t>растения</t>
  </si>
  <si>
    <t xml:space="preserve">ИП Богачёв А.С.</t>
  </si>
  <si>
    <t xml:space="preserve">Счёт№18от 20.03.2026</t>
  </si>
  <si>
    <t>Стяжка</t>
  </si>
  <si>
    <t>ГП-326</t>
  </si>
  <si>
    <t xml:space="preserve">Счёт№2 от 26.03.2026</t>
  </si>
  <si>
    <t xml:space="preserve">Монтаж  труб водоснабжения</t>
  </si>
  <si>
    <t xml:space="preserve">ГП-385,398 Дог№ФП-10660-53/01 ОТ08.10.2024ПР№1/17 от 25.03.2026</t>
  </si>
  <si>
    <t xml:space="preserve">СЗ Ботика</t>
  </si>
  <si>
    <t xml:space="preserve">Счёт№27657086 от 26.03.2026</t>
  </si>
  <si>
    <t xml:space="preserve">Строительство забора</t>
  </si>
  <si>
    <t xml:space="preserve">ГП 326</t>
  </si>
  <si>
    <t>ООО"Грузтехстрой"</t>
  </si>
  <si>
    <t xml:space="preserve">Счёт№ЦБ-205 от25.03.2026</t>
  </si>
  <si>
    <t>.3700</t>
  </si>
  <si>
    <t>Щебень</t>
  </si>
  <si>
    <t xml:space="preserve">ГП-273,280 ПР1/5</t>
  </si>
  <si>
    <t xml:space="preserve">отпускные за март 2026 г.</t>
  </si>
  <si>
    <t xml:space="preserve">Ежедневная уборка март</t>
  </si>
  <si>
    <t xml:space="preserve">Уборка помещений февраль</t>
  </si>
  <si>
    <t xml:space="preserve">Счёт№ИН00-064660 от 30.03.2026</t>
  </si>
  <si>
    <t xml:space="preserve">Доплата по счету за Металлопрокат</t>
  </si>
  <si>
    <t xml:space="preserve">ООО "Кровельный Торговый Дом"</t>
  </si>
  <si>
    <t xml:space="preserve">Акт сверки</t>
  </si>
  <si>
    <t xml:space="preserve">Оплата по Акту сверки</t>
  </si>
  <si>
    <t xml:space="preserve">ООО "МАРЭКС"</t>
  </si>
  <si>
    <t xml:space="preserve">Счет на оплату № 29 от 17 марта 2026 г.</t>
  </si>
  <si>
    <t xml:space="preserve">Печать буклета А4 фальц до евроформата, безадресное распространение</t>
  </si>
  <si>
    <t xml:space="preserve">Переплата на ЕНС (сумма считается оплаченой)</t>
  </si>
  <si>
    <t xml:space="preserve">ООО "Алекс-Юг"</t>
  </si>
  <si>
    <t xml:space="preserve">Письмо на возврат</t>
  </si>
  <si>
    <t xml:space="preserve">Возврат ДС согласно письму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</si>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</sst>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\ _₽_-;\-* #,##0.00\ _₽_-;_-* &quot;-&quot;??\ _₽_-;_-@_-"/>
    <numFmt numFmtId="161" formatCode="[$-F800]dddd\,\ mmmm\ dd\,\ yyyy"/>
    <numFmt numFmtId="162" formatCode="_-* #,##0.00_р_._-;\-* #,##0.00_р_._-;_-* &quot;-&quot;??_р_._-;_-@_-"/>
    <numFmt numFmtId="163" formatCode="#,##0.00_ ;[Red]\-#,##0.00\ "/>
    <numFmt numFmtId="164" formatCode="0.000"/>
  </numFmts>
  <fonts count="19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i/>
      <u/>
      <sz val="12.000000"/>
      <color theme="1"/>
      <name val="Times New Roman"/>
    </font>
    <font>
      <b/>
      <sz val="11.000000"/>
      <color indexed="2"/>
      <name val="Times New Roman"/>
    </font>
    <font>
      <b/>
      <sz val="13.000000"/>
      <color theme="1"/>
      <name val="Times New Roman"/>
    </font>
    <font>
      <b/>
      <i/>
      <sz val="11.000000"/>
      <color theme="1"/>
      <name val="Times New Roman"/>
    </font>
    <font>
      <i/>
      <sz val="11.000000"/>
      <color theme="1"/>
      <name val="Times New Roman"/>
    </font>
    <font>
      <b/>
      <sz val="9.000000"/>
      <color theme="1"/>
      <name val="Times New Roman"/>
    </font>
    <font>
      <sz val="11.000000"/>
      <name val="Times New Roman"/>
    </font>
    <font>
      <b/>
      <sz val="11.000000"/>
      <name val="Times New Roman"/>
    </font>
    <font>
      <b/>
      <sz val="11.000000"/>
      <color indexed="2"/>
      <name val="Calibri"/>
      <scheme val="minor"/>
    </font>
    <font>
      <sz val="12.000000"/>
      <color theme="1"/>
      <name val="Times New Roman"/>
    </font>
    <font>
      <sz val="12.000000"/>
      <name val="Times New Roman"/>
    </font>
    <font>
      <b/>
      <i val="0"/>
      <strike val="0"/>
      <u val="none"/>
      <sz val="11.000000"/>
      <name val="Times New Roman"/>
    </font>
    <font>
      <i val="0"/>
      <strike val="0"/>
      <u val="none"/>
      <sz val="11.000000"/>
      <name val="Times New Roman"/>
    </font>
    <font>
      <sz val="11.000000"/>
      <color theme="1" tint="0"/>
      <name val="Times New Roman"/>
    </font>
    <font>
      <b val="0"/>
      <i val="0"/>
      <strike val="0"/>
      <u val="none"/>
      <sz val="11.000000"/>
      <name val="Times New Roman"/>
    </font>
    <font>
      <sz val="11.000000"/>
      <color theme="1" tint="0.049989318521683403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26"/>
      </patternFill>
    </fill>
    <fill>
      <patternFill patternType="solid">
        <fgColor indexed="2"/>
        <bgColor indexed="2"/>
      </patternFill>
    </fill>
    <fill>
      <patternFill patternType="solid">
        <fgColor indexed="65"/>
        <bgColor indexed="65"/>
      </patternFill>
    </fill>
    <fill>
      <patternFill patternType="solid">
        <fgColor rgb="FFFFCCFF"/>
        <bgColor rgb="FFFFCCFF"/>
      </patternFill>
    </fill>
    <fill>
      <patternFill patternType="solid">
        <fgColor theme="0" tint="0"/>
        <bgColor theme="0" tint="0"/>
      </patternFill>
    </fill>
  </fills>
  <borders count="8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433">
    <xf fontId="0" fillId="0" borderId="0" numFmtId="0" xfId="0"/>
    <xf fontId="0" fillId="0" borderId="0" numFmtId="0" xfId="1"/>
    <xf fontId="1" fillId="0" borderId="0" numFmtId="0" xfId="1" applyFont="1"/>
    <xf fontId="1" fillId="0" borderId="0" numFmtId="0" xfId="1" applyFont="1" applyAlignment="1">
      <alignment horizontal="center" wrapText="1"/>
    </xf>
    <xf fontId="2" fillId="0" borderId="0" numFmtId="0" xfId="1" applyFont="1"/>
    <xf fontId="3" fillId="2" borderId="1" numFmtId="161" xfId="1" applyNumberFormat="1" applyFont="1" applyFill="1" applyBorder="1" applyAlignment="1" applyProtection="1">
      <alignment horizontal="center" vertical="center"/>
      <protection locked="0"/>
    </xf>
    <xf fontId="4" fillId="0" borderId="0" numFmtId="162" xfId="1" applyNumberFormat="1" applyFont="1"/>
    <xf fontId="2" fillId="0" borderId="0" numFmtId="162" xfId="1" applyNumberFormat="1" applyFont="1"/>
    <xf fontId="2" fillId="0" borderId="0" numFmtId="0" xfId="1" applyFont="1" applyAlignment="1">
      <alignment wrapText="1"/>
    </xf>
    <xf fontId="5" fillId="3" borderId="2" numFmtId="0" xfId="1" applyFont="1" applyFill="1" applyBorder="1" applyAlignment="1" applyProtection="1">
      <alignment horizontal="center" vertical="center" wrapText="1"/>
      <protection locked="0"/>
    </xf>
    <xf fontId="5" fillId="3" borderId="3" numFmtId="0" xfId="1" applyFont="1" applyFill="1" applyBorder="1" applyAlignment="1" applyProtection="1">
      <alignment horizontal="center" vertical="center" wrapText="1"/>
      <protection locked="0"/>
    </xf>
    <xf fontId="5" fillId="3" borderId="4" numFmtId="0" xfId="1" applyFont="1" applyFill="1" applyBorder="1" applyAlignment="1" applyProtection="1">
      <alignment horizontal="center" vertical="center" wrapText="1"/>
      <protection locked="0"/>
    </xf>
    <xf fontId="5" fillId="3" borderId="1" numFmtId="163" xfId="1" applyNumberFormat="1" applyFont="1" applyFill="1" applyBorder="1" applyAlignment="1" applyProtection="1">
      <alignment horizontal="center" vertical="center"/>
      <protection locked="0"/>
    </xf>
    <xf fontId="2" fillId="0" borderId="0" numFmtId="0" xfId="1" applyFont="1" applyAlignment="1">
      <alignment horizontal="center" vertical="center" wrapText="1"/>
    </xf>
    <xf fontId="6" fillId="0" borderId="2" numFmtId="0" xfId="1" applyFont="1" applyBorder="1" applyAlignment="1" applyProtection="1">
      <alignment horizontal="right" vertical="center" wrapText="1"/>
      <protection locked="0"/>
    </xf>
    <xf fontId="6" fillId="0" borderId="3" numFmtId="0" xfId="1" applyFont="1" applyBorder="1" applyAlignment="1" applyProtection="1">
      <alignment horizontal="right" vertical="center" wrapText="1"/>
      <protection locked="0"/>
    </xf>
    <xf fontId="6" fillId="0" borderId="4" numFmtId="0" xfId="1" applyFont="1" applyBorder="1" applyAlignment="1" applyProtection="1">
      <alignment horizontal="right" vertical="center" wrapText="1"/>
      <protection locked="0"/>
    </xf>
    <xf fontId="7" fillId="0" borderId="1" numFmtId="163" xfId="1" applyNumberFormat="1" applyFont="1" applyBorder="1" applyAlignment="1" applyProtection="1">
      <alignment horizontal="right" vertical="center" wrapText="1"/>
      <protection locked="0"/>
    </xf>
    <xf fontId="8" fillId="0" borderId="5" numFmtId="0" xfId="1" applyFont="1" applyBorder="1" applyAlignment="1">
      <alignment horizontal="center" vertical="center" wrapText="1"/>
    </xf>
    <xf fontId="8" fillId="0" borderId="5" numFmtId="162" xfId="1" applyNumberFormat="1" applyFont="1" applyBorder="1" applyAlignment="1">
      <alignment horizontal="center" vertical="center" wrapText="1"/>
    </xf>
    <xf fontId="8" fillId="4" borderId="5" numFmtId="0" xfId="1" applyFont="1" applyFill="1" applyBorder="1" applyAlignment="1">
      <alignment horizontal="center" vertical="center" wrapText="1"/>
    </xf>
    <xf fontId="0" fillId="0" borderId="0" numFmtId="0" xfId="1" applyAlignment="1">
      <alignment vertical="center"/>
    </xf>
    <xf fontId="2" fillId="5" borderId="2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horizontal="center" vertical="center"/>
    </xf>
    <xf fontId="2" fillId="5" borderId="3" numFmtId="0" xfId="1" applyFont="1" applyFill="1" applyBorder="1" applyAlignment="1">
      <alignment horizontal="left" vertical="center"/>
    </xf>
    <xf fontId="2" fillId="5" borderId="3" numFmtId="163" xfId="1" applyNumberFormat="1" applyFont="1" applyFill="1" applyBorder="1" applyAlignment="1">
      <alignment vertical="center"/>
    </xf>
    <xf fontId="2" fillId="5" borderId="4" numFmtId="0" xfId="1" applyFont="1" applyFill="1" applyBorder="1" applyAlignment="1">
      <alignment vertical="center"/>
    </xf>
    <xf fontId="1" fillId="0" borderId="6" numFmtId="0" xfId="1" applyFont="1" applyBorder="1" applyProtection="1">
      <protection locked="0"/>
    </xf>
    <xf fontId="1" fillId="0" borderId="7" numFmtId="0" xfId="1" applyFont="1" applyBorder="1" applyAlignment="1" applyProtection="1">
      <alignment vertical="center"/>
      <protection locked="0"/>
    </xf>
    <xf fontId="1" fillId="0" borderId="7" numFmtId="0" xfId="1" applyFont="1" applyBorder="1" applyAlignment="1" applyProtection="1">
      <alignment vertical="center" wrapText="1"/>
      <protection locked="0"/>
    </xf>
    <xf fontId="1" fillId="6" borderId="7" numFmtId="163" xfId="1" applyNumberFormat="1" applyFont="1" applyFill="1" applyBorder="1" applyAlignment="1" applyProtection="1">
      <alignment vertical="center"/>
      <protection locked="0"/>
    </xf>
    <xf fontId="1" fillId="6" borderId="7" numFmtId="0" xfId="1" applyFont="1" applyFill="1" applyBorder="1" applyProtection="1">
      <protection locked="0"/>
    </xf>
    <xf fontId="0" fillId="0" borderId="7" numFmtId="0" xfId="1" applyBorder="1"/>
    <xf fontId="0" fillId="0" borderId="8" numFmtId="0" xfId="1" applyBorder="1"/>
    <xf fontId="1" fillId="6" borderId="7" numFmtId="163" xfId="1" applyNumberFormat="1" applyFont="1" applyFill="1" applyBorder="1" applyProtection="1">
      <protection locked="0"/>
    </xf>
    <xf fontId="1" fillId="0" borderId="7" numFmtId="0" xfId="1" applyFont="1" applyBorder="1" applyProtection="1">
      <protection locked="0"/>
    </xf>
    <xf fontId="1" fillId="0" borderId="7" numFmtId="0" xfId="1" applyFont="1" applyBorder="1" applyAlignment="1" applyProtection="1">
      <alignment wrapText="1"/>
      <protection locked="0"/>
    </xf>
    <xf fontId="1" fillId="0" borderId="7" numFmtId="163" xfId="1" applyNumberFormat="1" applyFont="1" applyBorder="1" applyProtection="1">
      <protection locked="0"/>
    </xf>
    <xf fontId="1" fillId="6" borderId="7" numFmtId="0" xfId="1" applyFont="1" applyFill="1" applyBorder="1" applyAlignment="1" applyProtection="1">
      <alignment wrapText="1"/>
      <protection locked="0"/>
    </xf>
    <xf fontId="9" fillId="6" borderId="7" numFmtId="0" xfId="1" applyFont="1" applyFill="1" applyBorder="1" applyAlignment="1" applyProtection="1">
      <alignment vertical="center"/>
      <protection locked="0"/>
    </xf>
    <xf fontId="9" fillId="6" borderId="7" numFmtId="0" xfId="1" applyFont="1" applyFill="1" applyBorder="1" applyAlignment="1" applyProtection="1">
      <alignment vertical="center" wrapText="1"/>
      <protection locked="0"/>
    </xf>
    <xf fontId="9" fillId="7" borderId="7" numFmtId="163" xfId="1" applyNumberFormat="1" applyFont="1" applyFill="1" applyBorder="1" applyAlignment="1" applyProtection="1">
      <alignment vertical="center"/>
      <protection locked="0"/>
    </xf>
    <xf fontId="9" fillId="7" borderId="7" numFmtId="163" xfId="1" applyNumberFormat="1" applyFont="1" applyFill="1" applyBorder="1" applyProtection="1">
      <protection locked="0"/>
    </xf>
    <xf fontId="9" fillId="6" borderId="7" numFmtId="0" xfId="1" applyFont="1" applyFill="1" applyBorder="1" applyProtection="1">
      <protection locked="0"/>
    </xf>
    <xf fontId="9" fillId="6" borderId="7" numFmtId="0" xfId="1" applyFont="1" applyFill="1" applyBorder="1" applyAlignment="1" applyProtection="1">
      <alignment wrapText="1"/>
      <protection locked="0"/>
    </xf>
    <xf fontId="1" fillId="0" borderId="9" numFmtId="0" xfId="1" applyFont="1" applyBorder="1" applyProtection="1">
      <protection locked="0"/>
    </xf>
    <xf fontId="1" fillId="0" borderId="10" numFmtId="0" xfId="1" applyFont="1" applyBorder="1" applyProtection="1">
      <protection locked="0"/>
    </xf>
    <xf fontId="1" fillId="0" borderId="10" numFmtId="163" xfId="1" applyNumberFormat="1" applyFont="1" applyBorder="1" applyProtection="1">
      <protection locked="0"/>
    </xf>
    <xf fontId="1" fillId="0" borderId="10" numFmtId="0" xfId="1" applyFont="1" applyBorder="1" applyAlignment="1" applyProtection="1">
      <alignment wrapText="1"/>
      <protection locked="0"/>
    </xf>
    <xf fontId="0" fillId="0" borderId="10" numFmtId="0" xfId="1" applyBorder="1"/>
    <xf fontId="0" fillId="0" borderId="11" numFmtId="0" xfId="1" applyBorder="1"/>
    <xf fontId="1" fillId="0" borderId="12" numFmtId="0" xfId="1" applyFont="1" applyBorder="1" applyProtection="1">
      <protection locked="0"/>
    </xf>
    <xf fontId="1" fillId="0" borderId="13" numFmtId="0" xfId="1" applyFont="1" applyBorder="1" applyProtection="1">
      <protection locked="0"/>
    </xf>
    <xf fontId="1" fillId="0" borderId="13" numFmtId="163" xfId="1" applyNumberFormat="1" applyFont="1" applyBorder="1" applyProtection="1">
      <protection locked="0"/>
    </xf>
    <xf fontId="1" fillId="0" borderId="13" numFmtId="0" xfId="1" applyFont="1" applyBorder="1" applyAlignment="1" applyProtection="1">
      <alignment wrapText="1"/>
      <protection locked="0"/>
    </xf>
    <xf fontId="0" fillId="0" borderId="13" numFmtId="0" xfId="1" applyBorder="1"/>
    <xf fontId="0" fillId="0" borderId="14" numFmtId="0" xfId="1" applyBorder="1"/>
    <xf fontId="1" fillId="0" borderId="15" numFmtId="0" xfId="1" applyFont="1" applyBorder="1" applyProtection="1">
      <protection locked="0"/>
    </xf>
    <xf fontId="1" fillId="0" borderId="16" numFmtId="0" xfId="1" applyFont="1" applyBorder="1" applyAlignment="1" applyProtection="1">
      <alignment wrapText="1"/>
      <protection locked="0"/>
    </xf>
    <xf fontId="10" fillId="6" borderId="7" numFmtId="0" xfId="1" applyFont="1" applyFill="1" applyBorder="1" applyProtection="1">
      <protection locked="0"/>
    </xf>
    <xf fontId="2" fillId="0" borderId="7" numFmtId="0" xfId="1" applyFont="1" applyBorder="1" applyProtection="1">
      <protection locked="0"/>
    </xf>
    <xf fontId="10" fillId="0" borderId="7" numFmtId="0" xfId="1" applyFont="1" applyBorder="1" applyAlignment="1" applyProtection="1">
      <alignment wrapText="1"/>
      <protection locked="0"/>
    </xf>
    <xf fontId="2" fillId="3" borderId="2" numFmtId="0" xfId="1" applyFont="1" applyFill="1" applyBorder="1" applyAlignment="1">
      <alignment horizontal="left" vertical="center"/>
    </xf>
    <xf fontId="2" fillId="3" borderId="3" numFmtId="0" xfId="1" applyFont="1" applyFill="1" applyBorder="1" applyAlignment="1">
      <alignment horizontal="left" vertical="center"/>
    </xf>
    <xf fontId="2" fillId="3" borderId="4" numFmtId="0" xfId="1" applyFont="1" applyFill="1" applyBorder="1" applyAlignment="1">
      <alignment horizontal="left" vertical="center"/>
    </xf>
    <xf fontId="2" fillId="3" borderId="1" numFmtId="163" xfId="1" applyNumberFormat="1" applyFont="1" applyFill="1" applyBorder="1" applyAlignment="1">
      <alignment vertical="center"/>
    </xf>
    <xf fontId="11" fillId="0" borderId="0" numFmtId="0" xfId="1" applyFont="1" applyAlignment="1">
      <alignment vertical="center"/>
    </xf>
    <xf fontId="2" fillId="8" borderId="0" numFmtId="0" xfId="1" applyFont="1" applyFill="1" applyAlignment="1">
      <alignment horizontal="center" vertical="center" wrapText="1"/>
    </xf>
    <xf fontId="2" fillId="5" borderId="17" numFmtId="0" xfId="1" applyFont="1" applyFill="1" applyBorder="1" applyAlignment="1">
      <alignment vertical="center"/>
    </xf>
    <xf fontId="2" fillId="5" borderId="18" numFmtId="0" xfId="1" applyFont="1" applyFill="1" applyBorder="1" applyAlignment="1">
      <alignment vertical="center"/>
    </xf>
    <xf fontId="2" fillId="5" borderId="18" numFmtId="0" xfId="1" applyFont="1" applyFill="1" applyBorder="1" applyAlignment="1">
      <alignment horizontal="center" vertical="center"/>
    </xf>
    <xf fontId="2" fillId="5" borderId="18" numFmtId="0" xfId="1" applyFont="1" applyFill="1" applyBorder="1" applyAlignment="1">
      <alignment horizontal="left" vertical="center"/>
    </xf>
    <xf fontId="2" fillId="5" borderId="18" numFmtId="163" xfId="1" applyNumberFormat="1" applyFont="1" applyFill="1" applyBorder="1" applyAlignment="1">
      <alignment vertical="center"/>
    </xf>
    <xf fontId="1" fillId="0" borderId="19" numFmtId="0" xfId="1" applyFont="1" applyBorder="1" applyProtection="1">
      <protection locked="0"/>
    </xf>
    <xf fontId="12" fillId="6" borderId="20" numFmtId="0" xfId="1" applyFont="1" applyFill="1" applyBorder="1" applyAlignment="1" applyProtection="1">
      <alignment horizontal="left" vertical="center"/>
      <protection locked="0"/>
    </xf>
    <xf fontId="13" fillId="6" borderId="20" numFmtId="0" xfId="1" applyFont="1" applyFill="1" applyBorder="1" applyAlignment="1" applyProtection="1">
      <alignment vertical="center" wrapText="1"/>
      <protection locked="0"/>
    </xf>
    <xf fontId="13" fillId="6" borderId="20" numFmtId="0" xfId="1" applyFont="1" applyFill="1" applyBorder="1" applyAlignment="1" applyProtection="1">
      <alignment horizontal="left" vertical="top" wrapText="1"/>
      <protection locked="0"/>
    </xf>
    <xf fontId="13" fillId="8" borderId="20" numFmtId="163" xfId="1" applyNumberFormat="1" applyFont="1" applyFill="1" applyBorder="1" applyAlignment="1" applyProtection="1">
      <alignment vertical="center" wrapText="1"/>
      <protection locked="0"/>
    </xf>
    <xf fontId="13" fillId="6" borderId="20" numFmtId="0" xfId="1" applyFont="1" applyFill="1" applyBorder="1" applyAlignment="1" applyProtection="1">
      <alignment horizontal="left" vertical="center" wrapText="1"/>
      <protection locked="0"/>
    </xf>
    <xf fontId="12" fillId="6" borderId="20" numFmtId="0" xfId="1" applyFont="1" applyFill="1" applyBorder="1" applyAlignment="1" applyProtection="1">
      <alignment vertical="center"/>
      <protection locked="0"/>
    </xf>
    <xf fontId="12" fillId="0" borderId="20" numFmtId="0" xfId="1" applyFont="1" applyBorder="1" applyAlignment="1" applyProtection="1">
      <alignment vertical="center"/>
      <protection locked="0"/>
    </xf>
    <xf fontId="0" fillId="0" borderId="21" numFmtId="0" xfId="1" applyBorder="1"/>
    <xf fontId="13" fillId="8" borderId="20" numFmtId="163" xfId="1" applyNumberFormat="1" applyFont="1" applyFill="1" applyBorder="1" applyAlignment="1" applyProtection="1">
      <alignment horizontal="left" vertical="center" wrapText="1"/>
      <protection locked="0"/>
    </xf>
    <xf fontId="12" fillId="6" borderId="20" numFmtId="0" xfId="1" applyFont="1" applyFill="1" applyBorder="1" applyProtection="1">
      <protection locked="0"/>
    </xf>
    <xf fontId="13" fillId="6" borderId="20" numFmtId="0" xfId="1" applyFont="1" applyFill="1" applyBorder="1" applyAlignment="1" applyProtection="1">
      <alignment horizontal="left" vertical="top"/>
      <protection locked="0"/>
    </xf>
    <xf fontId="13" fillId="6" borderId="20" numFmtId="0" xfId="1" applyFont="1" applyFill="1" applyBorder="1" applyAlignment="1" applyProtection="1">
      <alignment horizontal="left" vertical="center"/>
      <protection locked="0"/>
    </xf>
    <xf fontId="12" fillId="8" borderId="20" numFmtId="163" xfId="1" applyNumberFormat="1" applyFont="1" applyFill="1" applyBorder="1" applyAlignment="1" applyProtection="1">
      <alignment vertical="center" wrapText="1"/>
      <protection locked="0"/>
    </xf>
    <xf fontId="12" fillId="6" borderId="20" numFmtId="0" xfId="1" applyFont="1" applyFill="1" applyBorder="1" applyAlignment="1" applyProtection="1">
      <alignment horizontal="left" vertical="top" wrapText="1"/>
      <protection locked="0"/>
    </xf>
    <xf fontId="12" fillId="6" borderId="20" numFmtId="0" xfId="1" applyFont="1" applyFill="1" applyBorder="1" applyAlignment="1" applyProtection="1">
      <alignment horizontal="left" vertical="top"/>
      <protection locked="0"/>
    </xf>
    <xf fontId="12" fillId="6" borderId="20" numFmtId="0" xfId="1" applyFont="1" applyFill="1" applyBorder="1" applyAlignment="1" applyProtection="1">
      <alignment horizontal="left" vertical="center" wrapText="1"/>
      <protection locked="0"/>
    </xf>
    <xf fontId="12" fillId="0" borderId="20" numFmtId="0" xfId="1" applyFont="1" applyBorder="1" applyAlignment="1" applyProtection="1">
      <alignment horizontal="left" vertical="top" wrapText="1"/>
      <protection locked="0"/>
    </xf>
    <xf fontId="12" fillId="8" borderId="20" numFmtId="163" xfId="1" applyNumberFormat="1" applyFont="1" applyFill="1" applyBorder="1" applyAlignment="1" applyProtection="1">
      <alignment wrapText="1"/>
      <protection locked="0"/>
    </xf>
    <xf fontId="12" fillId="0" borderId="20" numFmtId="0" xfId="1" applyFont="1" applyBorder="1" applyProtection="1">
      <protection locked="0"/>
    </xf>
    <xf fontId="12" fillId="6" borderId="22" numFmtId="0" xfId="1" applyFont="1" applyFill="1" applyBorder="1" applyAlignment="1" applyProtection="1">
      <alignment horizontal="left" vertical="center"/>
      <protection locked="0"/>
    </xf>
    <xf fontId="12" fillId="0" borderId="20" numFmtId="0" xfId="1" applyFont="1" applyBorder="1" applyAlignment="1" applyProtection="1">
      <alignment horizontal="left" vertical="top"/>
      <protection locked="0"/>
    </xf>
    <xf fontId="1" fillId="0" borderId="23" numFmtId="0" xfId="1" applyFont="1" applyBorder="1" applyProtection="1">
      <protection locked="0"/>
    </xf>
    <xf fontId="12" fillId="0" borderId="24" numFmtId="0" xfId="1" applyFont="1" applyBorder="1" applyAlignment="1" applyProtection="1">
      <alignment horizontal="left" vertical="center"/>
      <protection locked="0"/>
    </xf>
    <xf fontId="12" fillId="0" borderId="22" numFmtId="0" xfId="1" applyFont="1" applyBorder="1" applyAlignment="1" applyProtection="1">
      <alignment horizontal="left" vertical="top" wrapText="1"/>
      <protection locked="0"/>
    </xf>
    <xf fontId="12" fillId="8" borderId="22" numFmtId="163" xfId="1" applyNumberFormat="1" applyFont="1" applyFill="1" applyBorder="1" applyAlignment="1" applyProtection="1">
      <alignment wrapText="1"/>
      <protection locked="0"/>
    </xf>
    <xf fontId="12" fillId="0" borderId="22" numFmtId="0" xfId="1" applyFont="1" applyBorder="1" applyProtection="1">
      <protection locked="0"/>
    </xf>
    <xf fontId="12" fillId="6" borderId="22" numFmtId="0" xfId="1" applyFont="1" applyFill="1" applyBorder="1" applyAlignment="1" applyProtection="1">
      <alignment horizontal="left" vertical="top"/>
      <protection locked="0"/>
    </xf>
    <xf fontId="12" fillId="6" borderId="25" numFmtId="0" xfId="1" applyFont="1" applyFill="1" applyBorder="1" applyAlignment="1" applyProtection="1">
      <alignment horizontal="left" vertical="center" wrapText="1"/>
      <protection locked="0"/>
    </xf>
    <xf fontId="12" fillId="0" borderId="7" numFmtId="0" xfId="1" applyFont="1" applyBorder="1" applyAlignment="1" applyProtection="1">
      <alignment vertical="top" wrapText="1"/>
      <protection locked="0"/>
    </xf>
    <xf fontId="12" fillId="8" borderId="7" numFmtId="163" xfId="1" applyNumberFormat="1" applyFont="1" applyFill="1" applyBorder="1" applyAlignment="1" applyProtection="1">
      <alignment vertical="center" wrapText="1"/>
      <protection locked="0"/>
    </xf>
    <xf fontId="12" fillId="0" borderId="24" numFmtId="0" xfId="1" applyFont="1" applyBorder="1" applyAlignment="1" applyProtection="1">
      <alignment vertical="center" wrapText="1"/>
      <protection locked="0"/>
    </xf>
    <xf fontId="12" fillId="6" borderId="25" numFmtId="0" xfId="1" applyFont="1" applyFill="1" applyBorder="1" applyProtection="1">
      <protection locked="0"/>
    </xf>
    <xf fontId="12" fillId="0" borderId="7" numFmtId="0" xfId="1" applyFont="1" applyBorder="1" applyAlignment="1" applyProtection="1">
      <alignment vertical="center"/>
      <protection locked="0"/>
    </xf>
    <xf fontId="12" fillId="6" borderId="7" numFmtId="0" xfId="1" applyFont="1" applyFill="1" applyBorder="1" applyAlignment="1" applyProtection="1">
      <alignment vertical="center"/>
      <protection locked="0"/>
    </xf>
    <xf fontId="1" fillId="6" borderId="26" numFmtId="0" xfId="1" applyFont="1" applyFill="1" applyBorder="1" applyAlignment="1" applyProtection="1">
      <alignment wrapText="1"/>
      <protection locked="0"/>
    </xf>
    <xf fontId="1" fillId="8" borderId="26" numFmtId="163" xfId="1" applyNumberFormat="1" applyFont="1" applyFill="1" applyBorder="1" applyProtection="1">
      <protection locked="0"/>
    </xf>
    <xf fontId="1" fillId="6" borderId="26" numFmtId="0" xfId="1" applyFont="1" applyFill="1" applyBorder="1" applyProtection="1">
      <protection locked="0"/>
    </xf>
    <xf fontId="1" fillId="0" borderId="26" numFmtId="0" xfId="1" applyFont="1" applyBorder="1" applyProtection="1">
      <protection locked="0"/>
    </xf>
    <xf fontId="12" fillId="0" borderId="27" numFmtId="0" xfId="1" applyFont="1" applyBorder="1" applyAlignment="1" applyProtection="1">
      <alignment horizontal="left" vertical="center"/>
      <protection locked="0"/>
    </xf>
    <xf fontId="12" fillId="0" borderId="28" numFmtId="0" xfId="1" applyFont="1" applyBorder="1" applyAlignment="1" applyProtection="1">
      <alignment horizontal="left" vertical="center" wrapText="1"/>
      <protection locked="0"/>
    </xf>
    <xf fontId="12" fillId="0" borderId="28" numFmtId="0" xfId="1" applyFont="1" applyBorder="1" applyAlignment="1" applyProtection="1">
      <alignment horizontal="left" vertical="top" wrapText="1"/>
      <protection locked="0"/>
    </xf>
    <xf fontId="12" fillId="8" borderId="28" numFmtId="163" xfId="1" applyNumberFormat="1" applyFont="1" applyFill="1" applyBorder="1" applyAlignment="1" applyProtection="1">
      <alignment wrapText="1"/>
      <protection locked="0"/>
    </xf>
    <xf fontId="12" fillId="0" borderId="29" numFmtId="0" xfId="1" applyFont="1" applyBorder="1" applyAlignment="1" applyProtection="1">
      <alignment horizontal="left" vertical="top" wrapText="1"/>
      <protection locked="0"/>
    </xf>
    <xf fontId="12" fillId="0" borderId="28" numFmtId="0" xfId="1" applyFont="1" applyBorder="1" applyProtection="1">
      <protection locked="0"/>
    </xf>
    <xf fontId="12" fillId="6" borderId="28" numFmtId="0" xfId="1" applyFont="1" applyFill="1" applyBorder="1" applyAlignment="1" applyProtection="1">
      <alignment horizontal="left" vertical="top"/>
      <protection locked="0"/>
    </xf>
    <xf fontId="13" fillId="9" borderId="7" numFmtId="0" xfId="1" applyFont="1" applyFill="1" applyBorder="1" applyAlignment="1" applyProtection="1">
      <alignment horizontal="left" vertical="center"/>
      <protection locked="0"/>
    </xf>
    <xf fontId="13" fillId="9" borderId="7" numFmtId="0" xfId="1" applyFont="1" applyFill="1" applyBorder="1" applyAlignment="1" applyProtection="1">
      <alignment horizontal="left" vertical="center" wrapText="1"/>
      <protection locked="0"/>
    </xf>
    <xf fontId="13" fillId="9" borderId="7" numFmtId="0" xfId="1" applyFont="1" applyFill="1" applyBorder="1" applyAlignment="1" applyProtection="1">
      <alignment horizontal="left" vertical="top" wrapText="1"/>
      <protection locked="0"/>
    </xf>
    <xf fontId="13" fillId="8" borderId="7" numFmtId="163" xfId="1" applyNumberFormat="1" applyFont="1" applyFill="1" applyBorder="1" applyAlignment="1" applyProtection="1">
      <alignment horizontal="left" vertical="center"/>
      <protection locked="0"/>
    </xf>
    <xf fontId="13" fillId="9" borderId="24" numFmtId="0" xfId="1" applyFont="1" applyFill="1" applyBorder="1" applyAlignment="1" applyProtection="1">
      <alignment horizontal="left" vertical="top" wrapText="1"/>
      <protection locked="0"/>
    </xf>
    <xf fontId="12" fillId="6" borderId="30" numFmtId="0" xfId="1" applyFont="1" applyFill="1" applyBorder="1" applyProtection="1">
      <protection locked="0"/>
    </xf>
    <xf fontId="13" fillId="9" borderId="7" numFmtId="0" xfId="1" applyFont="1" applyFill="1" applyBorder="1" applyAlignment="1" applyProtection="1">
      <alignment horizontal="left" vertical="top"/>
      <protection locked="0"/>
    </xf>
    <xf fontId="13" fillId="0" borderId="7" numFmtId="0" xfId="1" applyFont="1" applyBorder="1" applyAlignment="1" applyProtection="1">
      <alignment horizontal="left" vertical="center"/>
      <protection locked="0"/>
    </xf>
    <xf fontId="13" fillId="0" borderId="7" numFmtId="0" xfId="1" applyFont="1" applyBorder="1" applyAlignment="1" applyProtection="1">
      <alignment horizontal="left" vertical="center" wrapText="1"/>
      <protection locked="0"/>
    </xf>
    <xf fontId="13" fillId="0" borderId="7" numFmtId="0" xfId="1" applyFont="1" applyBorder="1" applyAlignment="1" applyProtection="1">
      <alignment horizontal="left" vertical="top" wrapText="1"/>
      <protection locked="0"/>
    </xf>
    <xf fontId="13" fillId="8" borderId="7" numFmtId="163" xfId="1" applyNumberFormat="1" applyFont="1" applyFill="1" applyBorder="1" applyAlignment="1" applyProtection="1">
      <alignment horizontal="left"/>
      <protection locked="0"/>
    </xf>
    <xf fontId="13" fillId="0" borderId="24" numFmtId="0" xfId="1" applyFont="1" applyBorder="1" applyAlignment="1" applyProtection="1">
      <alignment horizontal="left" vertical="top" wrapText="1"/>
      <protection locked="0"/>
    </xf>
    <xf fontId="13" fillId="0" borderId="7" numFmtId="0" xfId="1" applyFont="1" applyBorder="1" applyAlignment="1" applyProtection="1">
      <alignment horizontal="left"/>
      <protection locked="0"/>
    </xf>
    <xf fontId="13" fillId="9" borderId="7" numFmtId="0" xfId="1" applyFont="1" applyFill="1" applyBorder="1" applyAlignment="1" applyProtection="1">
      <alignment horizontal="left"/>
      <protection locked="0"/>
    </xf>
    <xf fontId="13" fillId="0" borderId="26" numFmtId="0" xfId="1" applyFont="1" applyBorder="1" applyAlignment="1" applyProtection="1">
      <alignment horizontal="left" vertical="center"/>
      <protection locked="0"/>
    </xf>
    <xf fontId="13" fillId="0" borderId="24" numFmtId="0" xfId="1" applyFont="1" applyBorder="1" applyAlignment="1" applyProtection="1">
      <alignment horizontal="left" wrapText="1"/>
      <protection locked="0"/>
    </xf>
    <xf fontId="13" fillId="0" borderId="20" numFmtId="0" xfId="1" applyFont="1" applyBorder="1" applyAlignment="1" applyProtection="1">
      <alignment horizontal="left" vertical="center"/>
      <protection locked="0"/>
    </xf>
    <xf fontId="13" fillId="0" borderId="21" numFmtId="0" xfId="1" applyFont="1" applyBorder="1" applyAlignment="1" applyProtection="1">
      <alignment horizontal="left" vertical="center" wrapText="1"/>
      <protection locked="0"/>
    </xf>
    <xf fontId="12" fillId="0" borderId="20" numFmtId="0" xfId="1" applyFont="1" applyBorder="1" applyAlignment="1" applyProtection="1">
      <alignment horizontal="left" vertical="center"/>
      <protection locked="0"/>
    </xf>
    <xf fontId="12" fillId="0" borderId="21" numFmtId="0" xfId="1" applyFont="1" applyBorder="1" applyAlignment="1" applyProtection="1">
      <alignment horizontal="left" vertical="center" wrapText="1"/>
      <protection locked="0"/>
    </xf>
    <xf fontId="12" fillId="0" borderId="7" numFmtId="0" xfId="1" applyFont="1" applyBorder="1" applyAlignment="1" applyProtection="1">
      <alignment horizontal="left" vertical="top" wrapText="1"/>
      <protection locked="0"/>
    </xf>
    <xf fontId="12" fillId="8" borderId="7" numFmtId="163" xfId="1" applyNumberFormat="1" applyFont="1" applyFill="1" applyBorder="1" applyAlignment="1" applyProtection="1">
      <alignment horizontal="left" vertical="center"/>
      <protection locked="0"/>
    </xf>
    <xf fontId="12" fillId="0" borderId="7" numFmtId="0" xfId="1" applyFont="1" applyBorder="1" applyAlignment="1" applyProtection="1">
      <alignment horizontal="left" vertical="top"/>
      <protection locked="0"/>
    </xf>
    <xf fontId="13" fillId="0" borderId="31" numFmtId="0" xfId="1" applyFont="1" applyBorder="1" applyAlignment="1" applyProtection="1">
      <alignment horizontal="left" vertical="center"/>
      <protection locked="0"/>
    </xf>
    <xf fontId="13" fillId="0" borderId="26" numFmtId="0" xfId="1" applyFont="1" applyBorder="1" applyAlignment="1" applyProtection="1">
      <alignment horizontal="left" vertical="center" wrapText="1"/>
      <protection locked="0"/>
    </xf>
    <xf fontId="13" fillId="0" borderId="26" numFmtId="0" xfId="1" applyFont="1" applyBorder="1" applyAlignment="1" applyProtection="1">
      <alignment horizontal="left" vertical="top" wrapText="1"/>
      <protection locked="0"/>
    </xf>
    <xf fontId="13" fillId="8" borderId="26" numFmtId="163" xfId="1" applyNumberFormat="1" applyFont="1" applyFill="1" applyBorder="1" applyAlignment="1" applyProtection="1">
      <alignment horizontal="left"/>
      <protection locked="0"/>
    </xf>
    <xf fontId="13" fillId="0" borderId="32" numFmtId="0" xfId="1" applyFont="1" applyBorder="1" applyAlignment="1" applyProtection="1">
      <alignment horizontal="left" wrapText="1"/>
      <protection locked="0"/>
    </xf>
    <xf fontId="13" fillId="0" borderId="26" numFmtId="0" xfId="1" applyFont="1" applyBorder="1" applyAlignment="1" applyProtection="1">
      <alignment horizontal="left"/>
      <protection locked="0"/>
    </xf>
    <xf fontId="13" fillId="9" borderId="26" numFmtId="0" xfId="1" applyFont="1" applyFill="1" applyBorder="1" applyAlignment="1" applyProtection="1">
      <alignment horizontal="left"/>
      <protection locked="0"/>
    </xf>
    <xf fontId="12" fillId="0" borderId="20" numFmtId="0" xfId="1" applyFont="1" applyBorder="1" applyAlignment="1" applyProtection="1">
      <alignment horizontal="left" vertical="center" wrapText="1"/>
      <protection locked="0"/>
    </xf>
    <xf fontId="12" fillId="0" borderId="20" numFmtId="0" xfId="1" applyFont="1" applyBorder="1" applyAlignment="1" applyProtection="1">
      <alignment wrapText="1"/>
      <protection locked="0"/>
    </xf>
    <xf fontId="12" fillId="0" borderId="22" numFmtId="0" xfId="1" applyFont="1" applyBorder="1" applyAlignment="1" applyProtection="1">
      <alignment horizontal="left" vertical="center" wrapText="1"/>
      <protection locked="0"/>
    </xf>
    <xf fontId="12" fillId="0" borderId="22" numFmtId="0" xfId="1" applyFont="1" applyBorder="1" applyAlignment="1" applyProtection="1">
      <alignment wrapText="1"/>
      <protection locked="0"/>
    </xf>
    <xf fontId="12" fillId="6" borderId="22" numFmtId="0" xfId="1" applyFont="1" applyFill="1" applyBorder="1" applyAlignment="1" applyProtection="1">
      <alignment horizontal="left" vertical="top" wrapText="1"/>
      <protection locked="0"/>
    </xf>
    <xf fontId="12" fillId="0" borderId="26" numFmtId="0" xfId="1" applyFont="1" applyBorder="1" applyProtection="1">
      <protection locked="0"/>
    </xf>
    <xf fontId="12" fillId="0" borderId="7" numFmtId="0" xfId="1" applyFont="1" applyBorder="1" applyAlignment="1" applyProtection="1">
      <alignment wrapText="1"/>
      <protection locked="0"/>
    </xf>
    <xf fontId="12" fillId="8" borderId="7" numFmtId="163" xfId="1" applyNumberFormat="1" applyFont="1" applyFill="1" applyBorder="1" applyProtection="1">
      <protection locked="0"/>
    </xf>
    <xf fontId="12" fillId="0" borderId="24" numFmtId="0" xfId="1" applyFont="1" applyBorder="1" applyAlignment="1" applyProtection="1">
      <alignment vertical="top" wrapText="1"/>
      <protection locked="0"/>
    </xf>
    <xf fontId="12" fillId="0" borderId="7" numFmtId="0" xfId="1" applyFont="1" applyBorder="1" applyProtection="1">
      <protection locked="0"/>
    </xf>
    <xf fontId="12" fillId="6" borderId="7" numFmtId="0" xfId="1" applyFont="1" applyFill="1" applyBorder="1" applyProtection="1">
      <protection locked="0"/>
    </xf>
    <xf fontId="12" fillId="0" borderId="22" numFmtId="0" xfId="1" applyFont="1" applyBorder="1" applyAlignment="1" applyProtection="1">
      <alignment vertical="center"/>
      <protection locked="0"/>
    </xf>
    <xf fontId="12" fillId="0" borderId="21" numFmtId="0" xfId="1" applyFont="1" applyBorder="1" applyAlignment="1" applyProtection="1">
      <alignment vertical="center" wrapText="1"/>
      <protection locked="0"/>
    </xf>
    <xf fontId="12" fillId="8" borderId="7" numFmtId="163" xfId="1" applyNumberFormat="1" applyFont="1" applyFill="1" applyBorder="1" applyAlignment="1" applyProtection="1">
      <alignment vertical="center"/>
      <protection locked="0"/>
    </xf>
    <xf fontId="13" fillId="9" borderId="15" numFmtId="0" xfId="1" applyFont="1" applyFill="1" applyBorder="1" applyAlignment="1" applyProtection="1">
      <alignment horizontal="left" vertical="center"/>
      <protection locked="0"/>
    </xf>
    <xf fontId="13" fillId="0" borderId="7" numFmtId="0" xfId="1" applyFont="1" applyBorder="1" applyAlignment="1" applyProtection="1">
      <alignment horizontal="left" vertical="top"/>
      <protection locked="0"/>
    </xf>
    <xf fontId="12" fillId="0" borderId="7" numFmtId="0" xfId="1" applyFont="1" applyBorder="1" applyAlignment="1" applyProtection="1">
      <alignment horizontal="left" vertical="center"/>
      <protection locked="0"/>
    </xf>
    <xf fontId="12" fillId="0" borderId="7" numFmtId="0" xfId="1" applyFont="1" applyBorder="1" applyAlignment="1" applyProtection="1">
      <alignment horizontal="left" vertical="center" wrapText="1"/>
      <protection locked="0"/>
    </xf>
    <xf fontId="12" fillId="8" borderId="7" numFmtId="163" xfId="1" applyNumberFormat="1" applyFont="1" applyFill="1" applyBorder="1" applyAlignment="1" applyProtection="1">
      <alignment horizontal="left" vertical="top" wrapText="1"/>
      <protection locked="0"/>
    </xf>
    <xf fontId="12" fillId="0" borderId="24" numFmtId="0" xfId="1" applyFont="1" applyBorder="1" applyAlignment="1" applyProtection="1">
      <alignment horizontal="left" vertical="top" wrapText="1"/>
      <protection locked="0"/>
    </xf>
    <xf fontId="12" fillId="6" borderId="7" numFmtId="0" xfId="1" applyFont="1" applyFill="1" applyBorder="1" applyAlignment="1" applyProtection="1">
      <alignment horizontal="left" vertical="top" wrapText="1"/>
      <protection locked="0"/>
    </xf>
    <xf fontId="13" fillId="8" borderId="26" numFmtId="163" xfId="1" applyNumberFormat="1" applyFont="1" applyFill="1" applyBorder="1" applyAlignment="1" applyProtection="1">
      <alignment horizontal="left" vertical="center"/>
      <protection locked="0"/>
    </xf>
    <xf fontId="12" fillId="0" borderId="22" numFmtId="0" xfId="1" applyFont="1" applyBorder="1" applyAlignment="1" applyProtection="1">
      <alignment horizontal="left" vertical="center"/>
      <protection locked="0"/>
    </xf>
    <xf fontId="12" fillId="8" borderId="20" numFmtId="163" xfId="1" applyNumberFormat="1" applyFont="1" applyFill="1" applyBorder="1" applyProtection="1">
      <protection locked="0"/>
    </xf>
    <xf fontId="12" fillId="0" borderId="33" numFmtId="0" xfId="1" applyFont="1" applyBorder="1" applyAlignment="1" applyProtection="1">
      <alignment vertical="top" wrapText="1"/>
      <protection locked="0"/>
    </xf>
    <xf fontId="12" fillId="0" borderId="34" numFmtId="0" xfId="1" applyFont="1" applyBorder="1" applyProtection="1">
      <protection locked="0"/>
    </xf>
    <xf fontId="12" fillId="6" borderId="35" numFmtId="0" xfId="1" applyFont="1" applyFill="1" applyBorder="1" applyProtection="1">
      <protection locked="0"/>
    </xf>
    <xf fontId="0" fillId="0" borderId="26" numFmtId="0" xfId="1" applyBorder="1"/>
    <xf fontId="0" fillId="0" borderId="36" numFmtId="0" xfId="1" applyBorder="1"/>
    <xf fontId="13" fillId="0" borderId="24" numFmtId="0" xfId="1" applyFont="1" applyBorder="1" applyAlignment="1" applyProtection="1">
      <alignment horizontal="left" vertical="center"/>
      <protection locked="0"/>
    </xf>
    <xf fontId="13" fillId="0" borderId="28" numFmtId="0" xfId="1" applyFont="1" applyBorder="1" applyAlignment="1" applyProtection="1">
      <alignment horizontal="left" vertical="center" wrapText="1"/>
      <protection locked="0"/>
    </xf>
    <xf fontId="13" fillId="0" borderId="28" numFmtId="0" xfId="1" applyFont="1" applyBorder="1" applyAlignment="1" applyProtection="1">
      <alignment horizontal="left" vertical="top" wrapText="1"/>
      <protection locked="0"/>
    </xf>
    <xf fontId="13" fillId="8" borderId="28" numFmtId="163" xfId="1" applyNumberFormat="1" applyFont="1" applyFill="1" applyBorder="1" applyAlignment="1" applyProtection="1">
      <alignment horizontal="left"/>
      <protection locked="0"/>
    </xf>
    <xf fontId="12" fillId="6" borderId="28" numFmtId="0" xfId="1" applyFont="1" applyFill="1" applyBorder="1" applyProtection="1">
      <protection locked="0"/>
    </xf>
    <xf fontId="13" fillId="0" borderId="28" numFmtId="0" xfId="1" applyFont="1" applyBorder="1" applyAlignment="1" applyProtection="1">
      <alignment horizontal="left"/>
      <protection locked="0"/>
    </xf>
    <xf fontId="13" fillId="6" borderId="28" numFmtId="0" xfId="1" applyFont="1" applyFill="1" applyBorder="1" applyAlignment="1" applyProtection="1">
      <alignment horizontal="left"/>
      <protection locked="0"/>
    </xf>
    <xf fontId="0" fillId="0" borderId="37" numFmtId="0" xfId="1" applyBorder="1"/>
    <xf fontId="0" fillId="0" borderId="20" numFmtId="0" xfId="1" applyBorder="1"/>
    <xf fontId="1" fillId="0" borderId="15" numFmtId="0" xfId="1" applyFont="1" applyBorder="1" applyAlignment="1" applyProtection="1">
      <alignment vertical="center"/>
      <protection locked="0"/>
    </xf>
    <xf fontId="1" fillId="0" borderId="15" numFmtId="0" xfId="1" applyFont="1" applyBorder="1" applyAlignment="1" applyProtection="1">
      <alignment vertical="center" wrapText="1"/>
      <protection locked="0"/>
    </xf>
    <xf fontId="1" fillId="8" borderId="7" numFmtId="163" xfId="1" applyNumberFormat="1" applyFont="1" applyFill="1" applyBorder="1" applyAlignment="1" applyProtection="1">
      <alignment vertical="center"/>
      <protection locked="0"/>
    </xf>
    <xf fontId="1" fillId="6" borderId="15" numFmtId="0" xfId="1" applyFont="1" applyFill="1" applyBorder="1" applyProtection="1">
      <protection locked="0"/>
    </xf>
    <xf fontId="0" fillId="0" borderId="15" numFmtId="0" xfId="1" applyBorder="1"/>
    <xf fontId="12" fillId="0" borderId="38" numFmtId="0" xfId="1" applyFont="1" applyBorder="1" applyAlignment="1" applyProtection="1">
      <alignment vertical="top"/>
      <protection locked="0"/>
    </xf>
    <xf fontId="1" fillId="8" borderId="39" numFmtId="163" xfId="1" applyNumberFormat="1" applyFont="1" applyFill="1" applyBorder="1" applyProtection="1">
      <protection locked="0"/>
    </xf>
    <xf fontId="12" fillId="0" borderId="22" numFmtId="0" xfId="1" applyFont="1" applyBorder="1" applyAlignment="1" applyProtection="1">
      <alignment vertical="center" wrapText="1"/>
      <protection locked="0"/>
    </xf>
    <xf fontId="12" fillId="6" borderId="22" numFmtId="0" xfId="1" applyFont="1" applyFill="1" applyBorder="1" applyAlignment="1" applyProtection="1">
      <alignment vertical="center"/>
      <protection locked="0"/>
    </xf>
    <xf fontId="0" fillId="0" borderId="40" numFmtId="0" xfId="1" applyBorder="1"/>
    <xf fontId="1" fillId="8" borderId="7" numFmtId="163" xfId="1" applyNumberFormat="1" applyFont="1" applyFill="1" applyBorder="1" applyProtection="1">
      <protection locked="0"/>
    </xf>
    <xf fontId="1" fillId="0" borderId="16" numFmtId="0" xfId="1" applyFont="1" applyBorder="1" applyProtection="1">
      <protection locked="0"/>
    </xf>
    <xf fontId="0" fillId="0" borderId="16" numFmtId="0" xfId="1" applyBorder="1"/>
    <xf fontId="1" fillId="10" borderId="7" numFmtId="163" xfId="1" applyNumberFormat="1" applyFont="1" applyFill="1" applyBorder="1" applyAlignment="1" applyProtection="1">
      <alignment horizontal="right" vertical="center"/>
      <protection locked="0"/>
    </xf>
    <xf fontId="1" fillId="0" borderId="39" numFmtId="0" xfId="1" applyFont="1" applyBorder="1" applyAlignment="1" applyProtection="1">
      <alignment wrapText="1"/>
      <protection locked="0"/>
    </xf>
    <xf fontId="2" fillId="5" borderId="41" numFmtId="0" xfId="1" applyFont="1" applyFill="1" applyBorder="1" applyAlignment="1">
      <alignment vertical="center"/>
    </xf>
    <xf fontId="0" fillId="0" borderId="20" numFmtId="0" xfId="1" applyBorder="1" applyAlignment="1">
      <alignment vertical="center"/>
    </xf>
    <xf fontId="13" fillId="6" borderId="22" numFmtId="0" xfId="1" applyFont="1" applyFill="1" applyBorder="1" applyAlignment="1">
      <alignment horizontal="left" vertical="center" wrapText="1"/>
      <protection locked="0"/>
    </xf>
    <xf fontId="14" fillId="6" borderId="42" numFmtId="0" xfId="1" applyFont="1" applyFill="1" applyBorder="1" applyAlignment="1">
      <alignment horizontal="left" vertical="center"/>
      <protection locked="0"/>
    </xf>
    <xf fontId="15" fillId="0" borderId="7" numFmtId="0" xfId="1" applyFont="1" applyBorder="1" applyAlignment="1">
      <alignment horizontal="left" vertical="center"/>
      <protection locked="0"/>
    </xf>
    <xf fontId="16" fillId="8" borderId="7" numFmtId="163" xfId="1" applyNumberFormat="1" applyFont="1" applyFill="1" applyBorder="1" applyAlignment="1">
      <alignment vertical="center"/>
      <protection locked="0"/>
    </xf>
    <xf fontId="17" fillId="0" borderId="7" numFmtId="0" xfId="1" applyFont="1" applyBorder="1" applyAlignment="1">
      <alignment horizontal="left" vertical="center" wrapText="1"/>
      <protection locked="0"/>
    </xf>
    <xf fontId="1" fillId="0" borderId="43" numFmtId="0" xfId="1" applyFont="1" applyBorder="1" applyAlignment="1">
      <alignment vertical="center"/>
    </xf>
    <xf fontId="1" fillId="0" borderId="20" numFmtId="0" xfId="1" applyFont="1" applyBorder="1" applyAlignment="1">
      <alignment vertical="center"/>
    </xf>
    <xf fontId="1" fillId="0" borderId="28" numFmtId="0" xfId="1" applyFont="1" applyBorder="1" applyAlignment="1">
      <alignment vertical="center"/>
    </xf>
    <xf fontId="13" fillId="6" borderId="22" numFmtId="0" xfId="1" applyFont="1" applyFill="1" applyBorder="1" applyAlignment="1" applyProtection="1">
      <alignment horizontal="left" vertical="center" wrapText="1"/>
      <protection locked="0"/>
    </xf>
    <xf fontId="14" fillId="6" borderId="21" numFmtId="0" xfId="1" applyFont="1" applyFill="1" applyBorder="1" applyAlignment="1" applyProtection="1">
      <alignment horizontal="left" vertical="center"/>
      <protection locked="0"/>
    </xf>
    <xf fontId="15" fillId="0" borderId="7" numFmtId="0" xfId="1" applyFont="1" applyBorder="1" applyAlignment="1" applyProtection="1">
      <alignment horizontal="left" vertical="center"/>
      <protection locked="0"/>
    </xf>
    <xf fontId="1" fillId="8" borderId="7" numFmtId="163" xfId="1" applyNumberFormat="1" applyFont="1" applyFill="1" applyBorder="1" applyAlignment="1" applyProtection="1">
      <alignment horizontal="left" vertical="center"/>
      <protection locked="0"/>
    </xf>
    <xf fontId="17" fillId="0" borderId="7" numFmtId="0" xfId="1" applyFont="1" applyBorder="1" applyAlignment="1" applyProtection="1">
      <alignment horizontal="left" vertical="center" wrapText="1"/>
      <protection locked="0"/>
    </xf>
    <xf fontId="1" fillId="0" borderId="7" numFmtId="0" xfId="1" applyFont="1" applyBorder="1"/>
    <xf fontId="1" fillId="0" borderId="8" numFmtId="0" xfId="1" applyFont="1" applyBorder="1"/>
    <xf fontId="1" fillId="0" borderId="44" numFmtId="0" xfId="1" applyFont="1" applyBorder="1" applyAlignment="1" applyProtection="1">
      <alignment vertical="center" wrapText="1"/>
      <protection locked="0"/>
    </xf>
    <xf fontId="1" fillId="0" borderId="45" numFmtId="0" xfId="1" applyFont="1" applyBorder="1" applyAlignment="1" applyProtection="1">
      <alignment vertical="center"/>
      <protection locked="0"/>
    </xf>
    <xf fontId="1" fillId="0" borderId="16" numFmtId="0" xfId="1" applyFont="1" applyBorder="1" applyAlignment="1" applyProtection="1">
      <alignment vertical="center"/>
      <protection locked="0"/>
    </xf>
    <xf fontId="1" fillId="10" borderId="16" numFmtId="163" xfId="1" applyNumberFormat="1" applyFont="1" applyFill="1" applyBorder="1" applyAlignment="1" applyProtection="1">
      <alignment horizontal="right" vertical="center"/>
      <protection locked="0"/>
    </xf>
    <xf fontId="1" fillId="0" borderId="16" numFmtId="0" xfId="1" applyFont="1" applyBorder="1" applyAlignment="1" applyProtection="1">
      <alignment vertical="top" wrapText="1"/>
      <protection locked="0"/>
    </xf>
    <xf fontId="1" fillId="0" borderId="13" numFmtId="0" xfId="1" applyFont="1" applyBorder="1"/>
    <xf fontId="1" fillId="0" borderId="14" numFmtId="0" xfId="1" applyFont="1" applyBorder="1"/>
    <xf fontId="12" fillId="0" borderId="46" numFmtId="0" xfId="1" applyFont="1" applyBorder="1" applyAlignment="1" applyProtection="1">
      <alignment horizontal="left" vertical="top" wrapText="1"/>
      <protection locked="0"/>
    </xf>
    <xf fontId="0" fillId="0" borderId="47" numFmtId="0" xfId="1" applyBorder="1"/>
    <xf fontId="13" fillId="0" borderId="22" numFmtId="0" xfId="1" applyFont="1" applyBorder="1" applyAlignment="1" applyProtection="1">
      <alignment horizontal="left" vertical="center" wrapText="1"/>
      <protection locked="0"/>
    </xf>
    <xf fontId="13" fillId="0" borderId="22" numFmtId="0" xfId="1" applyFont="1" applyBorder="1" applyAlignment="1" applyProtection="1">
      <alignment horizontal="left" vertical="top" wrapText="1"/>
      <protection locked="0"/>
    </xf>
    <xf fontId="13" fillId="8" borderId="22" numFmtId="163" xfId="1" applyNumberFormat="1" applyFont="1" applyFill="1" applyBorder="1" applyAlignment="1" applyProtection="1">
      <alignment horizontal="left"/>
      <protection locked="0"/>
    </xf>
    <xf fontId="12" fillId="6" borderId="22" numFmtId="0" xfId="1" applyFont="1" applyFill="1" applyBorder="1" applyProtection="1">
      <protection locked="0"/>
    </xf>
    <xf fontId="13" fillId="0" borderId="22" numFmtId="0" xfId="1" applyFont="1" applyBorder="1" applyAlignment="1" applyProtection="1">
      <alignment horizontal="left"/>
      <protection locked="0"/>
    </xf>
    <xf fontId="13" fillId="6" borderId="22" numFmtId="0" xfId="1" applyFont="1" applyFill="1" applyBorder="1" applyAlignment="1" applyProtection="1">
      <alignment horizontal="left"/>
      <protection locked="0"/>
    </xf>
    <xf fontId="0" fillId="0" borderId="22" numFmtId="0" xfId="1" applyBorder="1"/>
    <xf fontId="0" fillId="0" borderId="28" numFmtId="0" xfId="1" applyBorder="1"/>
    <xf fontId="1" fillId="0" borderId="26" numFmtId="0" xfId="1" applyFont="1" applyBorder="1" applyAlignment="1" applyProtection="1">
      <alignment vertical="center"/>
      <protection locked="0"/>
    </xf>
    <xf fontId="1" fillId="0" borderId="26" numFmtId="0" xfId="1" applyFont="1" applyBorder="1" applyAlignment="1" applyProtection="1">
      <alignment vertical="center" wrapText="1"/>
      <protection locked="0"/>
    </xf>
    <xf fontId="12" fillId="0" borderId="25" numFmtId="0" xfId="1" applyFont="1" applyBorder="1" applyAlignment="1" applyProtection="1">
      <alignment vertical="top"/>
      <protection locked="0"/>
    </xf>
    <xf fontId="1" fillId="8" borderId="24" numFmtId="163" xfId="1" applyNumberFormat="1" applyFont="1" applyFill="1" applyBorder="1" applyProtection="1">
      <protection locked="0"/>
    </xf>
    <xf fontId="18" fillId="8" borderId="7" numFmtId="163" xfId="1" applyNumberFormat="1" applyFont="1" applyFill="1" applyBorder="1" applyProtection="1">
      <protection locked="0"/>
    </xf>
    <xf fontId="0" fillId="0" borderId="28" numFmtId="0" xfId="1" applyBorder="1" applyAlignment="1" applyProtection="1">
      <alignment vertical="center"/>
    </xf>
    <xf fontId="13" fillId="6" borderId="28" numFmtId="0" xfId="1" applyFont="1" applyFill="1" applyBorder="1" applyAlignment="1" applyProtection="1">
      <alignment horizontal="left" vertical="center" wrapText="1"/>
      <protection locked="0"/>
    </xf>
    <xf fontId="14" fillId="6" borderId="42" numFmtId="0" xfId="1" applyFont="1" applyFill="1" applyBorder="1" applyAlignment="1" applyProtection="1">
      <alignment horizontal="left" vertical="center"/>
      <protection locked="0"/>
    </xf>
    <xf fontId="1" fillId="0" borderId="48" numFmtId="0" xfId="1" applyFont="1" applyBorder="1" applyAlignment="1" applyProtection="1">
      <alignment vertical="center"/>
    </xf>
    <xf fontId="1" fillId="0" borderId="28" numFmtId="0" xfId="1" applyFont="1" applyBorder="1" applyAlignment="1" applyProtection="1">
      <alignment vertical="center"/>
    </xf>
    <xf fontId="1" fillId="0" borderId="22" numFmtId="0" xfId="1" applyFont="1" applyBorder="1" applyAlignment="1" applyProtection="1">
      <alignment vertical="center"/>
    </xf>
    <xf fontId="0" fillId="0" borderId="0" numFmtId="0" xfId="1" applyAlignment="1">
      <alignment vertical="center" wrapText="1"/>
    </xf>
    <xf fontId="1" fillId="0" borderId="6" numFmtId="0" xfId="1" applyFont="1" applyBorder="1" applyAlignment="1" applyProtection="1">
      <alignment vertical="center" wrapText="1"/>
      <protection locked="0"/>
    </xf>
    <xf fontId="1" fillId="10" borderId="7" numFmtId="163" xfId="1" applyNumberFormat="1" applyFont="1" applyFill="1" applyBorder="1" applyAlignment="1" applyProtection="1">
      <alignment vertical="center" wrapText="1"/>
      <protection locked="0"/>
    </xf>
    <xf fontId="0" fillId="0" borderId="7" numFmtId="0" xfId="1" applyBorder="1" applyAlignment="1">
      <alignment vertical="center" wrapText="1"/>
    </xf>
    <xf fontId="0" fillId="0" borderId="8" numFmtId="0" xfId="1" applyBorder="1" applyAlignment="1">
      <alignment vertical="center" wrapText="1"/>
    </xf>
    <xf fontId="2" fillId="2" borderId="0" numFmtId="0" xfId="1" applyFont="1" applyFill="1" applyAlignment="1">
      <alignment horizontal="center" vertical="center" wrapText="1"/>
    </xf>
    <xf fontId="1" fillId="8" borderId="10" numFmtId="163" xfId="1" applyNumberFormat="1" applyFont="1" applyFill="1" applyBorder="1" applyProtection="1">
      <protection locked="0"/>
    </xf>
    <xf fontId="1" fillId="0" borderId="49" numFmtId="0" xfId="1" applyFont="1" applyBorder="1" applyProtection="1">
      <protection locked="0"/>
    </xf>
    <xf fontId="9" fillId="10" borderId="21" numFmtId="163" xfId="1" applyNumberFormat="1" applyFont="1" applyFill="1" applyBorder="1" applyProtection="1">
      <protection locked="0"/>
    </xf>
    <xf fontId="9" fillId="8" borderId="7" numFmtId="163" xfId="1" applyNumberFormat="1" applyFont="1" applyFill="1" applyBorder="1" applyAlignment="1" applyProtection="1">
      <alignment horizontal="left"/>
      <protection locked="0"/>
    </xf>
    <xf fontId="1" fillId="0" borderId="50" numFmtId="0" xfId="1" applyFont="1" applyBorder="1" applyAlignment="1" applyProtection="1">
      <alignment vertical="center"/>
    </xf>
    <xf fontId="1" fillId="0" borderId="51" numFmtId="0" xfId="1" applyFont="1" applyBorder="1" applyProtection="1">
      <protection locked="0"/>
    </xf>
    <xf fontId="2" fillId="3" borderId="52" numFmtId="0" xfId="1" applyFont="1" applyFill="1" applyBorder="1" applyAlignment="1">
      <alignment horizontal="left" vertical="center"/>
    </xf>
    <xf fontId="2" fillId="3" borderId="53" numFmtId="0" xfId="1" applyFont="1" applyFill="1" applyBorder="1" applyAlignment="1">
      <alignment horizontal="left" vertical="center"/>
    </xf>
    <xf fontId="2" fillId="3" borderId="54" numFmtId="163" xfId="1" applyNumberFormat="1" applyFont="1" applyFill="1" applyBorder="1" applyAlignment="1">
      <alignment vertical="center"/>
    </xf>
    <xf fontId="12" fillId="0" borderId="28" numFmtId="0" xfId="1" applyFont="1" applyBorder="1" applyAlignment="1" applyProtection="1">
      <alignment vertical="center"/>
      <protection locked="0"/>
    </xf>
    <xf fontId="13" fillId="9" borderId="21" numFmtId="0" xfId="1" applyFont="1" applyFill="1" applyBorder="1" applyAlignment="1" applyProtection="1">
      <alignment horizontal="left" vertical="center" wrapText="1"/>
      <protection locked="0"/>
    </xf>
    <xf fontId="13" fillId="0" borderId="21" numFmtId="0" xfId="1" applyFont="1" applyBorder="1" applyAlignment="1" applyProtection="1">
      <alignment horizontal="left" vertical="center"/>
      <protection locked="0"/>
    </xf>
    <xf fontId="1" fillId="8" borderId="7" numFmtId="0" xfId="1" applyFont="1" applyFill="1" applyBorder="1"/>
    <xf fontId="9" fillId="8" borderId="7" numFmtId="163" xfId="1" applyNumberFormat="1" applyFont="1" applyFill="1" applyBorder="1" applyAlignment="1" applyProtection="1">
      <alignment vertical="center"/>
      <protection locked="0"/>
    </xf>
    <xf fontId="9" fillId="6" borderId="7" numFmtId="0" xfId="1" applyFont="1" applyFill="1" applyBorder="1" applyAlignment="1" applyProtection="1">
      <alignment vertical="top" wrapText="1"/>
      <protection locked="0"/>
    </xf>
    <xf fontId="9" fillId="8" borderId="7" numFmtId="163" xfId="1" applyNumberFormat="1" applyFont="1" applyFill="1" applyBorder="1" applyProtection="1">
      <protection locked="0"/>
    </xf>
    <xf fontId="12" fillId="10" borderId="22" numFmtId="163" xfId="1" applyNumberFormat="1" applyFont="1" applyFill="1" applyBorder="1" applyAlignment="1" applyProtection="1">
      <alignment wrapText="1"/>
      <protection locked="0"/>
    </xf>
    <xf fontId="1" fillId="0" borderId="7" numFmtId="0" xfId="1" applyFont="1" applyBorder="1" applyAlignment="1">
      <alignment vertical="center"/>
      <protection locked="0"/>
    </xf>
    <xf fontId="1" fillId="0" borderId="7" numFmtId="0" xfId="1" applyFont="1" applyBorder="1" applyAlignment="1">
      <alignment vertical="center" wrapText="1"/>
      <protection locked="0"/>
    </xf>
    <xf fontId="1" fillId="10" borderId="7" numFmtId="163" xfId="1" applyNumberFormat="1" applyFont="1" applyFill="1" applyBorder="1">
      <protection locked="0"/>
    </xf>
    <xf fontId="1" fillId="0" borderId="39" numFmtId="0" xfId="1" applyFont="1" applyBorder="1" applyAlignment="1">
      <alignment vertical="center" wrapText="1"/>
      <protection locked="0"/>
    </xf>
    <xf fontId="12" fillId="6" borderId="20" numFmtId="0" xfId="1" applyFont="1" applyFill="1" applyBorder="1">
      <protection locked="0"/>
    </xf>
    <xf fontId="1" fillId="0" borderId="21" numFmtId="0" xfId="1" applyFont="1" applyBorder="1" applyProtection="1">
      <protection locked="0"/>
    </xf>
    <xf fontId="1" fillId="10" borderId="7" numFmtId="163" xfId="1" applyNumberFormat="1" applyFont="1" applyFill="1" applyBorder="1" applyProtection="1">
      <protection locked="0"/>
    </xf>
    <xf fontId="1" fillId="6" borderId="39" numFmtId="0" xfId="1" applyFont="1" applyFill="1" applyBorder="1" applyAlignment="1" applyProtection="1">
      <alignment wrapText="1"/>
      <protection locked="0"/>
    </xf>
    <xf fontId="1" fillId="0" borderId="55" numFmtId="0" xfId="1" applyFont="1" applyBorder="1" applyProtection="1">
      <protection locked="0"/>
    </xf>
    <xf fontId="1" fillId="0" borderId="56" numFmtId="0" xfId="1" applyFont="1" applyBorder="1" applyProtection="1">
      <protection locked="0"/>
    </xf>
    <xf fontId="1" fillId="10" borderId="56" numFmtId="163" xfId="1" applyNumberFormat="1" applyFont="1" applyFill="1" applyBorder="1" applyProtection="1">
      <protection locked="0"/>
    </xf>
    <xf fontId="1" fillId="0" borderId="57" numFmtId="0" xfId="1" applyFont="1" applyBorder="1" applyAlignment="1" applyProtection="1">
      <alignment wrapText="1"/>
      <protection locked="0"/>
    </xf>
    <xf fontId="0" fillId="0" borderId="56" numFmtId="0" xfId="1" applyBorder="1"/>
    <xf fontId="0" fillId="0" borderId="58" numFmtId="0" xfId="1" applyBorder="1"/>
    <xf fontId="1" fillId="0" borderId="20" numFmtId="0" xfId="1" applyFont="1" applyBorder="1" applyProtection="1">
      <protection locked="0"/>
    </xf>
    <xf fontId="1" fillId="10" borderId="20" numFmtId="163" xfId="1" applyNumberFormat="1" applyFont="1" applyFill="1" applyBorder="1" applyProtection="1">
      <protection locked="0"/>
    </xf>
    <xf fontId="1" fillId="0" borderId="20" numFmtId="0" xfId="1" applyFont="1" applyBorder="1" applyAlignment="1" applyProtection="1">
      <alignment wrapText="1"/>
      <protection locked="0"/>
    </xf>
    <xf fontId="1" fillId="0" borderId="20" numFmtId="0" xfId="1" applyFont="1" applyBorder="1" applyAlignment="1">
      <alignment vertical="center" wrapText="1"/>
    </xf>
    <xf fontId="0" fillId="0" borderId="20" numFmtId="0" xfId="1" applyBorder="1" applyAlignment="1">
      <alignment vertical="center" wrapText="1"/>
    </xf>
    <xf fontId="1" fillId="0" borderId="59" numFmtId="0" xfId="1" applyFont="1" applyBorder="1" applyProtection="1">
      <protection locked="0"/>
    </xf>
    <xf fontId="1" fillId="0" borderId="16" numFmtId="163" xfId="1" applyNumberFormat="1" applyFont="1" applyBorder="1" applyProtection="1">
      <protection locked="0"/>
    </xf>
    <xf fontId="0" fillId="0" borderId="60" numFmtId="0" xfId="1" applyBorder="1"/>
    <xf fontId="1" fillId="0" borderId="7" numFmtId="0" xfId="1" applyFont="1" applyBorder="1" applyAlignment="1" applyProtection="1">
      <alignment vertical="top" wrapText="1"/>
      <protection locked="0"/>
    </xf>
    <xf fontId="1" fillId="0" borderId="61" numFmtId="0" xfId="1" applyFont="1" applyBorder="1" applyProtection="1">
      <protection locked="0"/>
    </xf>
    <xf fontId="1" fillId="0" borderId="62" numFmtId="0" xfId="1" applyFont="1" applyBorder="1" applyProtection="1">
      <protection locked="0"/>
    </xf>
    <xf fontId="1" fillId="6" borderId="15" numFmtId="0" xfId="1" applyFont="1" applyFill="1" applyBorder="1" applyAlignment="1" applyProtection="1">
      <alignment wrapText="1"/>
      <protection locked="0"/>
    </xf>
    <xf fontId="1" fillId="8" borderId="15" numFmtId="163" xfId="1" applyNumberFormat="1" applyFont="1" applyFill="1" applyBorder="1" applyProtection="1">
      <protection locked="0"/>
    </xf>
    <xf fontId="13" fillId="9" borderId="26" numFmtId="0" xfId="1" applyFont="1" applyFill="1" applyBorder="1" applyAlignment="1" applyProtection="1">
      <alignment horizontal="left" vertical="center"/>
      <protection locked="0"/>
    </xf>
    <xf fontId="12" fillId="0" borderId="28" numFmtId="0" xfId="1" applyFont="1" applyBorder="1" applyAlignment="1" applyProtection="1">
      <alignment horizontal="left" vertical="center"/>
      <protection locked="0"/>
    </xf>
    <xf fontId="1" fillId="0" borderId="7" numFmtId="0" xfId="1" applyFont="1" applyBorder="1" applyProtection="1"/>
    <xf fontId="1" fillId="8" borderId="7" numFmtId="0" xfId="1" applyFont="1" applyFill="1" applyBorder="1" applyProtection="1"/>
    <xf fontId="1" fillId="0" borderId="7" numFmtId="0" xfId="1" applyFont="1" applyBorder="1" applyAlignment="1" applyProtection="1">
      <alignment wrapText="1"/>
    </xf>
    <xf fontId="9" fillId="6" borderId="7" numFmtId="0" xfId="1" applyFont="1" applyFill="1" applyBorder="1" applyAlignment="1">
      <alignment vertical="center"/>
      <protection locked="0"/>
    </xf>
    <xf fontId="9" fillId="6" borderId="7" numFmtId="0" xfId="1" applyFont="1" applyFill="1" applyBorder="1" applyAlignment="1">
      <alignment vertical="top" wrapText="1"/>
      <protection locked="0"/>
    </xf>
    <xf fontId="9" fillId="8" borderId="7" numFmtId="163" xfId="1" applyNumberFormat="1" applyFont="1" applyFill="1" applyBorder="1">
      <protection locked="0"/>
    </xf>
    <xf fontId="9" fillId="6" borderId="7" numFmtId="0" xfId="1" applyFont="1" applyFill="1" applyBorder="1" applyAlignment="1">
      <alignment vertical="center" wrapText="1"/>
      <protection locked="0"/>
    </xf>
    <xf fontId="1" fillId="6" borderId="7" numFmtId="0" xfId="1" applyFont="1" applyFill="1" applyBorder="1">
      <protection locked="0"/>
    </xf>
    <xf fontId="18" fillId="10" borderId="7" numFmtId="163" xfId="1" applyNumberFormat="1" applyFont="1" applyFill="1" applyBorder="1" applyProtection="1">
      <protection locked="0"/>
    </xf>
    <xf fontId="9" fillId="10" borderId="7" numFmtId="163" xfId="1" applyNumberFormat="1" applyFont="1" applyFill="1" applyBorder="1" applyAlignment="1">
      <alignment vertical="center"/>
      <protection locked="0"/>
    </xf>
    <xf fontId="9" fillId="10" borderId="7" numFmtId="163" xfId="1" applyNumberFormat="1" applyFont="1" applyFill="1" applyBorder="1" applyProtection="1">
      <protection locked="0"/>
    </xf>
    <xf fontId="0" fillId="0" borderId="0" numFmtId="0" xfId="1" applyAlignment="1">
      <alignment vertical="top"/>
    </xf>
    <xf fontId="1" fillId="0" borderId="59" numFmtId="0" xfId="1" applyFont="1" applyBorder="1" applyAlignment="1" applyProtection="1">
      <alignment vertical="top" wrapText="1"/>
      <protection locked="0"/>
    </xf>
    <xf fontId="1" fillId="8" borderId="16" numFmtId="163" xfId="1" applyNumberFormat="1" applyFont="1" applyFill="1" applyBorder="1" applyAlignment="1" applyProtection="1">
      <alignment vertical="top" wrapText="1"/>
      <protection locked="0"/>
    </xf>
    <xf fontId="1" fillId="0" borderId="63" numFmtId="0" xfId="1" applyFont="1" applyBorder="1" applyAlignment="1" applyProtection="1">
      <alignment vertical="top" wrapText="1"/>
      <protection locked="0"/>
    </xf>
    <xf fontId="1" fillId="0" borderId="20" numFmtId="0" xfId="1" applyFont="1" applyBorder="1" applyAlignment="1" applyProtection="1">
      <alignment vertical="top" wrapText="1"/>
      <protection locked="0"/>
    </xf>
    <xf fontId="1" fillId="0" borderId="25" numFmtId="0" xfId="1" applyFont="1" applyBorder="1" applyAlignment="1" applyProtection="1">
      <alignment vertical="top" wrapText="1"/>
      <protection locked="0"/>
    </xf>
    <xf fontId="0" fillId="0" borderId="16" numFmtId="0" xfId="1" applyBorder="1" applyAlignment="1">
      <alignment vertical="top" wrapText="1"/>
    </xf>
    <xf fontId="0" fillId="0" borderId="60" numFmtId="0" xfId="1" applyBorder="1" applyAlignment="1">
      <alignment vertical="top" wrapText="1"/>
    </xf>
    <xf fontId="1" fillId="0" borderId="64" numFmtId="0" xfId="1" applyFont="1" applyBorder="1" applyProtection="1">
      <protection locked="0"/>
    </xf>
    <xf fontId="0" fillId="0" borderId="65" numFmtId="0" xfId="1" applyBorder="1"/>
    <xf fontId="0" fillId="0" borderId="66" numFmtId="0" xfId="1" applyBorder="1"/>
    <xf fontId="1" fillId="6" borderId="7" numFmtId="0" xfId="1" applyFont="1" applyFill="1" applyBorder="1" applyAlignment="1">
      <alignment wrapText="1"/>
      <protection locked="0"/>
    </xf>
    <xf fontId="1" fillId="8" borderId="7" numFmtId="163" xfId="1" applyNumberFormat="1" applyFont="1" applyFill="1" applyBorder="1">
      <protection locked="0"/>
    </xf>
    <xf fontId="9" fillId="4" borderId="7" numFmtId="163" xfId="1" applyNumberFormat="1" applyFont="1" applyFill="1" applyBorder="1" applyAlignment="1">
      <alignment vertical="center"/>
      <protection locked="0"/>
    </xf>
    <xf fontId="1" fillId="4" borderId="7" numFmtId="163" xfId="1" applyNumberFormat="1" applyFont="1" applyFill="1" applyBorder="1" applyProtection="1">
      <protection locked="0"/>
    </xf>
    <xf fontId="1" fillId="0" borderId="9" numFmtId="0" xfId="1" applyFont="1" applyBorder="1" applyAlignment="1" applyProtection="1">
      <alignment vertical="top" wrapText="1"/>
      <protection locked="0"/>
    </xf>
    <xf fontId="1" fillId="0" borderId="10" numFmtId="0" xfId="1" applyFont="1" applyBorder="1" applyAlignment="1" applyProtection="1">
      <alignment vertical="top" wrapText="1"/>
      <protection locked="0"/>
    </xf>
    <xf fontId="1" fillId="8" borderId="10" numFmtId="163" xfId="1" applyNumberFormat="1" applyFont="1" applyFill="1" applyBorder="1" applyAlignment="1" applyProtection="1">
      <alignment vertical="top" wrapText="1"/>
      <protection locked="0"/>
    </xf>
    <xf fontId="1" fillId="0" borderId="67" numFmtId="0" xfId="1" applyFont="1" applyBorder="1" applyAlignment="1" applyProtection="1">
      <alignment vertical="top" wrapText="1"/>
      <protection locked="0"/>
    </xf>
    <xf fontId="1" fillId="0" borderId="68" numFmtId="0" xfId="1" applyFont="1" applyBorder="1" applyAlignment="1" applyProtection="1">
      <alignment vertical="top" wrapText="1"/>
      <protection locked="0"/>
    </xf>
    <xf fontId="0" fillId="0" borderId="10" numFmtId="0" xfId="1" applyBorder="1" applyAlignment="1">
      <alignment vertical="top" wrapText="1"/>
    </xf>
    <xf fontId="0" fillId="0" borderId="11" numFmtId="0" xfId="1" applyBorder="1" applyAlignment="1">
      <alignment vertical="top" wrapText="1"/>
    </xf>
    <xf fontId="1" fillId="8" borderId="7" numFmtId="163" xfId="1" applyNumberFormat="1" applyFont="1" applyFill="1" applyBorder="1" applyAlignment="1" applyProtection="1">
      <alignment vertical="center" wrapText="1"/>
      <protection locked="0"/>
    </xf>
    <xf fontId="1" fillId="0" borderId="16" numFmtId="0" xfId="1" applyFont="1" applyBorder="1" applyAlignment="1" applyProtection="1">
      <alignment vertical="center" wrapText="1"/>
      <protection locked="0"/>
    </xf>
    <xf fontId="9" fillId="4" borderId="7" numFmtId="163" xfId="1" applyNumberFormat="1" applyFont="1" applyFill="1" applyBorder="1" applyAlignment="1" applyProtection="1">
      <alignment horizontal="right"/>
      <protection locked="0"/>
    </xf>
    <xf fontId="1" fillId="10" borderId="7" numFmtId="163" xfId="1" applyNumberFormat="1" applyFont="1" applyFill="1" applyBorder="1" applyAlignment="1" applyProtection="1">
      <alignment vertical="center"/>
      <protection locked="0"/>
    </xf>
    <xf fontId="1" fillId="6" borderId="7" numFmtId="0" xfId="1" applyFont="1" applyFill="1" applyBorder="1" applyAlignment="1" applyProtection="1">
      <alignment vertical="center"/>
      <protection locked="0"/>
    </xf>
    <xf fontId="0" fillId="0" borderId="56" numFmtId="0" xfId="1" applyBorder="1" applyAlignment="1">
      <alignment vertical="center" wrapText="1"/>
    </xf>
    <xf fontId="0" fillId="0" borderId="8" numFmtId="0" xfId="1" applyBorder="1" applyAlignment="1">
      <alignment vertical="center"/>
    </xf>
    <xf fontId="9" fillId="10" borderId="7" numFmtId="163" xfId="1" applyNumberFormat="1" applyFont="1" applyFill="1" applyBorder="1" applyAlignment="1" applyProtection="1">
      <alignment vertical="center"/>
      <protection locked="0"/>
    </xf>
    <xf fontId="12" fillId="0" borderId="69" numFmtId="0" xfId="1" applyFont="1" applyBorder="1" applyAlignment="1" applyProtection="1">
      <alignment vertical="center"/>
      <protection locked="0"/>
    </xf>
    <xf fontId="0" fillId="0" borderId="10" numFmtId="0" xfId="1" applyBorder="1" applyAlignment="1">
      <alignment vertical="center" wrapText="1"/>
    </xf>
    <xf fontId="1" fillId="0" borderId="9" numFmtId="0" xfId="1" applyFont="1" applyBorder="1" applyAlignment="1" applyProtection="1">
      <alignment vertical="center" wrapText="1"/>
      <protection locked="0"/>
    </xf>
    <xf fontId="1" fillId="0" borderId="10" numFmtId="0" xfId="1" applyFont="1" applyBorder="1" applyAlignment="1" applyProtection="1">
      <alignment vertical="center" wrapText="1"/>
      <protection locked="0"/>
    </xf>
    <xf fontId="1" fillId="10" borderId="10" numFmtId="163" xfId="1" applyNumberFormat="1" applyFont="1" applyFill="1" applyBorder="1" applyAlignment="1" applyProtection="1">
      <alignment vertical="center" wrapText="1"/>
      <protection locked="0"/>
    </xf>
    <xf fontId="0" fillId="0" borderId="11" numFmtId="0" xfId="1" applyBorder="1" applyAlignment="1">
      <alignment vertical="center" wrapText="1"/>
    </xf>
    <xf fontId="1" fillId="10" borderId="21" numFmtId="163" xfId="1" applyNumberFormat="1" applyFont="1" applyFill="1" applyBorder="1" applyProtection="1">
      <protection locked="0"/>
    </xf>
    <xf fontId="15" fillId="6" borderId="21" numFmtId="0" xfId="1" applyFont="1" applyFill="1" applyBorder="1" applyAlignment="1" applyProtection="1">
      <alignment horizontal="left" vertical="center"/>
      <protection locked="0"/>
    </xf>
    <xf fontId="9" fillId="10" borderId="7" numFmtId="163" xfId="1" applyNumberFormat="1" applyFont="1" applyFill="1" applyBorder="1" applyAlignment="1" applyProtection="1">
      <alignment horizontal="right"/>
      <protection locked="0"/>
    </xf>
    <xf fontId="2" fillId="4" borderId="0" numFmtId="0" xfId="1" applyFont="1" applyFill="1" applyAlignment="1">
      <alignment horizontal="center" vertical="center" wrapText="1"/>
    </xf>
    <xf fontId="12" fillId="6" borderId="70" numFmtId="0" xfId="1" applyFont="1" applyFill="1" applyBorder="1" applyProtection="1">
      <protection locked="0"/>
    </xf>
    <xf fontId="12" fillId="0" borderId="37" numFmtId="0" xfId="1" applyFont="1" applyBorder="1" applyProtection="1">
      <protection locked="0"/>
    </xf>
    <xf fontId="12" fillId="6" borderId="71" numFmtId="0" xfId="1" applyFont="1" applyFill="1" applyBorder="1" applyProtection="1">
      <protection locked="0"/>
    </xf>
    <xf fontId="1" fillId="6" borderId="72" numFmtId="0" xfId="1" applyFont="1" applyFill="1" applyBorder="1" applyProtection="1">
      <protection locked="0"/>
    </xf>
    <xf fontId="1" fillId="0" borderId="39" numFmtId="0" xfId="1" applyFont="1" applyBorder="1" applyProtection="1">
      <protection locked="0"/>
    </xf>
    <xf fontId="1" fillId="6" borderId="39" numFmtId="0" xfId="1" applyFont="1" applyFill="1" applyBorder="1" applyProtection="1">
      <protection locked="0"/>
    </xf>
    <xf fontId="1" fillId="0" borderId="39" numFmtId="0" xfId="1" applyFont="1" applyBorder="1" applyProtection="1"/>
    <xf fontId="1" fillId="0" borderId="7" numFmtId="0" xfId="1" applyFont="1" applyBorder="1">
      <protection locked="0"/>
    </xf>
    <xf fontId="1" fillId="0" borderId="7" numFmtId="0" xfId="1" applyFont="1" applyBorder="1" applyAlignment="1">
      <alignment wrapText="1"/>
      <protection locked="0"/>
    </xf>
    <xf fontId="1" fillId="0" borderId="15" numFmtId="0" xfId="1" applyFont="1" applyBorder="1" applyAlignment="1" applyProtection="1">
      <alignment wrapText="1"/>
      <protection locked="0"/>
    </xf>
    <xf fontId="1" fillId="0" borderId="15" numFmtId="163" xfId="1" applyNumberFormat="1" applyFont="1" applyBorder="1" applyAlignment="1" applyProtection="1">
      <alignment horizontal="right"/>
      <protection locked="0"/>
    </xf>
    <xf fontId="1" fillId="0" borderId="73" numFmtId="0" xfId="1" applyFont="1" applyBorder="1" applyAlignment="1" applyProtection="1">
      <alignment wrapText="1"/>
      <protection locked="0"/>
    </xf>
    <xf fontId="1" fillId="0" borderId="74" numFmtId="0" xfId="1" applyFont="1" applyBorder="1" applyProtection="1">
      <protection locked="0"/>
    </xf>
    <xf fontId="1" fillId="0" borderId="15" numFmtId="163" xfId="1" applyNumberFormat="1" applyFont="1" applyBorder="1" applyProtection="1">
      <protection locked="0"/>
    </xf>
    <xf fontId="12" fillId="11" borderId="20" numFmtId="163" xfId="1" applyNumberFormat="1" applyFont="1" applyFill="1" applyBorder="1" applyAlignment="1" applyProtection="1">
      <alignment wrapText="1"/>
      <protection locked="0"/>
    </xf>
    <xf fontId="12" fillId="11" borderId="22" numFmtId="163" xfId="1" applyNumberFormat="1" applyFont="1" applyFill="1" applyBorder="1" applyAlignment="1" applyProtection="1">
      <alignment wrapText="1"/>
      <protection locked="0"/>
    </xf>
    <xf fontId="9" fillId="11" borderId="7" numFmtId="163" xfId="1" applyNumberFormat="1" applyFont="1" applyFill="1" applyBorder="1" applyProtection="1">
      <protection locked="0"/>
    </xf>
    <xf fontId="9" fillId="6" borderId="39" numFmtId="0" xfId="1" applyFont="1" applyFill="1" applyBorder="1" applyAlignment="1" applyProtection="1">
      <alignment vertical="center" wrapText="1"/>
      <protection locked="0"/>
    </xf>
    <xf fontId="12" fillId="0" borderId="38" numFmtId="0" xfId="1" applyFont="1" applyBorder="1" applyProtection="1">
      <protection locked="0"/>
    </xf>
    <xf fontId="1" fillId="0" borderId="27" numFmtId="0" xfId="1" applyFont="1" applyBorder="1" applyAlignment="1" applyProtection="1">
      <alignment wrapText="1"/>
      <protection locked="0"/>
    </xf>
    <xf fontId="1" fillId="0" borderId="75" numFmtId="0" xfId="1" applyFont="1" applyBorder="1" applyProtection="1">
      <protection locked="0"/>
    </xf>
    <xf fontId="1" fillId="0" borderId="76" numFmtId="0" xfId="1" applyFont="1" applyBorder="1" applyProtection="1">
      <protection locked="0"/>
    </xf>
    <xf fontId="1" fillId="0" borderId="21" numFmtId="163" xfId="1" applyNumberFormat="1" applyFont="1" applyBorder="1" applyProtection="1">
      <protection locked="0"/>
    </xf>
    <xf fontId="9" fillId="0" borderId="7" numFmtId="0" xfId="1" applyFont="1" applyBorder="1" applyAlignment="1" applyProtection="1">
      <alignment wrapText="1"/>
      <protection locked="0"/>
    </xf>
    <xf fontId="12" fillId="0" borderId="30" numFmtId="0" xfId="1" applyFont="1" applyBorder="1" applyProtection="1">
      <protection locked="0"/>
    </xf>
    <xf fontId="12" fillId="6" borderId="27" numFmtId="0" xfId="1" applyFont="1" applyFill="1" applyBorder="1" applyProtection="1">
      <protection locked="0"/>
    </xf>
    <xf fontId="1" fillId="0" borderId="24" numFmtId="0" xfId="1" applyFont="1" applyBorder="1" applyProtection="1">
      <protection locked="0"/>
    </xf>
    <xf fontId="1" fillId="6" borderId="24" numFmtId="0" xfId="1" applyFont="1" applyFill="1" applyBorder="1" applyProtection="1">
      <protection locked="0"/>
    </xf>
    <xf fontId="1" fillId="0" borderId="24" numFmtId="0" xfId="1" applyFont="1" applyBorder="1" applyProtection="1"/>
    <xf fontId="12" fillId="0" borderId="25" numFmtId="0" xfId="1" applyFont="1" applyBorder="1" applyProtection="1">
      <protection locked="0"/>
    </xf>
    <xf fontId="9" fillId="5" borderId="7" numFmtId="163" xfId="1" applyNumberFormat="1" applyFont="1" applyFill="1" applyBorder="1" applyProtection="1">
      <protection locked="0"/>
    </xf>
    <xf fontId="9" fillId="6" borderId="39" numFmtId="0" xfId="1" applyFont="1" applyFill="1" applyBorder="1" applyAlignment="1" applyProtection="1">
      <alignment wrapText="1"/>
      <protection locked="0"/>
    </xf>
    <xf fontId="1" fillId="5" borderId="7" numFmtId="163" xfId="1" applyNumberFormat="1" applyFont="1" applyFill="1" applyBorder="1">
      <protection locked="0"/>
    </xf>
    <xf fontId="1" fillId="0" borderId="39" numFmtId="0" xfId="1" applyFont="1" applyBorder="1" applyAlignment="1">
      <alignment wrapText="1"/>
      <protection locked="0"/>
    </xf>
    <xf fontId="12" fillId="6" borderId="28" numFmtId="0" xfId="1" applyFont="1" applyFill="1" applyBorder="1">
      <protection locked="0"/>
    </xf>
    <xf fontId="1" fillId="5" borderId="7" numFmtId="163" xfId="1" applyNumberFormat="1" applyFont="1" applyFill="1" applyBorder="1" applyProtection="1">
      <protection locked="0"/>
    </xf>
    <xf fontId="1" fillId="5" borderId="7" numFmtId="163" xfId="1" applyNumberFormat="1" applyFont="1" applyFill="1" applyBorder="1" applyAlignment="1" applyProtection="1">
      <alignment vertical="center"/>
      <protection locked="0"/>
    </xf>
    <xf fontId="1" fillId="0" borderId="72" numFmtId="0" xfId="1" applyFont="1" applyBorder="1" applyAlignment="1" applyProtection="1">
      <alignment vertical="center" wrapText="1"/>
      <protection locked="0"/>
    </xf>
    <xf fontId="1" fillId="5" borderId="24" numFmtId="163" xfId="1" applyNumberFormat="1" applyFont="1" applyFill="1" applyBorder="1" applyProtection="1">
      <protection locked="0"/>
    </xf>
    <xf fontId="12" fillId="6" borderId="77" numFmtId="0" xfId="1" applyFont="1" applyFill="1" applyBorder="1" applyProtection="1">
      <protection locked="0"/>
    </xf>
    <xf fontId="13" fillId="0" borderId="78" numFmtId="0" xfId="1" applyFont="1" applyBorder="1" applyAlignment="1" applyProtection="1">
      <alignment horizontal="left" vertical="center"/>
      <protection locked="0"/>
    </xf>
    <xf fontId="13" fillId="0" borderId="15" numFmtId="0" xfId="1" applyFont="1" applyBorder="1" applyAlignment="1" applyProtection="1">
      <alignment horizontal="left" vertical="center" wrapText="1"/>
      <protection locked="0"/>
    </xf>
    <xf fontId="13" fillId="0" borderId="15" numFmtId="0" xfId="1" applyFont="1" applyBorder="1" applyAlignment="1" applyProtection="1">
      <alignment horizontal="left" vertical="top" wrapText="1"/>
      <protection locked="0"/>
    </xf>
    <xf fontId="13" fillId="5" borderId="15" numFmtId="163" xfId="1" applyNumberFormat="1" applyFont="1" applyFill="1" applyBorder="1" applyAlignment="1" applyProtection="1">
      <alignment horizontal="right"/>
      <protection locked="0"/>
    </xf>
    <xf fontId="13" fillId="0" borderId="27" numFmtId="0" xfId="1" applyFont="1" applyBorder="1" applyAlignment="1" applyProtection="1">
      <alignment horizontal="left" wrapText="1"/>
      <protection locked="0"/>
    </xf>
    <xf fontId="13" fillId="9" borderId="15" numFmtId="0" xfId="1" applyFont="1" applyFill="1" applyBorder="1" applyAlignment="1" applyProtection="1">
      <alignment horizontal="left"/>
      <protection locked="0"/>
    </xf>
    <xf fontId="1" fillId="11" borderId="7" numFmtId="163" xfId="1" applyNumberFormat="1" applyFont="1" applyFill="1" applyBorder="1" applyProtection="1">
      <protection locked="0"/>
    </xf>
    <xf fontId="1" fillId="0" borderId="24" numFmtId="0" xfId="1" applyFont="1" applyBorder="1" applyAlignment="1" applyProtection="1">
      <alignment wrapText="1"/>
      <protection locked="0"/>
    </xf>
    <xf fontId="9" fillId="6" borderId="15" numFmtId="0" xfId="1" applyFont="1" applyFill="1" applyBorder="1" applyAlignment="1" applyProtection="1">
      <alignment vertical="center"/>
      <protection locked="0"/>
    </xf>
    <xf fontId="9" fillId="6" borderId="15" numFmtId="0" xfId="1" applyFont="1" applyFill="1" applyBorder="1" applyAlignment="1" applyProtection="1">
      <alignment vertical="center" wrapText="1"/>
      <protection locked="0"/>
    </xf>
    <xf fontId="9" fillId="6" borderId="15" numFmtId="0" xfId="1" applyFont="1" applyFill="1" applyBorder="1" applyAlignment="1" applyProtection="1">
      <alignment vertical="top" wrapText="1"/>
      <protection locked="0"/>
    </xf>
    <xf fontId="9" fillId="5" borderId="15" numFmtId="163" xfId="1" applyNumberFormat="1" applyFont="1" applyFill="1" applyBorder="1" applyProtection="1">
      <protection locked="0"/>
    </xf>
    <xf fontId="9" fillId="6" borderId="27" numFmtId="0" xfId="1" applyFont="1" applyFill="1" applyBorder="1" applyAlignment="1" applyProtection="1">
      <alignment vertical="center" wrapText="1"/>
      <protection locked="0"/>
    </xf>
    <xf fontId="12" fillId="0" borderId="79" numFmtId="0" xfId="1" applyFont="1" applyBorder="1" applyProtection="1">
      <protection locked="0"/>
    </xf>
    <xf fontId="1" fillId="0" borderId="15" numFmtId="0" xfId="1" applyFont="1" applyBorder="1">
      <protection locked="0"/>
    </xf>
    <xf fontId="1" fillId="0" borderId="15" numFmtId="163" xfId="1" applyNumberFormat="1" applyFont="1" applyBorder="1">
      <protection locked="0"/>
    </xf>
    <xf fontId="1" fillId="0" borderId="27" numFmtId="0" xfId="1" applyFont="1" applyBorder="1" applyAlignment="1">
      <alignment wrapText="1"/>
      <protection locked="0"/>
    </xf>
    <xf fontId="1" fillId="0" borderId="75" numFmtId="0" xfId="1" applyFont="1" applyBorder="1">
      <protection locked="0"/>
    </xf>
    <xf fontId="9" fillId="6" borderId="20" numFmtId="0" xfId="1" applyFont="1" applyFill="1" applyBorder="1" applyAlignment="1">
      <alignment vertical="center"/>
      <protection locked="0"/>
    </xf>
    <xf fontId="9" fillId="6" borderId="20" numFmtId="0" xfId="1" applyFont="1" applyFill="1" applyBorder="1" applyAlignment="1">
      <alignment wrapText="1"/>
      <protection locked="0"/>
    </xf>
    <xf fontId="9" fillId="5" borderId="20" numFmtId="163" xfId="1" applyNumberFormat="1" applyFont="1" applyFill="1" applyBorder="1">
      <protection locked="0"/>
    </xf>
    <xf fontId="1" fillId="6" borderId="20" numFmtId="0" xfId="1" applyFont="1" applyFill="1" applyBorder="1">
      <protection locked="0"/>
    </xf>
    <xf fontId="1" fillId="0" borderId="20" numFmtId="0" xfId="1" applyFont="1" applyBorder="1"/>
    <xf fontId="1" fillId="0" borderId="20" numFmtId="2" xfId="1" applyNumberFormat="1" applyFont="1" applyBorder="1"/>
    <xf fontId="2" fillId="5" borderId="80" numFmtId="0" xfId="1" applyFont="1" applyFill="1" applyBorder="1" applyAlignment="1">
      <alignment vertical="center"/>
    </xf>
    <xf fontId="2" fillId="5" borderId="52" numFmtId="0" xfId="1" applyFont="1" applyFill="1" applyBorder="1" applyAlignment="1">
      <alignment vertical="center"/>
    </xf>
    <xf fontId="2" fillId="5" borderId="52" numFmtId="0" xfId="1" applyFont="1" applyFill="1" applyBorder="1" applyAlignment="1">
      <alignment horizontal="center" vertical="center"/>
    </xf>
    <xf fontId="2" fillId="5" borderId="52" numFmtId="0" xfId="1" applyFont="1" applyFill="1" applyBorder="1" applyAlignment="1">
      <alignment horizontal="left" vertical="center"/>
    </xf>
    <xf fontId="2" fillId="5" borderId="52" numFmtId="164" xfId="1" applyNumberFormat="1" applyFont="1" applyFill="1" applyBorder="1" applyAlignment="1">
      <alignment vertical="center"/>
    </xf>
    <xf fontId="2" fillId="5" borderId="0" numFmtId="0" xfId="1" applyFont="1" applyFill="1" applyAlignment="1">
      <alignment vertical="center"/>
    </xf>
    <xf fontId="2" fillId="5" borderId="53" numFmtId="0" xfId="1" applyFont="1" applyFill="1" applyBorder="1" applyAlignment="1">
      <alignment vertical="center"/>
    </xf>
    <xf fontId="1" fillId="11" borderId="10" numFmtId="0" xfId="1" applyFont="1" applyFill="1" applyBorder="1" applyAlignment="1" applyProtection="1">
      <alignment vertical="top" wrapText="1"/>
      <protection locked="0"/>
    </xf>
    <xf fontId="1" fillId="5" borderId="10" numFmtId="163" xfId="1" applyNumberFormat="1" applyFont="1" applyFill="1" applyBorder="1" applyAlignment="1" applyProtection="1">
      <alignment vertical="top" wrapText="1"/>
      <protection locked="0"/>
    </xf>
    <xf fontId="1" fillId="11" borderId="81" numFmtId="0" xfId="1" applyFont="1" applyFill="1" applyBorder="1" applyAlignment="1" applyProtection="1">
      <alignment vertical="top" wrapText="1"/>
      <protection locked="0"/>
    </xf>
    <xf fontId="12" fillId="6" borderId="20" numFmtId="0" xfId="1" applyFont="1" applyFill="1" applyBorder="1" applyAlignment="1" applyProtection="1">
      <alignment wrapText="1"/>
      <protection locked="0"/>
    </xf>
    <xf fontId="1" fillId="11" borderId="20" numFmtId="0" xfId="1" applyFont="1" applyFill="1" applyBorder="1" applyAlignment="1" applyProtection="1">
      <alignment vertical="top" wrapText="1"/>
      <protection locked="0"/>
    </xf>
    <xf fontId="1" fillId="11" borderId="82" numFmtId="0" xfId="1" applyFont="1" applyFill="1" applyBorder="1" applyAlignment="1" applyProtection="1">
      <alignment vertical="top" wrapText="1"/>
      <protection locked="0"/>
    </xf>
    <xf fontId="1" fillId="11" borderId="7" numFmtId="0" xfId="1" applyFont="1" applyFill="1" applyBorder="1" applyAlignment="1" applyProtection="1">
      <alignment vertical="center" wrapText="1"/>
      <protection locked="0"/>
    </xf>
    <xf fontId="1" fillId="5" borderId="7" numFmtId="163" xfId="1" applyNumberFormat="1" applyFont="1" applyFill="1" applyBorder="1" applyAlignment="1" applyProtection="1">
      <alignment vertical="center" wrapText="1"/>
      <protection locked="0"/>
    </xf>
    <xf fontId="1" fillId="11" borderId="39" numFmtId="0" xfId="1" applyFont="1" applyFill="1" applyBorder="1" applyAlignment="1" applyProtection="1">
      <alignment vertical="top" wrapText="1"/>
      <protection locked="0"/>
    </xf>
    <xf fontId="1" fillId="11" borderId="25" numFmtId="0" xfId="1" applyFont="1" applyFill="1" applyBorder="1" applyAlignment="1" applyProtection="1">
      <alignment vertical="center" wrapText="1"/>
      <protection locked="0"/>
    </xf>
    <xf fontId="9" fillId="0" borderId="39" numFmtId="0" xfId="1" applyFont="1" applyBorder="1" applyAlignment="1" applyProtection="1">
      <alignment wrapText="1"/>
      <protection locked="0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D22" activeCellId="0" sqref="D2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v>46082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7"/>
      <c r="D13" s="37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8"/>
      <c r="F14" s="37"/>
      <c r="G14" s="36"/>
      <c r="H14" s="36"/>
      <c r="I14" s="32"/>
      <c r="J14" s="33"/>
      <c r="K14" s="34"/>
    </row>
    <row r="15" outlineLevel="1">
      <c r="A15" s="28">
        <v>6</v>
      </c>
      <c r="B15" s="33"/>
      <c r="C15" s="33"/>
      <c r="D15" s="33"/>
      <c r="E15" s="33"/>
      <c r="F15" s="33"/>
      <c r="G15" s="33"/>
      <c r="H15" s="36"/>
      <c r="I15" s="32"/>
      <c r="J15" s="33"/>
      <c r="K15" s="34"/>
    </row>
    <row r="16" ht="14.25" customHeight="1" outlineLevel="1">
      <c r="A16" s="28">
        <v>7</v>
      </c>
      <c r="B16" s="33"/>
      <c r="C16" s="33"/>
      <c r="D16" s="33"/>
      <c r="E16" s="33"/>
      <c r="F16" s="33"/>
      <c r="G16" s="33"/>
      <c r="H16" s="36"/>
      <c r="I16" s="36"/>
      <c r="J16" s="33"/>
      <c r="K16" s="34"/>
    </row>
    <row r="17" ht="14.25" customHeight="1" outlineLevel="1">
      <c r="A17" s="28">
        <v>8</v>
      </c>
      <c r="B17" s="32"/>
      <c r="C17" s="39"/>
      <c r="D17" s="39"/>
      <c r="E17" s="35"/>
      <c r="F17" s="39"/>
      <c r="G17" s="32"/>
      <c r="H17" s="36"/>
      <c r="I17" s="32"/>
      <c r="J17" s="33"/>
      <c r="K17" s="34"/>
    </row>
    <row r="18" ht="14.25" customHeight="1" outlineLevel="1">
      <c r="A18" s="28">
        <v>9</v>
      </c>
      <c r="B18" s="32"/>
      <c r="C18" s="39"/>
      <c r="D18" s="39"/>
      <c r="E18" s="35"/>
      <c r="F18" s="39"/>
      <c r="G18" s="32"/>
      <c r="H18" s="36"/>
      <c r="I18" s="32"/>
      <c r="J18" s="33"/>
      <c r="K18" s="34"/>
    </row>
    <row r="19" ht="14.25" customHeight="1" outlineLevel="1">
      <c r="A19" s="28">
        <v>10</v>
      </c>
      <c r="B19" s="32"/>
      <c r="C19" s="39"/>
      <c r="D19" s="39"/>
      <c r="E19" s="35"/>
      <c r="F19" s="39"/>
      <c r="G19" s="32"/>
      <c r="H19" s="36"/>
      <c r="I19" s="32"/>
      <c r="J19" s="33"/>
      <c r="K19" s="34"/>
    </row>
    <row r="20" ht="14.25" customHeight="1" outlineLevel="1">
      <c r="A20" s="28">
        <v>11</v>
      </c>
      <c r="B20" s="32"/>
      <c r="C20" s="39"/>
      <c r="D20" s="39"/>
      <c r="E20" s="35"/>
      <c r="F20" s="39"/>
      <c r="G20" s="32"/>
      <c r="H20" s="36"/>
      <c r="I20" s="32"/>
      <c r="J20" s="33"/>
      <c r="K20" s="34"/>
    </row>
    <row r="21" ht="14.25" customHeight="1" outlineLevel="1">
      <c r="A21" s="28">
        <v>12</v>
      </c>
      <c r="B21" s="32"/>
      <c r="C21" s="39"/>
      <c r="D21" s="39"/>
      <c r="E21" s="35"/>
      <c r="F21" s="39"/>
      <c r="G21" s="32"/>
      <c r="H21" s="36"/>
      <c r="I21" s="32"/>
      <c r="J21" s="33"/>
      <c r="K21" s="34"/>
    </row>
    <row r="22" ht="14.25" customHeight="1" outlineLevel="1">
      <c r="A22" s="28">
        <v>13</v>
      </c>
      <c r="B22" s="32"/>
      <c r="C22" s="39"/>
      <c r="D22" s="39"/>
      <c r="E22" s="35"/>
      <c r="F22" s="39"/>
      <c r="G22" s="32"/>
      <c r="H22" s="36"/>
      <c r="I22" s="32"/>
      <c r="J22" s="33"/>
      <c r="K22" s="34"/>
    </row>
    <row r="23" ht="14.25" customHeight="1" outlineLevel="1">
      <c r="A23" s="28">
        <v>14</v>
      </c>
      <c r="B23" s="32"/>
      <c r="C23" s="39"/>
      <c r="D23" s="39"/>
      <c r="E23" s="35"/>
      <c r="F23" s="39"/>
      <c r="G23" s="32"/>
      <c r="H23" s="36"/>
      <c r="I23" s="32"/>
      <c r="J23" s="33"/>
      <c r="K23" s="34"/>
    </row>
    <row r="24" ht="14.25" customHeight="1" outlineLevel="1">
      <c r="A24" s="28">
        <v>15</v>
      </c>
      <c r="B24" s="32"/>
      <c r="C24" s="39"/>
      <c r="D24" s="39"/>
      <c r="E24" s="35"/>
      <c r="F24" s="39"/>
      <c r="G24" s="32"/>
      <c r="H24" s="36"/>
      <c r="I24" s="32"/>
      <c r="J24" s="33"/>
      <c r="K24" s="34"/>
    </row>
    <row r="25" ht="14.25" customHeight="1" outlineLevel="1">
      <c r="A25" s="28">
        <v>16</v>
      </c>
      <c r="B25" s="32"/>
      <c r="C25" s="39"/>
      <c r="D25" s="39"/>
      <c r="E25" s="35"/>
      <c r="F25" s="39"/>
      <c r="G25" s="32"/>
      <c r="H25" s="36"/>
      <c r="I25" s="32"/>
      <c r="J25" s="33"/>
      <c r="K25" s="34"/>
    </row>
    <row r="26" ht="14.25" customHeight="1" outlineLevel="1">
      <c r="A26" s="28">
        <v>17</v>
      </c>
      <c r="B26" s="32"/>
      <c r="C26" s="39"/>
      <c r="D26" s="39"/>
      <c r="E26" s="35"/>
      <c r="F26" s="39"/>
      <c r="G26" s="32"/>
      <c r="H26" s="36"/>
      <c r="I26" s="32"/>
      <c r="J26" s="33"/>
      <c r="K26" s="34"/>
    </row>
    <row r="27" ht="14.25" customHeight="1" outlineLevel="1">
      <c r="A27" s="28">
        <v>18</v>
      </c>
      <c r="B27" s="32"/>
      <c r="C27" s="39"/>
      <c r="D27" s="39"/>
      <c r="E27" s="35"/>
      <c r="F27" s="39"/>
      <c r="G27" s="32"/>
      <c r="H27" s="36"/>
      <c r="I27" s="32"/>
      <c r="J27" s="33"/>
      <c r="K27" s="34"/>
    </row>
    <row r="28" ht="14.25" customHeight="1" outlineLevel="1">
      <c r="A28" s="28">
        <v>19</v>
      </c>
      <c r="B28" s="32"/>
      <c r="C28" s="39"/>
      <c r="D28" s="39"/>
      <c r="E28" s="35"/>
      <c r="F28" s="39"/>
      <c r="G28" s="32"/>
      <c r="H28" s="36"/>
      <c r="I28" s="32"/>
      <c r="J28" s="33"/>
      <c r="K28" s="34"/>
    </row>
    <row r="29" ht="14.25" customHeight="1" outlineLevel="1">
      <c r="A29" s="28">
        <v>20</v>
      </c>
      <c r="B29" s="32"/>
      <c r="C29" s="39"/>
      <c r="D29" s="39"/>
      <c r="E29" s="35"/>
      <c r="F29" s="39"/>
      <c r="G29" s="32"/>
      <c r="H29" s="36"/>
      <c r="I29" s="32"/>
      <c r="J29" s="33"/>
      <c r="K29" s="34"/>
    </row>
    <row r="30" ht="14.25" customHeight="1" outlineLevel="1">
      <c r="A30" s="28">
        <v>21</v>
      </c>
      <c r="B30" s="32"/>
      <c r="C30" s="39"/>
      <c r="D30" s="39"/>
      <c r="E30" s="35"/>
      <c r="F30" s="39"/>
      <c r="G30" s="32"/>
      <c r="H30" s="36"/>
      <c r="I30" s="32"/>
      <c r="J30" s="33"/>
      <c r="K30" s="34"/>
    </row>
    <row r="31" ht="14.25" customHeight="1" outlineLevel="1">
      <c r="A31" s="28">
        <v>22</v>
      </c>
      <c r="B31" s="32"/>
      <c r="C31" s="39"/>
      <c r="D31" s="39"/>
      <c r="E31" s="35"/>
      <c r="F31" s="39"/>
      <c r="G31" s="32"/>
      <c r="H31" s="36"/>
      <c r="I31" s="32"/>
      <c r="J31" s="33"/>
      <c r="K31" s="34"/>
    </row>
    <row r="32" ht="14.25" customHeight="1" outlineLevel="1">
      <c r="A32" s="28">
        <v>23</v>
      </c>
      <c r="B32" s="32"/>
      <c r="C32" s="39"/>
      <c r="D32" s="39"/>
      <c r="E32" s="35"/>
      <c r="F32" s="39"/>
      <c r="G32" s="32"/>
      <c r="H32" s="36"/>
      <c r="I32" s="32"/>
      <c r="J32" s="33"/>
      <c r="K32" s="34"/>
    </row>
    <row r="33" ht="14.25" customHeight="1" outlineLevel="1">
      <c r="A33" s="28">
        <v>24</v>
      </c>
      <c r="B33" s="32"/>
      <c r="C33" s="39"/>
      <c r="D33" s="39"/>
      <c r="E33" s="35"/>
      <c r="F33" s="39"/>
      <c r="G33" s="32"/>
      <c r="H33" s="36"/>
      <c r="I33" s="32"/>
      <c r="J33" s="33"/>
      <c r="K33" s="34"/>
    </row>
    <row r="34" ht="14.25" customHeight="1" outlineLevel="1">
      <c r="A34" s="28">
        <v>25</v>
      </c>
      <c r="B34" s="32"/>
      <c r="C34" s="39"/>
      <c r="D34" s="39"/>
      <c r="E34" s="35"/>
      <c r="F34" s="39"/>
      <c r="G34" s="32"/>
      <c r="H34" s="36"/>
      <c r="I34" s="32"/>
      <c r="J34" s="33"/>
      <c r="K34" s="34"/>
    </row>
    <row r="35" ht="14.25" customHeight="1" outlineLevel="1">
      <c r="A35" s="28">
        <v>26</v>
      </c>
      <c r="B35" s="32"/>
      <c r="C35" s="39"/>
      <c r="D35" s="39"/>
      <c r="E35" s="35"/>
      <c r="F35" s="39"/>
      <c r="G35" s="32"/>
      <c r="H35" s="36"/>
      <c r="I35" s="32"/>
      <c r="J35" s="33"/>
      <c r="K35" s="34"/>
    </row>
    <row r="36" ht="14.25" customHeight="1" outlineLevel="1">
      <c r="A36" s="28">
        <v>27</v>
      </c>
      <c r="B36" s="32"/>
      <c r="C36" s="39"/>
      <c r="D36" s="39"/>
      <c r="E36" s="35"/>
      <c r="F36" s="39"/>
      <c r="G36" s="32"/>
      <c r="H36" s="36"/>
      <c r="I36" s="32"/>
      <c r="J36" s="33"/>
      <c r="K36" s="34"/>
    </row>
    <row r="37" ht="14.25" customHeight="1" outlineLevel="1">
      <c r="A37" s="28">
        <v>28</v>
      </c>
      <c r="B37" s="32"/>
      <c r="C37" s="39"/>
      <c r="D37" s="39"/>
      <c r="E37" s="35"/>
      <c r="F37" s="39"/>
      <c r="G37" s="32"/>
      <c r="H37" s="36"/>
      <c r="I37" s="32"/>
      <c r="J37" s="33"/>
      <c r="K37" s="34"/>
    </row>
    <row r="38" ht="14.25" customHeight="1" outlineLevel="1">
      <c r="A38" s="28">
        <v>29</v>
      </c>
      <c r="B38" s="32"/>
      <c r="C38" s="39"/>
      <c r="D38" s="39"/>
      <c r="E38" s="35"/>
      <c r="F38" s="39"/>
      <c r="G38" s="32"/>
      <c r="H38" s="36"/>
      <c r="I38" s="32"/>
      <c r="J38" s="33"/>
      <c r="K38" s="34"/>
    </row>
    <row r="39" ht="14.25" customHeight="1" outlineLevel="1">
      <c r="A39" s="28">
        <v>30</v>
      </c>
      <c r="B39" s="32"/>
      <c r="C39" s="39"/>
      <c r="D39" s="39"/>
      <c r="E39" s="35"/>
      <c r="F39" s="39"/>
      <c r="G39" s="32"/>
      <c r="H39" s="36"/>
      <c r="I39" s="32"/>
      <c r="J39" s="33"/>
      <c r="K39" s="34"/>
    </row>
    <row r="40" ht="14.25" customHeight="1" outlineLevel="1">
      <c r="A40" s="28">
        <v>31</v>
      </c>
      <c r="B40" s="32"/>
      <c r="C40" s="39"/>
      <c r="D40" s="39"/>
      <c r="E40" s="35"/>
      <c r="F40" s="39"/>
      <c r="G40" s="32"/>
      <c r="H40" s="36"/>
      <c r="I40" s="32"/>
      <c r="J40" s="33"/>
      <c r="K40" s="34"/>
    </row>
    <row r="41" ht="14.25" customHeight="1" outlineLevel="1">
      <c r="A41" s="28">
        <v>32</v>
      </c>
      <c r="B41" s="32"/>
      <c r="C41" s="39"/>
      <c r="D41" s="39"/>
      <c r="E41" s="35"/>
      <c r="F41" s="39"/>
      <c r="G41" s="32"/>
      <c r="H41" s="36"/>
      <c r="I41" s="32"/>
      <c r="J41" s="33"/>
      <c r="K41" s="34"/>
    </row>
    <row r="42" ht="14.25" customHeight="1" outlineLevel="1">
      <c r="A42" s="28">
        <v>33</v>
      </c>
      <c r="B42" s="32"/>
      <c r="C42" s="39"/>
      <c r="D42" s="39"/>
      <c r="E42" s="35"/>
      <c r="F42" s="39"/>
      <c r="G42" s="32"/>
      <c r="H42" s="36"/>
      <c r="I42" s="32"/>
      <c r="J42" s="33"/>
      <c r="K42" s="34"/>
    </row>
    <row r="43" ht="14.25" customHeight="1" outlineLevel="1">
      <c r="A43" s="28">
        <v>34</v>
      </c>
      <c r="B43" s="32"/>
      <c r="C43" s="39"/>
      <c r="D43" s="39"/>
      <c r="E43" s="35"/>
      <c r="F43" s="39"/>
      <c r="G43" s="32"/>
      <c r="H43" s="36"/>
      <c r="I43" s="32"/>
      <c r="J43" s="33"/>
      <c r="K43" s="34"/>
    </row>
    <row r="44" ht="14.25" customHeight="1" outlineLevel="1">
      <c r="A44" s="28">
        <v>35</v>
      </c>
      <c r="B44" s="32"/>
      <c r="C44" s="39"/>
      <c r="D44" s="39"/>
      <c r="E44" s="35"/>
      <c r="F44" s="39"/>
      <c r="G44" s="32"/>
      <c r="H44" s="36"/>
      <c r="I44" s="32"/>
      <c r="J44" s="33"/>
      <c r="K44" s="34"/>
    </row>
    <row r="45" ht="14.25" customHeight="1" outlineLevel="1">
      <c r="A45" s="28">
        <v>36</v>
      </c>
      <c r="B45" s="32"/>
      <c r="C45" s="39"/>
      <c r="D45" s="39"/>
      <c r="E45" s="35"/>
      <c r="F45" s="39"/>
      <c r="G45" s="32"/>
      <c r="H45" s="36"/>
      <c r="I45" s="32"/>
      <c r="J45" s="33"/>
      <c r="K45" s="34"/>
    </row>
    <row r="46" ht="14.25" customHeight="1" outlineLevel="1">
      <c r="A46" s="28">
        <v>37</v>
      </c>
      <c r="B46" s="32"/>
      <c r="C46" s="39"/>
      <c r="D46" s="39"/>
      <c r="E46" s="35"/>
      <c r="F46" s="39"/>
      <c r="G46" s="32"/>
      <c r="H46" s="36"/>
      <c r="I46" s="32"/>
      <c r="J46" s="33"/>
      <c r="K46" s="34"/>
    </row>
    <row r="47" ht="14.25" customHeight="1" outlineLevel="1">
      <c r="A47" s="28">
        <v>38</v>
      </c>
      <c r="B47" s="32"/>
      <c r="C47" s="39"/>
      <c r="D47" s="39"/>
      <c r="E47" s="35"/>
      <c r="F47" s="39"/>
      <c r="G47" s="32"/>
      <c r="H47" s="36"/>
      <c r="I47" s="32"/>
      <c r="J47" s="33"/>
      <c r="K47" s="34"/>
    </row>
    <row r="48" ht="14.25" customHeight="1" outlineLevel="1">
      <c r="A48" s="28">
        <v>39</v>
      </c>
      <c r="B48" s="32"/>
      <c r="C48" s="39"/>
      <c r="D48" s="39"/>
      <c r="E48" s="35"/>
      <c r="F48" s="39"/>
      <c r="G48" s="32"/>
      <c r="H48" s="36"/>
      <c r="I48" s="32"/>
      <c r="J48" s="33"/>
      <c r="K48" s="34"/>
    </row>
    <row r="49" ht="14.25" customHeight="1" outlineLevel="1">
      <c r="A49" s="28">
        <v>40</v>
      </c>
      <c r="B49" s="32"/>
      <c r="C49" s="39"/>
      <c r="D49" s="39"/>
      <c r="E49" s="35"/>
      <c r="F49" s="39"/>
      <c r="G49" s="32"/>
      <c r="H49" s="36"/>
      <c r="I49" s="32"/>
      <c r="J49" s="33"/>
      <c r="K49" s="34"/>
    </row>
    <row r="50" ht="14.25" customHeight="1" outlineLevel="1">
      <c r="A50" s="28">
        <v>41</v>
      </c>
      <c r="B50" s="32"/>
      <c r="C50" s="39"/>
      <c r="D50" s="39"/>
      <c r="E50" s="35"/>
      <c r="F50" s="39"/>
      <c r="G50" s="32"/>
      <c r="H50" s="36"/>
      <c r="I50" s="32"/>
      <c r="J50" s="33"/>
      <c r="K50" s="34"/>
    </row>
    <row r="51" ht="14.25" customHeight="1" outlineLevel="1">
      <c r="A51" s="28">
        <v>42</v>
      </c>
      <c r="B51" s="32"/>
      <c r="C51" s="39"/>
      <c r="D51" s="39"/>
      <c r="E51" s="35"/>
      <c r="F51" s="39"/>
      <c r="G51" s="32"/>
      <c r="H51" s="36"/>
      <c r="I51" s="32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D00D8-00A3-498D-8F86-001A00EF002A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13" activeCellId="0" sqref="1:104857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'01'!C2+1</f>
        <v>46083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87344.229999999996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85663.589999999997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87344.229999999996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40012-00D7-477D-A38D-005D00070002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1"/>
  </sheetPr>
  <sheetViews>
    <sheetView showGridLines="0" showRuler="1" topLeftCell="A22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'02'!C2+1</f>
        <v>46084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87344.229999999996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85663.589999999997</v>
      </c>
      <c r="F5" s="13" t="s">
        <v>23</v>
      </c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 t="s">
        <v>24</v>
      </c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18.75" customHeight="1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58" si="0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0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0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0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0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0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0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0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0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0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0"/>
        <v>12</v>
      </c>
      <c r="B21" s="94" t="s">
        <v>25</v>
      </c>
      <c r="C21" s="90" t="s">
        <v>63</v>
      </c>
      <c r="D21" s="95" t="s">
        <v>68</v>
      </c>
      <c r="E21" s="92" t="s">
        <v>69</v>
      </c>
      <c r="F21" s="91" t="s">
        <v>70</v>
      </c>
      <c r="G21" s="84" t="s">
        <v>30</v>
      </c>
      <c r="H21" s="93" t="s">
        <v>31</v>
      </c>
      <c r="I21" s="89" t="s">
        <v>71</v>
      </c>
      <c r="J21" s="82"/>
      <c r="K21" s="34"/>
      <c r="L21" s="1"/>
    </row>
    <row r="22" ht="14.25" customHeight="1" outlineLevel="1">
      <c r="A22" s="96">
        <f t="shared" si="0"/>
        <v>13</v>
      </c>
      <c r="B22" s="97" t="s">
        <v>72</v>
      </c>
      <c r="C22" s="90" t="s">
        <v>63</v>
      </c>
      <c r="D22" s="98" t="s">
        <v>73</v>
      </c>
      <c r="E22" s="99" t="s">
        <v>74</v>
      </c>
      <c r="F22" s="98" t="s">
        <v>75</v>
      </c>
      <c r="G22" s="84" t="s">
        <v>30</v>
      </c>
      <c r="H22" s="100" t="s">
        <v>31</v>
      </c>
      <c r="I22" s="101" t="s">
        <v>76</v>
      </c>
      <c r="J22" s="82"/>
      <c r="K22" s="34"/>
      <c r="L22" s="1"/>
    </row>
    <row r="23" ht="14.25" customHeight="1" outlineLevel="1">
      <c r="A23" s="96">
        <f t="shared" si="0"/>
        <v>14</v>
      </c>
      <c r="B23" s="97" t="s">
        <v>72</v>
      </c>
      <c r="C23" s="102" t="s">
        <v>63</v>
      </c>
      <c r="D23" s="103" t="s">
        <v>77</v>
      </c>
      <c r="E23" s="104" t="s">
        <v>78</v>
      </c>
      <c r="F23" s="105" t="s">
        <v>79</v>
      </c>
      <c r="G23" s="106" t="s">
        <v>30</v>
      </c>
      <c r="H23" s="107"/>
      <c r="I23" s="108" t="s">
        <v>80</v>
      </c>
      <c r="J23" s="33"/>
      <c r="K23" s="34"/>
      <c r="L23" s="1"/>
    </row>
    <row r="24" ht="14.25" customHeight="1" outlineLevel="1">
      <c r="A24" s="96">
        <f t="shared" si="0"/>
        <v>15</v>
      </c>
      <c r="B24" s="32" t="s">
        <v>72</v>
      </c>
      <c r="C24" s="109" t="s">
        <v>63</v>
      </c>
      <c r="D24" s="109" t="s">
        <v>81</v>
      </c>
      <c r="E24" s="110" t="s">
        <v>82</v>
      </c>
      <c r="F24" s="39" t="s">
        <v>83</v>
      </c>
      <c r="G24" s="111"/>
      <c r="H24" s="112"/>
      <c r="I24" s="111" t="s">
        <v>84</v>
      </c>
      <c r="J24" s="33"/>
      <c r="K24" s="34"/>
      <c r="L24" s="1"/>
    </row>
    <row r="25" ht="14.25" customHeight="1" outlineLevel="1">
      <c r="A25" s="96">
        <f t="shared" si="0"/>
        <v>16</v>
      </c>
      <c r="B25" s="113" t="s">
        <v>72</v>
      </c>
      <c r="C25" s="114" t="s">
        <v>85</v>
      </c>
      <c r="D25" s="115" t="s">
        <v>86</v>
      </c>
      <c r="E25" s="116" t="s">
        <v>87</v>
      </c>
      <c r="F25" s="117" t="s">
        <v>88</v>
      </c>
      <c r="G25" s="84" t="s">
        <v>30</v>
      </c>
      <c r="H25" s="118" t="s">
        <v>89</v>
      </c>
      <c r="I25" s="119" t="s">
        <v>90</v>
      </c>
      <c r="J25" s="82"/>
      <c r="K25" s="34"/>
      <c r="L25" s="1"/>
    </row>
    <row r="26" ht="14.25" customHeight="1" outlineLevel="1">
      <c r="A26" s="96">
        <f t="shared" si="0"/>
        <v>17</v>
      </c>
      <c r="B26" s="120" t="s">
        <v>25</v>
      </c>
      <c r="C26" s="121" t="s">
        <v>91</v>
      </c>
      <c r="D26" s="122" t="s">
        <v>92</v>
      </c>
      <c r="E26" s="123" t="s">
        <v>93</v>
      </c>
      <c r="F26" s="124" t="s">
        <v>94</v>
      </c>
      <c r="G26" s="125" t="s">
        <v>30</v>
      </c>
      <c r="H26" s="126" t="s">
        <v>31</v>
      </c>
      <c r="I26" s="120" t="s">
        <v>95</v>
      </c>
      <c r="J26" s="33"/>
      <c r="K26" s="34"/>
      <c r="L26" s="1"/>
    </row>
    <row r="27" ht="14.25" customHeight="1" outlineLevel="1">
      <c r="A27" s="96">
        <f t="shared" si="0"/>
        <v>18</v>
      </c>
      <c r="B27" s="127" t="s">
        <v>96</v>
      </c>
      <c r="C27" s="128" t="s">
        <v>91</v>
      </c>
      <c r="D27" s="129" t="s">
        <v>97</v>
      </c>
      <c r="E27" s="130" t="s">
        <v>98</v>
      </c>
      <c r="F27" s="131" t="s">
        <v>99</v>
      </c>
      <c r="G27" s="125" t="s">
        <v>30</v>
      </c>
      <c r="H27" s="132" t="s">
        <v>31</v>
      </c>
      <c r="I27" s="133" t="s">
        <v>100</v>
      </c>
      <c r="J27" s="33"/>
      <c r="K27" s="34"/>
      <c r="L27" s="1"/>
    </row>
    <row r="28" ht="14.25" customHeight="1" outlineLevel="1">
      <c r="A28" s="96">
        <f t="shared" si="0"/>
        <v>19</v>
      </c>
      <c r="B28" s="127" t="s">
        <v>72</v>
      </c>
      <c r="C28" s="128" t="s">
        <v>101</v>
      </c>
      <c r="D28" s="129" t="s">
        <v>102</v>
      </c>
      <c r="E28" s="130" t="s">
        <v>103</v>
      </c>
      <c r="F28" s="131" t="s">
        <v>104</v>
      </c>
      <c r="G28" s="125" t="s">
        <v>30</v>
      </c>
      <c r="H28" s="132" t="s">
        <v>31</v>
      </c>
      <c r="I28" s="133" t="s">
        <v>105</v>
      </c>
      <c r="J28" s="33"/>
      <c r="K28" s="34"/>
      <c r="L28" s="1"/>
    </row>
    <row r="29" ht="14.25" customHeight="1" outlineLevel="1">
      <c r="A29" s="96">
        <f t="shared" si="0"/>
        <v>20</v>
      </c>
      <c r="B29" s="134" t="s">
        <v>72</v>
      </c>
      <c r="C29" s="128" t="s">
        <v>101</v>
      </c>
      <c r="D29" s="129" t="s">
        <v>106</v>
      </c>
      <c r="E29" s="130" t="s">
        <v>107</v>
      </c>
      <c r="F29" s="135" t="s">
        <v>104</v>
      </c>
      <c r="G29" s="125" t="s">
        <v>30</v>
      </c>
      <c r="H29" s="132" t="s">
        <v>31</v>
      </c>
      <c r="I29" s="133" t="s">
        <v>108</v>
      </c>
      <c r="J29" s="33"/>
      <c r="K29" s="34"/>
      <c r="L29" s="1"/>
    </row>
    <row r="30" ht="14.25" customHeight="1" outlineLevel="1">
      <c r="A30" s="74">
        <f t="shared" si="0"/>
        <v>21</v>
      </c>
      <c r="B30" s="136" t="s">
        <v>72</v>
      </c>
      <c r="C30" s="137" t="s">
        <v>101</v>
      </c>
      <c r="D30" s="129" t="s">
        <v>109</v>
      </c>
      <c r="E30" s="130" t="s">
        <v>107</v>
      </c>
      <c r="F30" s="135" t="s">
        <v>104</v>
      </c>
      <c r="G30" s="125" t="s">
        <v>30</v>
      </c>
      <c r="H30" s="132" t="s">
        <v>31</v>
      </c>
      <c r="I30" s="133" t="s">
        <v>110</v>
      </c>
      <c r="J30" s="33"/>
      <c r="K30" s="34"/>
      <c r="L30" s="1"/>
    </row>
    <row r="31" ht="14.25" customHeight="1" outlineLevel="1">
      <c r="A31" s="74">
        <f t="shared" si="0"/>
        <v>22</v>
      </c>
      <c r="B31" s="138" t="s">
        <v>72</v>
      </c>
      <c r="C31" s="139" t="s">
        <v>101</v>
      </c>
      <c r="D31" s="140" t="s">
        <v>111</v>
      </c>
      <c r="E31" s="141" t="s">
        <v>112</v>
      </c>
      <c r="F31" s="135" t="s">
        <v>104</v>
      </c>
      <c r="G31" s="125" t="s">
        <v>30</v>
      </c>
      <c r="H31" s="142"/>
      <c r="I31" s="133" t="s">
        <v>110</v>
      </c>
      <c r="J31" s="33"/>
      <c r="K31" s="34"/>
      <c r="L31" s="1"/>
    </row>
    <row r="32" ht="14.25" customHeight="1" outlineLevel="1">
      <c r="A32" s="96">
        <f t="shared" si="0"/>
        <v>23</v>
      </c>
      <c r="B32" s="143" t="s">
        <v>113</v>
      </c>
      <c r="C32" s="144" t="s">
        <v>114</v>
      </c>
      <c r="D32" s="145" t="s">
        <v>115</v>
      </c>
      <c r="E32" s="146" t="s">
        <v>116</v>
      </c>
      <c r="F32" s="147" t="s">
        <v>117</v>
      </c>
      <c r="G32" s="125" t="s">
        <v>30</v>
      </c>
      <c r="H32" s="148" t="s">
        <v>31</v>
      </c>
      <c r="I32" s="149" t="s">
        <v>118</v>
      </c>
      <c r="J32" s="33"/>
      <c r="K32" s="34"/>
      <c r="L32" s="1"/>
    </row>
    <row r="33" ht="14.25" customHeight="1" outlineLevel="1">
      <c r="A33" s="74">
        <f t="shared" si="0"/>
        <v>24</v>
      </c>
      <c r="B33" s="150" t="s">
        <v>72</v>
      </c>
      <c r="C33" s="150" t="s">
        <v>119</v>
      </c>
      <c r="D33" s="91" t="s">
        <v>120</v>
      </c>
      <c r="E33" s="92" t="s">
        <v>121</v>
      </c>
      <c r="F33" s="91" t="s">
        <v>122</v>
      </c>
      <c r="G33" s="84" t="s">
        <v>30</v>
      </c>
      <c r="H33" s="151"/>
      <c r="I33" s="88" t="s">
        <v>123</v>
      </c>
      <c r="J33" s="82"/>
      <c r="K33" s="34"/>
      <c r="L33" s="1"/>
    </row>
    <row r="34" ht="14.25" customHeight="1" outlineLevel="1">
      <c r="A34" s="74">
        <f t="shared" si="0"/>
        <v>25</v>
      </c>
      <c r="B34" s="152" t="s">
        <v>72</v>
      </c>
      <c r="C34" s="152" t="s">
        <v>114</v>
      </c>
      <c r="D34" s="98" t="s">
        <v>124</v>
      </c>
      <c r="E34" s="99" t="s">
        <v>125</v>
      </c>
      <c r="F34" s="98" t="s">
        <v>122</v>
      </c>
      <c r="G34" s="84" t="s">
        <v>30</v>
      </c>
      <c r="H34" s="153"/>
      <c r="I34" s="154" t="s">
        <v>126</v>
      </c>
      <c r="J34" s="82"/>
      <c r="K34" s="34"/>
      <c r="L34" s="1"/>
    </row>
    <row r="35" ht="14.25" customHeight="1" outlineLevel="1">
      <c r="A35" s="96">
        <f t="shared" si="0"/>
        <v>26</v>
      </c>
      <c r="B35" s="155" t="s">
        <v>113</v>
      </c>
      <c r="C35" s="156" t="s">
        <v>114</v>
      </c>
      <c r="D35" s="103" t="s">
        <v>127</v>
      </c>
      <c r="E35" s="157" t="s">
        <v>116</v>
      </c>
      <c r="F35" s="158" t="s">
        <v>128</v>
      </c>
      <c r="G35" s="125" t="s">
        <v>30</v>
      </c>
      <c r="H35" s="159"/>
      <c r="I35" s="160"/>
      <c r="J35" s="33"/>
      <c r="K35" s="34"/>
      <c r="L35" s="1"/>
    </row>
    <row r="36" ht="14.25" customHeight="1" outlineLevel="1">
      <c r="A36" s="74">
        <f t="shared" si="0"/>
        <v>27</v>
      </c>
      <c r="B36" s="161" t="s">
        <v>113</v>
      </c>
      <c r="C36" s="162" t="s">
        <v>114</v>
      </c>
      <c r="D36" s="103" t="s">
        <v>129</v>
      </c>
      <c r="E36" s="163" t="s">
        <v>130</v>
      </c>
      <c r="F36" s="158" t="s">
        <v>128</v>
      </c>
      <c r="G36" s="125" t="s">
        <v>30</v>
      </c>
      <c r="H36" s="160"/>
      <c r="I36" s="160" t="s">
        <v>17</v>
      </c>
      <c r="J36" s="33"/>
      <c r="K36" s="34"/>
      <c r="L36" s="1"/>
    </row>
    <row r="37" ht="14.25" customHeight="1" outlineLevel="1">
      <c r="A37" s="96">
        <f t="shared" si="0"/>
        <v>28</v>
      </c>
      <c r="B37" s="127" t="s">
        <v>96</v>
      </c>
      <c r="C37" s="128" t="s">
        <v>131</v>
      </c>
      <c r="D37" s="129" t="s">
        <v>132</v>
      </c>
      <c r="E37" s="130" t="s">
        <v>133</v>
      </c>
      <c r="F37" s="131" t="s">
        <v>134</v>
      </c>
      <c r="G37" s="125" t="s">
        <v>30</v>
      </c>
      <c r="H37" s="132" t="s">
        <v>31</v>
      </c>
      <c r="I37" s="133" t="s">
        <v>135</v>
      </c>
      <c r="J37" s="33"/>
      <c r="K37" s="34"/>
      <c r="L37" s="1"/>
    </row>
    <row r="38" ht="14.25" customHeight="1" outlineLevel="1">
      <c r="A38" s="96">
        <f t="shared" si="0"/>
        <v>29</v>
      </c>
      <c r="B38" s="164" t="s">
        <v>96</v>
      </c>
      <c r="C38" s="121" t="s">
        <v>136</v>
      </c>
      <c r="D38" s="126" t="s">
        <v>137</v>
      </c>
      <c r="E38" s="123" t="s">
        <v>138</v>
      </c>
      <c r="F38" s="124" t="s">
        <v>139</v>
      </c>
      <c r="G38" s="125" t="s">
        <v>30</v>
      </c>
      <c r="H38" s="126" t="s">
        <v>31</v>
      </c>
      <c r="I38" s="126" t="s">
        <v>140</v>
      </c>
      <c r="J38" s="33"/>
      <c r="K38" s="34"/>
      <c r="L38" s="1"/>
    </row>
    <row r="39" ht="14.25" customHeight="1" outlineLevel="1">
      <c r="A39" s="96">
        <f t="shared" si="0"/>
        <v>30</v>
      </c>
      <c r="B39" s="127" t="s">
        <v>96</v>
      </c>
      <c r="C39" s="127" t="s">
        <v>141</v>
      </c>
      <c r="D39" s="165" t="s">
        <v>142</v>
      </c>
      <c r="E39" s="123" t="s">
        <v>143</v>
      </c>
      <c r="F39" s="131" t="s">
        <v>144</v>
      </c>
      <c r="G39" s="125" t="s">
        <v>30</v>
      </c>
      <c r="H39" s="132" t="s">
        <v>31</v>
      </c>
      <c r="I39" s="133" t="s">
        <v>145</v>
      </c>
      <c r="J39" s="33"/>
      <c r="K39" s="34"/>
      <c r="L39" s="1"/>
    </row>
    <row r="40" ht="14.25" customHeight="1" outlineLevel="1">
      <c r="A40" s="96">
        <f t="shared" si="0"/>
        <v>31</v>
      </c>
      <c r="B40" s="166" t="s">
        <v>113</v>
      </c>
      <c r="C40" s="167" t="s">
        <v>146</v>
      </c>
      <c r="D40" s="140" t="s">
        <v>147</v>
      </c>
      <c r="E40" s="168" t="s">
        <v>148</v>
      </c>
      <c r="F40" s="169" t="s">
        <v>149</v>
      </c>
      <c r="G40" s="125" t="s">
        <v>30</v>
      </c>
      <c r="H40" s="142"/>
      <c r="I40" s="170" t="s">
        <v>150</v>
      </c>
      <c r="J40" s="33"/>
      <c r="K40" s="34"/>
      <c r="L40" s="1"/>
    </row>
    <row r="41" ht="14.25" customHeight="1" outlineLevel="1">
      <c r="A41" s="96">
        <f t="shared" si="0"/>
        <v>32</v>
      </c>
      <c r="B41" s="134" t="s">
        <v>151</v>
      </c>
      <c r="C41" s="144" t="s">
        <v>152</v>
      </c>
      <c r="D41" s="145" t="s">
        <v>153</v>
      </c>
      <c r="E41" s="171" t="s">
        <v>154</v>
      </c>
      <c r="F41" s="131" t="s">
        <v>155</v>
      </c>
      <c r="G41" s="125" t="s">
        <v>30</v>
      </c>
      <c r="H41" s="134" t="s">
        <v>31</v>
      </c>
      <c r="I41" s="120" t="s">
        <v>156</v>
      </c>
      <c r="J41" s="33"/>
      <c r="K41" s="34"/>
      <c r="L41" s="1"/>
    </row>
    <row r="42" ht="14.25" customHeight="1" outlineLevel="1">
      <c r="A42" s="74">
        <f t="shared" si="0"/>
        <v>33</v>
      </c>
      <c r="B42" s="172" t="s">
        <v>72</v>
      </c>
      <c r="C42" s="150" t="s">
        <v>157</v>
      </c>
      <c r="D42" s="91" t="s">
        <v>158</v>
      </c>
      <c r="E42" s="173" t="s">
        <v>159</v>
      </c>
      <c r="F42" s="174" t="s">
        <v>160</v>
      </c>
      <c r="G42" s="125" t="s">
        <v>30</v>
      </c>
      <c r="H42" s="175" t="s">
        <v>89</v>
      </c>
      <c r="I42" s="176" t="s">
        <v>161</v>
      </c>
      <c r="J42" s="177"/>
      <c r="K42" s="178"/>
      <c r="L42" s="1"/>
    </row>
    <row r="43" ht="14.25" customHeight="1" outlineLevel="1">
      <c r="A43" s="96">
        <f t="shared" si="0"/>
        <v>34</v>
      </c>
      <c r="B43" s="179" t="s">
        <v>96</v>
      </c>
      <c r="C43" s="180" t="s">
        <v>162</v>
      </c>
      <c r="D43" s="181" t="s">
        <v>163</v>
      </c>
      <c r="E43" s="182" t="s">
        <v>164</v>
      </c>
      <c r="F43" s="181" t="s">
        <v>165</v>
      </c>
      <c r="G43" s="183" t="s">
        <v>30</v>
      </c>
      <c r="H43" s="184" t="s">
        <v>31</v>
      </c>
      <c r="I43" s="185" t="s">
        <v>166</v>
      </c>
      <c r="J43" s="186"/>
      <c r="K43" s="187"/>
      <c r="L43" s="1"/>
    </row>
    <row r="44" ht="14.25" customHeight="1" outlineLevel="1">
      <c r="A44" s="96">
        <f t="shared" si="0"/>
        <v>35</v>
      </c>
      <c r="B44" s="188" t="s">
        <v>72</v>
      </c>
      <c r="C44" s="188" t="s">
        <v>167</v>
      </c>
      <c r="D44" s="189" t="s">
        <v>168</v>
      </c>
      <c r="E44" s="190" t="s">
        <v>169</v>
      </c>
      <c r="F44" s="189" t="s">
        <v>170</v>
      </c>
      <c r="G44" s="191"/>
      <c r="H44" s="191" t="s">
        <v>31</v>
      </c>
      <c r="I44" s="191"/>
      <c r="J44" s="192"/>
      <c r="K44" s="34"/>
    </row>
    <row r="45" ht="14.25" customHeight="1" outlineLevel="1">
      <c r="A45" s="96">
        <f t="shared" si="0"/>
        <v>36</v>
      </c>
      <c r="B45" s="152" t="s">
        <v>25</v>
      </c>
      <c r="C45" s="152" t="s">
        <v>171</v>
      </c>
      <c r="D45" s="193" t="s">
        <v>172</v>
      </c>
      <c r="E45" s="194" t="s">
        <v>173</v>
      </c>
      <c r="F45" s="195" t="s">
        <v>174</v>
      </c>
      <c r="G45" s="84" t="s">
        <v>30</v>
      </c>
      <c r="H45" s="161" t="s">
        <v>31</v>
      </c>
      <c r="I45" s="196" t="s">
        <v>175</v>
      </c>
      <c r="J45" s="187"/>
      <c r="K45" s="197"/>
      <c r="L45" s="1"/>
    </row>
    <row r="46" ht="14.25" customHeight="1" outlineLevel="1">
      <c r="A46" s="96">
        <f t="shared" si="0"/>
        <v>37</v>
      </c>
      <c r="B46" s="36" t="s">
        <v>72</v>
      </c>
      <c r="C46" s="36" t="s">
        <v>176</v>
      </c>
      <c r="D46" s="36" t="s">
        <v>177</v>
      </c>
      <c r="E46" s="198" t="s">
        <v>178</v>
      </c>
      <c r="F46" s="37" t="s">
        <v>179</v>
      </c>
      <c r="G46" s="199"/>
      <c r="H46" s="36"/>
      <c r="I46" s="32" t="s">
        <v>180</v>
      </c>
      <c r="J46" s="200"/>
      <c r="K46" s="34"/>
    </row>
    <row r="47" ht="14.25" customHeight="1" outlineLevel="1">
      <c r="A47" s="96">
        <f t="shared" si="0"/>
        <v>38</v>
      </c>
      <c r="B47" s="36" t="s">
        <v>72</v>
      </c>
      <c r="C47" s="37" t="s">
        <v>181</v>
      </c>
      <c r="D47" s="37" t="s">
        <v>182</v>
      </c>
      <c r="E47" s="198" t="s">
        <v>183</v>
      </c>
      <c r="F47" s="37" t="s">
        <v>184</v>
      </c>
      <c r="G47" s="58"/>
      <c r="H47" s="36"/>
      <c r="I47" s="32" t="s">
        <v>185</v>
      </c>
      <c r="J47" s="33"/>
      <c r="K47" s="34"/>
    </row>
    <row r="48" ht="14.25" customHeight="1" outlineLevel="1">
      <c r="A48" s="96">
        <f t="shared" si="0"/>
        <v>39</v>
      </c>
      <c r="B48" s="36" t="s">
        <v>72</v>
      </c>
      <c r="C48" s="36" t="s">
        <v>186</v>
      </c>
      <c r="D48" s="36" t="s">
        <v>187</v>
      </c>
      <c r="E48" s="201">
        <v>3450.8200000000002</v>
      </c>
      <c r="F48" s="202" t="s">
        <v>188</v>
      </c>
      <c r="G48" s="125" t="s">
        <v>30</v>
      </c>
      <c r="H48" s="36" t="s">
        <v>31</v>
      </c>
      <c r="I48" s="32"/>
      <c r="J48" s="33" t="s">
        <v>189</v>
      </c>
      <c r="K48" s="34"/>
    </row>
    <row r="49" outlineLevel="1">
      <c r="A49" s="96">
        <f t="shared" si="0"/>
        <v>40</v>
      </c>
      <c r="B49" s="33"/>
      <c r="C49" s="33"/>
      <c r="D49" s="33"/>
      <c r="E49" s="33"/>
      <c r="F49" s="33"/>
      <c r="G49" s="200"/>
      <c r="H49" s="36"/>
      <c r="I49" s="32"/>
      <c r="J49" s="33"/>
      <c r="K49" s="34"/>
    </row>
    <row r="50" ht="14.25" customHeight="1" outlineLevel="1">
      <c r="A50" s="96">
        <f t="shared" si="0"/>
        <v>41</v>
      </c>
      <c r="B50" s="33"/>
      <c r="C50" s="33"/>
      <c r="D50" s="33"/>
      <c r="E50" s="33"/>
      <c r="F50" s="33"/>
      <c r="G50" s="33"/>
      <c r="H50" s="36"/>
      <c r="I50" s="36"/>
      <c r="J50" s="33"/>
      <c r="K50" s="34"/>
    </row>
    <row r="51" ht="14.25" customHeight="1" outlineLevel="1">
      <c r="A51" s="96">
        <f t="shared" si="0"/>
        <v>42</v>
      </c>
      <c r="B51" s="32"/>
      <c r="C51" s="39"/>
      <c r="D51" s="39"/>
      <c r="E51" s="35"/>
      <c r="F51" s="39"/>
      <c r="G51" s="32"/>
      <c r="H51" s="36"/>
      <c r="I51" s="32"/>
      <c r="J51" s="33"/>
      <c r="K51" s="34"/>
    </row>
    <row r="52" ht="14.25" customHeight="1" outlineLevel="1">
      <c r="A52" s="96">
        <f t="shared" si="0"/>
        <v>43</v>
      </c>
      <c r="B52" s="40"/>
      <c r="C52" s="40"/>
      <c r="D52" s="41"/>
      <c r="E52" s="42"/>
      <c r="F52" s="41"/>
      <c r="G52" s="32"/>
      <c r="H52" s="36"/>
      <c r="I52" s="32"/>
      <c r="J52" s="33"/>
      <c r="K52" s="34"/>
    </row>
    <row r="53" ht="14.25" customHeight="1" outlineLevel="1">
      <c r="A53" s="96">
        <f t="shared" si="0"/>
        <v>44</v>
      </c>
      <c r="B53" s="40"/>
      <c r="C53" s="40"/>
      <c r="D53" s="41"/>
      <c r="E53" s="43"/>
      <c r="F53" s="41"/>
      <c r="G53" s="32"/>
      <c r="H53" s="36"/>
      <c r="I53" s="32"/>
      <c r="J53" s="33"/>
      <c r="K53" s="34"/>
    </row>
    <row r="54" ht="14.25" customHeight="1" outlineLevel="1">
      <c r="A54" s="96">
        <f t="shared" si="0"/>
        <v>45</v>
      </c>
      <c r="B54" s="44"/>
      <c r="C54" s="45"/>
      <c r="D54" s="45"/>
      <c r="E54" s="43"/>
      <c r="F54" s="45"/>
      <c r="G54" s="32"/>
      <c r="H54" s="36"/>
      <c r="I54" s="32"/>
      <c r="J54" s="33"/>
      <c r="K54" s="34"/>
    </row>
    <row r="55" ht="14.25" customHeight="1" outlineLevel="1">
      <c r="A55" s="96">
        <f t="shared" si="0"/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96">
        <f t="shared" si="0"/>
        <v>47</v>
      </c>
      <c r="B56" s="36"/>
      <c r="C56" s="37"/>
      <c r="D56" s="37"/>
      <c r="E56" s="35"/>
      <c r="F56" s="37"/>
      <c r="G56" s="36"/>
      <c r="H56" s="36"/>
      <c r="I56" s="32"/>
      <c r="J56" s="33"/>
      <c r="K56" s="34"/>
    </row>
    <row r="57" ht="14.25" customHeight="1" outlineLevel="1">
      <c r="A57" s="96">
        <f t="shared" si="0"/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96">
        <f t="shared" si="0"/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s="21" customFormat="1" ht="20.25" customHeight="1" outlineLevel="1">
      <c r="A59" s="22"/>
      <c r="B59" s="23" t="s">
        <v>18</v>
      </c>
      <c r="C59" s="24"/>
      <c r="D59" s="25"/>
      <c r="E59" s="26"/>
      <c r="F59" s="23"/>
      <c r="G59" s="23"/>
      <c r="H59" s="23"/>
      <c r="I59" s="23"/>
      <c r="J59" s="23"/>
      <c r="K59" s="27"/>
    </row>
    <row r="60" ht="14.25" customHeight="1" outlineLevel="1">
      <c r="A60" s="46">
        <v>1</v>
      </c>
      <c r="B60" s="47"/>
      <c r="C60" s="47"/>
      <c r="D60" s="47"/>
      <c r="E60" s="48"/>
      <c r="F60" s="49"/>
      <c r="G60" s="47"/>
      <c r="H60" s="47"/>
      <c r="I60" s="47"/>
      <c r="J60" s="50"/>
      <c r="K60" s="51"/>
    </row>
    <row r="61" ht="14.25" customHeight="1" outlineLevel="1">
      <c r="A61" s="28">
        <v>2</v>
      </c>
      <c r="B61" s="36"/>
      <c r="C61" s="36"/>
      <c r="D61" s="36"/>
      <c r="E61" s="38"/>
      <c r="F61" s="37"/>
      <c r="G61" s="36"/>
      <c r="H61" s="36"/>
      <c r="I61" s="36"/>
      <c r="J61" s="33"/>
      <c r="K61" s="34"/>
    </row>
    <row r="62" ht="14.25" customHeight="1" outlineLevel="1">
      <c r="A62" s="28">
        <v>3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4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52">
        <v>5</v>
      </c>
      <c r="B64" s="53"/>
      <c r="C64" s="53"/>
      <c r="D64" s="53"/>
      <c r="E64" s="54"/>
      <c r="F64" s="55"/>
      <c r="G64" s="53"/>
      <c r="H64" s="53"/>
      <c r="I64" s="53"/>
      <c r="J64" s="56"/>
      <c r="K64" s="57"/>
    </row>
    <row r="65" s="21" customFormat="1" ht="20.25" customHeight="1" outlineLevel="1">
      <c r="A65" s="69"/>
      <c r="B65" s="70" t="s">
        <v>19</v>
      </c>
      <c r="C65" s="71"/>
      <c r="D65" s="72"/>
      <c r="E65" s="73"/>
      <c r="F65" s="70"/>
      <c r="G65" s="70"/>
      <c r="H65" s="70"/>
      <c r="I65" s="70"/>
      <c r="J65" s="70"/>
      <c r="K65" s="203"/>
    </row>
    <row r="66" s="21" customFormat="1" ht="17.25" customHeight="1" outlineLevel="1">
      <c r="A66" s="204">
        <v>1</v>
      </c>
      <c r="B66" s="205" t="s">
        <v>190</v>
      </c>
      <c r="C66" s="206" t="s">
        <v>191</v>
      </c>
      <c r="D66" s="207" t="s">
        <v>192</v>
      </c>
      <c r="E66" s="208" t="s">
        <v>116</v>
      </c>
      <c r="F66" s="209" t="s">
        <v>193</v>
      </c>
      <c r="G66" s="210"/>
      <c r="H66" s="211"/>
      <c r="I66" s="212" t="s">
        <v>194</v>
      </c>
      <c r="J66" s="211"/>
      <c r="K66" s="211"/>
    </row>
    <row r="67" s="21" customFormat="1" ht="15" customHeight="1" outlineLevel="1">
      <c r="A67" s="74">
        <v>3</v>
      </c>
      <c r="B67" s="213" t="s">
        <v>190</v>
      </c>
      <c r="C67" s="214" t="s">
        <v>191</v>
      </c>
      <c r="D67" s="215" t="s">
        <v>192</v>
      </c>
      <c r="E67" s="216" t="s">
        <v>195</v>
      </c>
      <c r="F67" s="217" t="s">
        <v>196</v>
      </c>
      <c r="G67" s="36"/>
      <c r="H67" s="36"/>
      <c r="I67" s="29" t="s">
        <v>197</v>
      </c>
      <c r="J67" s="218"/>
      <c r="K67" s="219"/>
    </row>
    <row r="68" ht="14.25" customHeight="1" outlineLevel="1">
      <c r="A68" s="28">
        <v>4</v>
      </c>
      <c r="B68" s="220" t="s">
        <v>190</v>
      </c>
      <c r="C68" s="221" t="s">
        <v>191</v>
      </c>
      <c r="D68" s="222" t="s">
        <v>198</v>
      </c>
      <c r="E68" s="223">
        <v>235000</v>
      </c>
      <c r="F68" s="224" t="s">
        <v>199</v>
      </c>
      <c r="G68" s="199"/>
      <c r="H68" s="199"/>
      <c r="I68" s="29" t="s">
        <v>197</v>
      </c>
      <c r="J68" s="218" t="s">
        <v>189</v>
      </c>
      <c r="K68" s="219"/>
    </row>
    <row r="69" ht="14.25" customHeight="1" outlineLevel="1">
      <c r="A69" s="52">
        <v>5</v>
      </c>
      <c r="B69" s="53"/>
      <c r="C69" s="53"/>
      <c r="D69" s="53"/>
      <c r="E69" s="54"/>
      <c r="F69" s="55"/>
      <c r="G69" s="53"/>
      <c r="H69" s="53"/>
      <c r="I69" s="53"/>
      <c r="J69" s="225"/>
      <c r="K69" s="226"/>
    </row>
    <row r="70" s="21" customFormat="1" ht="23.25" customHeight="1">
      <c r="A70" s="63" t="s">
        <v>20</v>
      </c>
      <c r="B70" s="64"/>
      <c r="C70" s="64"/>
      <c r="D70" s="65"/>
      <c r="E70" s="66">
        <f>SUM(E9:E69)</f>
        <v>238450.82000000001</v>
      </c>
    </row>
    <row r="71" s="21" customFormat="1" ht="23.25" customHeight="1">
      <c r="A71" s="63" t="s">
        <v>21</v>
      </c>
      <c r="B71" s="64"/>
      <c r="C71" s="64"/>
      <c r="D71" s="65"/>
      <c r="E71" s="66">
        <f>E4-E70</f>
        <v>-151106.59000000003</v>
      </c>
      <c r="F71" s="67"/>
    </row>
    <row r="72" ht="14.25">
      <c r="E72" s="1"/>
    </row>
  </sheetData>
  <mergeCells count="6">
    <mergeCell ref="E1:F1"/>
    <mergeCell ref="A4:D4"/>
    <mergeCell ref="A5:D5"/>
    <mergeCell ref="A6:D6"/>
    <mergeCell ref="A70:D70"/>
    <mergeCell ref="A71:D71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6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001200AD-0011-428D-B953-002F00B80001}" type="list" allowBlank="1" errorStyle="stop" imeMode="noControl" operator="between" showDropDown="0" showErrorMessage="1" showInputMessage="1">
          <x14:formula1>
            <xm:f>ДаНет</xm:f>
          </x14:formula1>
          <xm:sqref>H69 H46:H47 H49:H58 H60:H64</xm:sqref>
        </x14:dataValidation>
        <x14:dataValidation xr:uid="{00630050-00D9-4A39-9BF6-009100570017}" type="list" allowBlank="1" errorStyle="stop" imeMode="noControl" operator="between" showDropDown="0" showErrorMessage="1" showInputMessage="1">
          <x14:formula1>
            <xm:f>ДаНет</xm:f>
          </x14:formula1>
          <xm:sqref>H24</xm:sqref>
        </x14:dataValidation>
        <x14:dataValidation xr:uid="{001000E2-006B-4D0D-ADE5-0092006A00C8}" type="list" allowBlank="1" errorStyle="stop" imeMode="noControl" operator="between" showDropDown="0" showErrorMessage="1" showInputMessage="1">
          <x14:formula1>
            <xm:f>ДаНет</xm:f>
          </x14:formula1>
          <xm:sqref>H35 H31</xm:sqref>
        </x14:dataValidation>
        <x14:dataValidation xr:uid="{00180004-0036-4516-B0C8-0024003F0072}" type="list" allowBlank="1" errorStyle="stop" imeMode="noControl" operator="between" showDropDown="0" showErrorMessage="1" showInputMessage="1">
          <x14:formula1>
            <xm:f>ДаНет</xm:f>
          </x14:formula1>
          <xm:sqref>H33</xm:sqref>
        </x14:dataValidation>
        <x14:dataValidation xr:uid="{005C008E-0079-4444-B3D3-00CC003300EE}" type="list" allowBlank="1" errorStyle="stop" imeMode="noControl" operator="between" showDropDown="0" showErrorMessage="1" showInputMessage="1">
          <x14:formula1>
            <xm:f>ДаНет</xm:f>
          </x14:formula1>
          <xm:sqref>H36</xm:sqref>
        </x14:dataValidation>
        <x14:dataValidation xr:uid="{00C0006D-00BC-4EF8-99C4-006C001F00D0}" type="list" allowBlank="1" errorStyle="stop" imeMode="noControl" operator="between" showDropDown="0" showErrorMessage="1" showInputMessage="1">
          <x14:formula1>
            <xm:f>ДаНет</xm:f>
          </x14:formula1>
          <xm:sqref>H48 H44</xm:sqref>
        </x14:dataValidation>
        <x14:dataValidation xr:uid="{00DD0044-00F7-476A-894C-001500FF0027}" type="list" allowBlank="1" errorStyle="stop" imeMode="noControl" operator="between" showDropDown="0" showErrorMessage="1" showInputMessage="1">
          <x14:formula1>
            <xm:f>ДаНет</xm:f>
          </x14:formula1>
          <xm:sqref>H68 H67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'03'!C2+1</f>
        <v>46085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4253.4099999999999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2572.77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4253.4099999999999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E0065-00D1-4F9F-853E-00CD00690037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1"/>
  </sheetPr>
  <sheetViews>
    <sheetView showGridLines="0" showRuler="1" topLeftCell="A34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'04'!C2+1</f>
        <v>46086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166889.41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165208.76999999999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14.25" customHeight="1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47" si="1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1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1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1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1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1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1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1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1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1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1"/>
        <v>12</v>
      </c>
      <c r="B21" s="94" t="s">
        <v>25</v>
      </c>
      <c r="C21" s="90" t="s">
        <v>63</v>
      </c>
      <c r="D21" s="95" t="s">
        <v>68</v>
      </c>
      <c r="E21" s="92" t="s">
        <v>69</v>
      </c>
      <c r="F21" s="91" t="s">
        <v>70</v>
      </c>
      <c r="G21" s="84" t="s">
        <v>30</v>
      </c>
      <c r="H21" s="93" t="s">
        <v>31</v>
      </c>
      <c r="I21" s="89" t="s">
        <v>71</v>
      </c>
      <c r="J21" s="82"/>
      <c r="K21" s="34"/>
      <c r="L21" s="1"/>
    </row>
    <row r="22" ht="14.25" customHeight="1" outlineLevel="1">
      <c r="A22" s="28">
        <f t="shared" si="1"/>
        <v>13</v>
      </c>
      <c r="B22" s="97" t="s">
        <v>72</v>
      </c>
      <c r="C22" s="90" t="s">
        <v>63</v>
      </c>
      <c r="D22" s="98" t="s">
        <v>73</v>
      </c>
      <c r="E22" s="99" t="s">
        <v>74</v>
      </c>
      <c r="F22" s="98" t="s">
        <v>75</v>
      </c>
      <c r="G22" s="84" t="s">
        <v>30</v>
      </c>
      <c r="H22" s="100" t="s">
        <v>31</v>
      </c>
      <c r="I22" s="101" t="s">
        <v>76</v>
      </c>
      <c r="J22" s="82"/>
      <c r="K22" s="34"/>
      <c r="L22" s="1"/>
    </row>
    <row r="23" ht="14.25" customHeight="1" outlineLevel="1">
      <c r="A23" s="28">
        <f t="shared" si="1"/>
        <v>14</v>
      </c>
      <c r="B23" s="97" t="s">
        <v>72</v>
      </c>
      <c r="C23" s="102" t="s">
        <v>63</v>
      </c>
      <c r="D23" s="103" t="s">
        <v>77</v>
      </c>
      <c r="E23" s="104" t="s">
        <v>78</v>
      </c>
      <c r="F23" s="105" t="s">
        <v>79</v>
      </c>
      <c r="G23" s="106" t="s">
        <v>30</v>
      </c>
      <c r="H23" s="107"/>
      <c r="I23" s="108" t="s">
        <v>80</v>
      </c>
      <c r="J23" s="33"/>
      <c r="K23" s="34"/>
      <c r="L23" s="1"/>
    </row>
    <row r="24" ht="14.25" customHeight="1" outlineLevel="1">
      <c r="A24" s="28">
        <f t="shared" si="1"/>
        <v>15</v>
      </c>
      <c r="B24" s="32" t="s">
        <v>72</v>
      </c>
      <c r="C24" s="109" t="s">
        <v>63</v>
      </c>
      <c r="D24" s="109" t="s">
        <v>81</v>
      </c>
      <c r="E24" s="110" t="s">
        <v>82</v>
      </c>
      <c r="F24" s="39" t="s">
        <v>83</v>
      </c>
      <c r="G24" s="111"/>
      <c r="H24" s="112"/>
      <c r="I24" s="111" t="s">
        <v>84</v>
      </c>
      <c r="J24" s="33"/>
      <c r="K24" s="34"/>
      <c r="L24" s="1"/>
    </row>
    <row r="25" ht="14.25" customHeight="1" outlineLevel="1">
      <c r="A25" s="28">
        <f t="shared" si="1"/>
        <v>16</v>
      </c>
      <c r="B25" s="97" t="s">
        <v>72</v>
      </c>
      <c r="C25" s="152" t="s">
        <v>85</v>
      </c>
      <c r="D25" s="98" t="s">
        <v>86</v>
      </c>
      <c r="E25" s="99" t="s">
        <v>87</v>
      </c>
      <c r="F25" s="227" t="s">
        <v>88</v>
      </c>
      <c r="G25" s="84" t="s">
        <v>30</v>
      </c>
      <c r="H25" s="100" t="s">
        <v>89</v>
      </c>
      <c r="I25" s="101" t="s">
        <v>90</v>
      </c>
      <c r="J25" s="82"/>
      <c r="K25" s="34"/>
      <c r="L25" s="1"/>
    </row>
    <row r="26" ht="14.25" customHeight="1" outlineLevel="1">
      <c r="A26" s="28">
        <f t="shared" si="1"/>
        <v>17</v>
      </c>
      <c r="B26" s="120" t="s">
        <v>25</v>
      </c>
      <c r="C26" s="121" t="s">
        <v>91</v>
      </c>
      <c r="D26" s="122" t="s">
        <v>92</v>
      </c>
      <c r="E26" s="123" t="s">
        <v>93</v>
      </c>
      <c r="F26" s="124" t="s">
        <v>94</v>
      </c>
      <c r="G26" s="125" t="s">
        <v>30</v>
      </c>
      <c r="H26" s="126" t="s">
        <v>31</v>
      </c>
      <c r="I26" s="120" t="s">
        <v>95</v>
      </c>
      <c r="J26" s="33"/>
      <c r="K26" s="34"/>
      <c r="L26" s="1"/>
    </row>
    <row r="27" ht="14.25" customHeight="1" outlineLevel="1">
      <c r="A27" s="28">
        <f t="shared" si="1"/>
        <v>18</v>
      </c>
      <c r="B27" s="127" t="s">
        <v>96</v>
      </c>
      <c r="C27" s="128" t="s">
        <v>91</v>
      </c>
      <c r="D27" s="129" t="s">
        <v>97</v>
      </c>
      <c r="E27" s="130" t="s">
        <v>98</v>
      </c>
      <c r="F27" s="131" t="s">
        <v>99</v>
      </c>
      <c r="G27" s="125" t="s">
        <v>30</v>
      </c>
      <c r="H27" s="132" t="s">
        <v>31</v>
      </c>
      <c r="I27" s="133" t="s">
        <v>100</v>
      </c>
      <c r="J27" s="33"/>
      <c r="K27" s="34"/>
      <c r="L27" s="1"/>
    </row>
    <row r="28" ht="14.25" customHeight="1" outlineLevel="1">
      <c r="A28" s="28">
        <f t="shared" si="1"/>
        <v>19</v>
      </c>
      <c r="B28" s="127" t="s">
        <v>72</v>
      </c>
      <c r="C28" s="128" t="s">
        <v>101</v>
      </c>
      <c r="D28" s="129" t="s">
        <v>102</v>
      </c>
      <c r="E28" s="130" t="s">
        <v>103</v>
      </c>
      <c r="F28" s="131" t="s">
        <v>104</v>
      </c>
      <c r="G28" s="125" t="s">
        <v>30</v>
      </c>
      <c r="H28" s="132" t="s">
        <v>31</v>
      </c>
      <c r="I28" s="133" t="s">
        <v>105</v>
      </c>
      <c r="J28" s="33"/>
      <c r="K28" s="34"/>
      <c r="L28" s="1"/>
    </row>
    <row r="29" ht="14.25" customHeight="1" outlineLevel="1">
      <c r="A29" s="28">
        <f t="shared" si="1"/>
        <v>20</v>
      </c>
      <c r="B29" s="134" t="s">
        <v>72</v>
      </c>
      <c r="C29" s="128" t="s">
        <v>101</v>
      </c>
      <c r="D29" s="129" t="s">
        <v>106</v>
      </c>
      <c r="E29" s="130" t="s">
        <v>107</v>
      </c>
      <c r="F29" s="135" t="s">
        <v>104</v>
      </c>
      <c r="G29" s="125" t="s">
        <v>30</v>
      </c>
      <c r="H29" s="132" t="s">
        <v>31</v>
      </c>
      <c r="I29" s="133" t="s">
        <v>108</v>
      </c>
      <c r="J29" s="33"/>
      <c r="K29" s="34"/>
      <c r="L29" s="1"/>
    </row>
    <row r="30" ht="14.25" customHeight="1" outlineLevel="1">
      <c r="A30" s="74">
        <f t="shared" si="1"/>
        <v>21</v>
      </c>
      <c r="B30" s="136" t="s">
        <v>72</v>
      </c>
      <c r="C30" s="137" t="s">
        <v>101</v>
      </c>
      <c r="D30" s="129" t="s">
        <v>109</v>
      </c>
      <c r="E30" s="130" t="s">
        <v>107</v>
      </c>
      <c r="F30" s="135" t="s">
        <v>104</v>
      </c>
      <c r="G30" s="125" t="s">
        <v>30</v>
      </c>
      <c r="H30" s="132" t="s">
        <v>31</v>
      </c>
      <c r="I30" s="133" t="s">
        <v>110</v>
      </c>
      <c r="J30" s="33"/>
      <c r="K30" s="34"/>
      <c r="L30" s="1"/>
    </row>
    <row r="31" ht="14.25" customHeight="1" outlineLevel="1">
      <c r="A31" s="74">
        <f t="shared" si="1"/>
        <v>22</v>
      </c>
      <c r="B31" s="138" t="s">
        <v>72</v>
      </c>
      <c r="C31" s="139" t="s">
        <v>101</v>
      </c>
      <c r="D31" s="140" t="s">
        <v>111</v>
      </c>
      <c r="E31" s="141" t="s">
        <v>112</v>
      </c>
      <c r="F31" s="135" t="s">
        <v>104</v>
      </c>
      <c r="G31" s="125" t="s">
        <v>30</v>
      </c>
      <c r="H31" s="142"/>
      <c r="I31" s="133" t="s">
        <v>110</v>
      </c>
      <c r="J31" s="33"/>
      <c r="K31" s="34"/>
      <c r="L31" s="1"/>
    </row>
    <row r="32" ht="14.25" customHeight="1" outlineLevel="1">
      <c r="A32" s="28">
        <f t="shared" si="1"/>
        <v>23</v>
      </c>
      <c r="B32" s="143" t="s">
        <v>113</v>
      </c>
      <c r="C32" s="144" t="s">
        <v>114</v>
      </c>
      <c r="D32" s="145" t="s">
        <v>115</v>
      </c>
      <c r="E32" s="146" t="s">
        <v>116</v>
      </c>
      <c r="F32" s="147" t="s">
        <v>117</v>
      </c>
      <c r="G32" s="125" t="s">
        <v>30</v>
      </c>
      <c r="H32" s="148" t="s">
        <v>31</v>
      </c>
      <c r="I32" s="149" t="s">
        <v>118</v>
      </c>
      <c r="J32" s="33"/>
      <c r="K32" s="34"/>
      <c r="L32" s="1"/>
    </row>
    <row r="33" ht="14.25" customHeight="1" outlineLevel="1">
      <c r="A33" s="74">
        <f t="shared" si="1"/>
        <v>24</v>
      </c>
      <c r="B33" s="150" t="s">
        <v>72</v>
      </c>
      <c r="C33" s="150" t="s">
        <v>119</v>
      </c>
      <c r="D33" s="91" t="s">
        <v>120</v>
      </c>
      <c r="E33" s="92" t="s">
        <v>121</v>
      </c>
      <c r="F33" s="91" t="s">
        <v>122</v>
      </c>
      <c r="G33" s="84" t="s">
        <v>30</v>
      </c>
      <c r="H33" s="151"/>
      <c r="I33" s="88" t="s">
        <v>123</v>
      </c>
      <c r="J33" s="82"/>
      <c r="K33" s="34"/>
      <c r="L33" s="1"/>
    </row>
    <row r="34" ht="14.25" customHeight="1" outlineLevel="1">
      <c r="A34" s="74">
        <f t="shared" si="1"/>
        <v>25</v>
      </c>
      <c r="B34" s="152" t="s">
        <v>72</v>
      </c>
      <c r="C34" s="152" t="s">
        <v>114</v>
      </c>
      <c r="D34" s="98" t="s">
        <v>124</v>
      </c>
      <c r="E34" s="99" t="s">
        <v>125</v>
      </c>
      <c r="F34" s="98" t="s">
        <v>122</v>
      </c>
      <c r="G34" s="84" t="s">
        <v>30</v>
      </c>
      <c r="H34" s="153"/>
      <c r="I34" s="154" t="s">
        <v>126</v>
      </c>
      <c r="J34" s="82"/>
      <c r="K34" s="34"/>
      <c r="L34" s="1"/>
    </row>
    <row r="35" ht="14.25" customHeight="1" outlineLevel="1">
      <c r="A35" s="28">
        <f t="shared" si="1"/>
        <v>26</v>
      </c>
      <c r="B35" s="155" t="s">
        <v>113</v>
      </c>
      <c r="C35" s="156" t="s">
        <v>114</v>
      </c>
      <c r="D35" s="103" t="s">
        <v>127</v>
      </c>
      <c r="E35" s="157" t="s">
        <v>116</v>
      </c>
      <c r="F35" s="158" t="s">
        <v>128</v>
      </c>
      <c r="G35" s="125" t="s">
        <v>30</v>
      </c>
      <c r="H35" s="159"/>
      <c r="I35" s="160"/>
      <c r="J35" s="33"/>
      <c r="K35" s="34"/>
      <c r="L35" s="1"/>
    </row>
    <row r="36" ht="14.25" customHeight="1" outlineLevel="1">
      <c r="A36" s="74">
        <f t="shared" si="1"/>
        <v>27</v>
      </c>
      <c r="B36" s="161" t="s">
        <v>113</v>
      </c>
      <c r="C36" s="162" t="s">
        <v>114</v>
      </c>
      <c r="D36" s="103" t="s">
        <v>129</v>
      </c>
      <c r="E36" s="163" t="s">
        <v>130</v>
      </c>
      <c r="F36" s="158" t="s">
        <v>128</v>
      </c>
      <c r="G36" s="125" t="s">
        <v>30</v>
      </c>
      <c r="H36" s="160"/>
      <c r="I36" s="160" t="s">
        <v>17</v>
      </c>
      <c r="J36" s="33"/>
      <c r="K36" s="34"/>
      <c r="L36" s="1"/>
    </row>
    <row r="37" ht="14.25" customHeight="1" outlineLevel="1">
      <c r="A37" s="28">
        <f t="shared" si="1"/>
        <v>28</v>
      </c>
      <c r="B37" s="127" t="s">
        <v>96</v>
      </c>
      <c r="C37" s="128" t="s">
        <v>131</v>
      </c>
      <c r="D37" s="129" t="s">
        <v>132</v>
      </c>
      <c r="E37" s="130" t="s">
        <v>133</v>
      </c>
      <c r="F37" s="131" t="s">
        <v>134</v>
      </c>
      <c r="G37" s="125" t="s">
        <v>30</v>
      </c>
      <c r="H37" s="132" t="s">
        <v>31</v>
      </c>
      <c r="I37" s="133" t="s">
        <v>135</v>
      </c>
      <c r="J37" s="33"/>
      <c r="K37" s="34"/>
      <c r="L37" s="1"/>
    </row>
    <row r="38" ht="14.25" customHeight="1" outlineLevel="1">
      <c r="A38" s="28">
        <f t="shared" si="1"/>
        <v>29</v>
      </c>
      <c r="B38" s="120" t="s">
        <v>96</v>
      </c>
      <c r="C38" s="121" t="s">
        <v>136</v>
      </c>
      <c r="D38" s="126" t="s">
        <v>137</v>
      </c>
      <c r="E38" s="123" t="s">
        <v>138</v>
      </c>
      <c r="F38" s="124" t="s">
        <v>139</v>
      </c>
      <c r="G38" s="125" t="s">
        <v>30</v>
      </c>
      <c r="H38" s="126" t="s">
        <v>31</v>
      </c>
      <c r="I38" s="126" t="s">
        <v>140</v>
      </c>
      <c r="J38" s="33"/>
      <c r="K38" s="34"/>
      <c r="L38" s="1"/>
    </row>
    <row r="39" ht="14.25" customHeight="1" outlineLevel="1">
      <c r="A39" s="28">
        <f t="shared" si="1"/>
        <v>30</v>
      </c>
      <c r="B39" s="127" t="s">
        <v>96</v>
      </c>
      <c r="C39" s="127" t="s">
        <v>141</v>
      </c>
      <c r="D39" s="165" t="s">
        <v>142</v>
      </c>
      <c r="E39" s="123" t="s">
        <v>143</v>
      </c>
      <c r="F39" s="131" t="s">
        <v>144</v>
      </c>
      <c r="G39" s="125" t="s">
        <v>30</v>
      </c>
      <c r="H39" s="132" t="s">
        <v>31</v>
      </c>
      <c r="I39" s="133" t="s">
        <v>145</v>
      </c>
      <c r="J39" s="33"/>
      <c r="K39" s="34"/>
      <c r="L39" s="1"/>
    </row>
    <row r="40" ht="14.25" customHeight="1" outlineLevel="1">
      <c r="A40" s="28">
        <f t="shared" si="1"/>
        <v>31</v>
      </c>
      <c r="B40" s="166" t="s">
        <v>113</v>
      </c>
      <c r="C40" s="167" t="s">
        <v>146</v>
      </c>
      <c r="D40" s="140" t="s">
        <v>147</v>
      </c>
      <c r="E40" s="168" t="s">
        <v>148</v>
      </c>
      <c r="F40" s="169" t="s">
        <v>149</v>
      </c>
      <c r="G40" s="125" t="s">
        <v>30</v>
      </c>
      <c r="H40" s="142"/>
      <c r="I40" s="170" t="s">
        <v>150</v>
      </c>
      <c r="J40" s="33"/>
      <c r="K40" s="34"/>
      <c r="L40" s="1"/>
    </row>
    <row r="41" ht="14.25" customHeight="1" outlineLevel="1">
      <c r="A41" s="28">
        <f t="shared" si="1"/>
        <v>32</v>
      </c>
      <c r="B41" s="134" t="s">
        <v>151</v>
      </c>
      <c r="C41" s="144" t="s">
        <v>152</v>
      </c>
      <c r="D41" s="145" t="s">
        <v>153</v>
      </c>
      <c r="E41" s="171" t="s">
        <v>154</v>
      </c>
      <c r="F41" s="131" t="s">
        <v>155</v>
      </c>
      <c r="G41" s="125" t="s">
        <v>30</v>
      </c>
      <c r="H41" s="134" t="s">
        <v>31</v>
      </c>
      <c r="I41" s="120" t="s">
        <v>156</v>
      </c>
      <c r="J41" s="33"/>
      <c r="K41" s="34"/>
      <c r="L41" s="1"/>
    </row>
    <row r="42" ht="14.25" customHeight="1" outlineLevel="1">
      <c r="A42" s="74">
        <f t="shared" si="1"/>
        <v>33</v>
      </c>
      <c r="B42" s="172" t="s">
        <v>72</v>
      </c>
      <c r="C42" s="150" t="s">
        <v>157</v>
      </c>
      <c r="D42" s="91" t="s">
        <v>158</v>
      </c>
      <c r="E42" s="173" t="s">
        <v>159</v>
      </c>
      <c r="F42" s="174" t="s">
        <v>160</v>
      </c>
      <c r="G42" s="125" t="s">
        <v>30</v>
      </c>
      <c r="H42" s="175" t="s">
        <v>89</v>
      </c>
      <c r="I42" s="176" t="s">
        <v>161</v>
      </c>
      <c r="J42" s="177"/>
      <c r="K42" s="228"/>
      <c r="L42" s="1"/>
    </row>
    <row r="43" ht="14.25" customHeight="1" outlineLevel="1">
      <c r="A43" s="28">
        <f t="shared" si="1"/>
        <v>34</v>
      </c>
      <c r="B43" s="179" t="s">
        <v>96</v>
      </c>
      <c r="C43" s="229" t="s">
        <v>162</v>
      </c>
      <c r="D43" s="230" t="s">
        <v>163</v>
      </c>
      <c r="E43" s="231" t="s">
        <v>164</v>
      </c>
      <c r="F43" s="230" t="s">
        <v>165</v>
      </c>
      <c r="G43" s="232" t="s">
        <v>30</v>
      </c>
      <c r="H43" s="233" t="s">
        <v>31</v>
      </c>
      <c r="I43" s="234" t="s">
        <v>166</v>
      </c>
      <c r="J43" s="235"/>
      <c r="K43" s="236"/>
      <c r="L43" s="1"/>
    </row>
    <row r="44" ht="14.25" customHeight="1" outlineLevel="1">
      <c r="A44" s="28">
        <f t="shared" si="1"/>
        <v>35</v>
      </c>
      <c r="B44" s="237" t="s">
        <v>72</v>
      </c>
      <c r="C44" s="237" t="s">
        <v>167</v>
      </c>
      <c r="D44" s="238" t="s">
        <v>168</v>
      </c>
      <c r="E44" s="190" t="s">
        <v>169</v>
      </c>
      <c r="F44" s="238" t="s">
        <v>170</v>
      </c>
      <c r="G44" s="111"/>
      <c r="H44" s="111" t="s">
        <v>31</v>
      </c>
      <c r="I44" s="111"/>
      <c r="J44" s="177"/>
      <c r="K44" s="34"/>
      <c r="L44" s="1"/>
    </row>
    <row r="45" ht="14.25" customHeight="1" outlineLevel="1">
      <c r="A45" s="74">
        <f t="shared" si="1"/>
        <v>36</v>
      </c>
      <c r="B45" s="152" t="s">
        <v>25</v>
      </c>
      <c r="C45" s="152" t="s">
        <v>171</v>
      </c>
      <c r="D45" s="239" t="s">
        <v>172</v>
      </c>
      <c r="E45" s="240" t="s">
        <v>173</v>
      </c>
      <c r="F45" s="195" t="s">
        <v>174</v>
      </c>
      <c r="G45" s="84" t="s">
        <v>30</v>
      </c>
      <c r="H45" s="161" t="s">
        <v>31</v>
      </c>
      <c r="I45" s="196" t="s">
        <v>175</v>
      </c>
      <c r="J45" s="187"/>
      <c r="K45" s="197"/>
      <c r="L45" s="1"/>
    </row>
    <row r="46" ht="14.25" customHeight="1" outlineLevel="1">
      <c r="A46" s="28">
        <f t="shared" si="1"/>
        <v>37</v>
      </c>
      <c r="B46" s="36" t="s">
        <v>72</v>
      </c>
      <c r="C46" s="36" t="s">
        <v>176</v>
      </c>
      <c r="D46" s="36" t="s">
        <v>177</v>
      </c>
      <c r="E46" s="198" t="s">
        <v>178</v>
      </c>
      <c r="F46" s="37" t="s">
        <v>179</v>
      </c>
      <c r="G46" s="199"/>
      <c r="H46" s="36"/>
      <c r="I46" s="32" t="s">
        <v>180</v>
      </c>
      <c r="J46" s="200"/>
      <c r="K46" s="34"/>
      <c r="L46" s="1"/>
    </row>
    <row r="47" ht="14.25" customHeight="1" outlineLevel="1">
      <c r="A47" s="28">
        <f t="shared" si="1"/>
        <v>38</v>
      </c>
      <c r="B47" s="36" t="s">
        <v>72</v>
      </c>
      <c r="C47" s="37" t="s">
        <v>181</v>
      </c>
      <c r="D47" s="37" t="s">
        <v>182</v>
      </c>
      <c r="E47" s="198" t="s">
        <v>183</v>
      </c>
      <c r="F47" s="37" t="s">
        <v>184</v>
      </c>
      <c r="G47" s="36"/>
      <c r="H47" s="36"/>
      <c r="I47" s="32" t="s">
        <v>185</v>
      </c>
      <c r="J47" s="33"/>
      <c r="K47" s="34"/>
      <c r="L47" s="1"/>
    </row>
    <row r="48" ht="14.25" customHeight="1" outlineLevel="1">
      <c r="A48" s="28">
        <v>39</v>
      </c>
      <c r="B48" s="36" t="s">
        <v>72</v>
      </c>
      <c r="C48" s="37" t="s">
        <v>200</v>
      </c>
      <c r="D48" s="37" t="s">
        <v>201</v>
      </c>
      <c r="E48" s="241" t="s">
        <v>202</v>
      </c>
      <c r="F48" s="37" t="s">
        <v>203</v>
      </c>
      <c r="G48" s="36"/>
      <c r="H48" s="36"/>
      <c r="I48" s="32" t="s">
        <v>204</v>
      </c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69"/>
      <c r="B60" s="70" t="s">
        <v>18</v>
      </c>
      <c r="C60" s="71"/>
      <c r="D60" s="72"/>
      <c r="E60" s="73"/>
      <c r="F60" s="70"/>
      <c r="G60" s="70"/>
      <c r="H60" s="70"/>
      <c r="I60" s="70"/>
      <c r="J60" s="70"/>
      <c r="K60" s="203"/>
    </row>
    <row r="61" ht="14.25" customHeight="1" outlineLevel="1">
      <c r="A61" s="242">
        <v>1</v>
      </c>
      <c r="B61" s="243" t="s">
        <v>190</v>
      </c>
      <c r="C61" s="244" t="s">
        <v>191</v>
      </c>
      <c r="D61" s="215" t="s">
        <v>192</v>
      </c>
      <c r="E61" s="190" t="s">
        <v>116</v>
      </c>
      <c r="F61" s="217" t="s">
        <v>193</v>
      </c>
      <c r="G61" s="245"/>
      <c r="H61" s="246"/>
      <c r="I61" s="247" t="s">
        <v>194</v>
      </c>
      <c r="J61" s="212"/>
      <c r="K61" s="212"/>
    </row>
    <row r="62" ht="14.25" customHeight="1" outlineLevel="1">
      <c r="A62" s="74">
        <v>3</v>
      </c>
      <c r="B62" s="213" t="s">
        <v>190</v>
      </c>
      <c r="C62" s="214" t="s">
        <v>191</v>
      </c>
      <c r="D62" s="215" t="s">
        <v>192</v>
      </c>
      <c r="E62" s="216" t="s">
        <v>195</v>
      </c>
      <c r="F62" s="217" t="s">
        <v>196</v>
      </c>
      <c r="G62" s="36"/>
      <c r="H62" s="36"/>
      <c r="I62" s="29" t="s">
        <v>197</v>
      </c>
      <c r="J62" s="218"/>
      <c r="K62" s="219"/>
    </row>
    <row r="63" s="248" customFormat="1" ht="57" outlineLevel="1">
      <c r="A63" s="249">
        <v>3</v>
      </c>
      <c r="B63" s="30" t="s">
        <v>205</v>
      </c>
      <c r="C63" s="30" t="s">
        <v>206</v>
      </c>
      <c r="D63" s="30" t="s">
        <v>207</v>
      </c>
      <c r="E63" s="250">
        <v>10000</v>
      </c>
      <c r="F63" s="30" t="s">
        <v>208</v>
      </c>
      <c r="G63" s="30"/>
      <c r="H63" s="30"/>
      <c r="I63" s="30"/>
      <c r="J63" s="251" t="s">
        <v>189</v>
      </c>
      <c r="K63" s="252"/>
    </row>
    <row r="64" s="248" customFormat="1" ht="71.25" outlineLevel="1">
      <c r="A64" s="249">
        <v>4</v>
      </c>
      <c r="B64" s="30" t="s">
        <v>205</v>
      </c>
      <c r="C64" s="30" t="s">
        <v>209</v>
      </c>
      <c r="D64" s="30" t="s">
        <v>210</v>
      </c>
      <c r="E64" s="250">
        <v>5000</v>
      </c>
      <c r="F64" s="30" t="s">
        <v>211</v>
      </c>
      <c r="G64" s="30"/>
      <c r="H64" s="30"/>
      <c r="I64" s="30"/>
      <c r="J64" s="251" t="s">
        <v>189</v>
      </c>
      <c r="K64" s="252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15000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151889.41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41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7B00A4-0098-4DAB-B285-000A00310004}" type="list" allowBlank="1" errorStyle="stop" imeMode="noControl" operator="between" showDropDown="0" showErrorMessage="1" showInputMessage="1">
          <x14:formula1>
            <xm:f>ДаНет</xm:f>
          </x14:formula1>
          <xm:sqref>H67:H71 H48:H59 H63:H65</xm:sqref>
        </x14:dataValidation>
        <x14:dataValidation xr:uid="{00F40070-00F2-4BCD-92C4-0085001100B7}" type="list" allowBlank="1" errorStyle="stop" imeMode="noControl" operator="between" showDropDown="0" showErrorMessage="1" showInputMessage="1">
          <x14:formula1>
            <xm:f>ДаНет</xm:f>
          </x14:formula1>
          <xm:sqref>H46:H47</xm:sqref>
        </x14:dataValidation>
        <x14:dataValidation xr:uid="{00B40039-006D-487D-A7CA-0029008600F1}" type="list" allowBlank="1" errorStyle="stop" imeMode="noControl" operator="between" showDropDown="0" showErrorMessage="1" showInputMessage="1">
          <x14:formula1>
            <xm:f>ДаНет</xm:f>
          </x14:formula1>
          <xm:sqref>H24</xm:sqref>
        </x14:dataValidation>
        <x14:dataValidation xr:uid="{00DB0004-0067-4BD7-BAB5-0002000600D6}" type="list" allowBlank="1" errorStyle="stop" imeMode="noControl" operator="between" showDropDown="0" showErrorMessage="1" showInputMessage="1">
          <x14:formula1>
            <xm:f>ДаНет</xm:f>
          </x14:formula1>
          <xm:sqref>H35 H31</xm:sqref>
        </x14:dataValidation>
        <x14:dataValidation xr:uid="{005D00BF-00C8-4FA6-98AF-0023000E0099}" type="list" allowBlank="1" errorStyle="stop" imeMode="noControl" operator="between" showDropDown="0" showErrorMessage="1" showInputMessage="1">
          <x14:formula1>
            <xm:f>ДаНет</xm:f>
          </x14:formula1>
          <xm:sqref>H33</xm:sqref>
        </x14:dataValidation>
        <x14:dataValidation xr:uid="{0028009B-007E-4936-9209-000D004400D9}" type="list" allowBlank="1" errorStyle="stop" imeMode="noControl" operator="between" showDropDown="0" showErrorMessage="1" showInputMessage="1">
          <x14:formula1>
            <xm:f>ДаНет</xm:f>
          </x14:formula1>
          <xm:sqref>H36</xm:sqref>
        </x14:dataValidation>
        <x14:dataValidation xr:uid="{00080036-00BD-4D31-AA83-008400C40004}" type="list" allowBlank="1" errorStyle="stop" imeMode="noControl" operator="between" showDropDown="0" showErrorMessage="1" showInputMessage="1">
          <x14:formula1>
            <xm:f>ДаНет</xm:f>
          </x14:formula1>
          <xm:sqref>H44</xm:sqref>
        </x14:dataValidation>
        <x14:dataValidation xr:uid="{00380075-0082-4C9F-B656-007E003800C3}" type="list" allowBlank="1" errorStyle="stop" imeMode="noControl" operator="between" showDropDown="0" showErrorMessage="1" showInputMessage="1">
          <x14:formula1>
            <xm:f>ДаНет</xm:f>
          </x14:formula1>
          <xm:sqref>H62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'05'!C2+1</f>
        <v>46087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351809.41000000003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350128.77000000002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351809.41000000003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90093-003C-4260-B79F-007C00980090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'06'!C2+1</f>
        <v>46088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300DF-007B-4A1F-AF1A-00E000A10080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'07'!C2+1</f>
        <v>46089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30078-00DA-4920-B5E8-00A40063003F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'08'!C2+1</f>
        <v>46090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800EA-00F2-4C78-8C89-007D00F60012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1" summaryRight="1" showOutlineSymbols="1"/>
    <pageSetUpPr autoPageBreaks="1" fitToPage="0"/>
  </sheetPr>
  <sheetViews>
    <sheetView showGridLines="0" showRuler="1" topLeftCell="A45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'09'!C2+1</f>
        <v>46091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1.5" customHeight="1">
      <c r="A4" s="9" t="s">
        <v>2</v>
      </c>
      <c r="B4" s="10"/>
      <c r="C4" s="10"/>
      <c r="D4" s="11"/>
      <c r="E4" s="12">
        <f>SUM(E5:E6)</f>
        <v>350128.77000000002</v>
      </c>
      <c r="F4" s="68" t="s">
        <v>22</v>
      </c>
      <c r="G4" s="13"/>
      <c r="H4" s="13"/>
      <c r="I4" s="13"/>
    </row>
    <row r="5" ht="13.5" customHeight="1">
      <c r="A5" s="14" t="s">
        <v>3</v>
      </c>
      <c r="B5" s="15"/>
      <c r="C5" s="15"/>
      <c r="D5" s="16"/>
      <c r="E5" s="17">
        <v>350128.77000000002</v>
      </c>
      <c r="F5" s="253" t="s">
        <v>212</v>
      </c>
      <c r="G5" s="13"/>
      <c r="H5" s="13"/>
      <c r="I5" s="13"/>
    </row>
    <row r="6" ht="13.5" customHeight="1">
      <c r="A6" s="14" t="s">
        <v>4</v>
      </c>
      <c r="B6" s="15"/>
      <c r="C6" s="15"/>
      <c r="D6" s="16"/>
      <c r="E6" s="17" t="s">
        <v>213</v>
      </c>
      <c r="F6" s="13"/>
      <c r="G6" s="13"/>
      <c r="H6" s="13"/>
      <c r="I6" s="13"/>
    </row>
    <row r="7" ht="13.5" customHeight="1">
      <c r="A7" s="13"/>
      <c r="B7" s="13"/>
      <c r="C7" s="13"/>
      <c r="D7" s="13"/>
      <c r="E7" s="13"/>
      <c r="F7" s="13"/>
      <c r="G7" s="13"/>
      <c r="H7" s="13"/>
      <c r="I7" s="13"/>
    </row>
    <row r="8" ht="13.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13.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ht="13.5" customHeight="1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3.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3.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3.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3.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3.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3.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3.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3.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3.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3.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3.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3.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3.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3.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3.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3.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3.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3.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3.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3.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3.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3.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3.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3.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3.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3.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3.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3.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3.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3.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3.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3.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3.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3.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3.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3.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3.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3.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3.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ht="13.5" customHeight="1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3.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3.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3.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3.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3.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3.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3.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3.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3.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13.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3.5" customHeight="1" outlineLevel="1">
      <c r="A61" s="46">
        <v>1</v>
      </c>
      <c r="B61" s="47" t="s">
        <v>214</v>
      </c>
      <c r="C61" s="47" t="s">
        <v>215</v>
      </c>
      <c r="D61" s="47" t="s">
        <v>216</v>
      </c>
      <c r="E61" s="254" t="s">
        <v>217</v>
      </c>
      <c r="F61" s="49" t="s">
        <v>218</v>
      </c>
      <c r="G61" s="47"/>
      <c r="H61" s="47"/>
      <c r="I61" s="47"/>
      <c r="J61" s="50"/>
      <c r="K61" s="51"/>
    </row>
    <row r="62" ht="13.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3.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3.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3.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13.5" customHeight="1" outlineLevel="1">
      <c r="A66" s="22"/>
      <c r="B66" s="70" t="s">
        <v>19</v>
      </c>
      <c r="C66" s="71"/>
      <c r="D66" s="72"/>
      <c r="E66" s="26"/>
      <c r="F66" s="23"/>
      <c r="G66" s="23"/>
      <c r="H66" s="23"/>
      <c r="I66" s="23"/>
      <c r="J66" s="23"/>
      <c r="K66" s="27"/>
    </row>
    <row r="67" ht="16.5" customHeight="1" outlineLevel="1">
      <c r="A67" s="255">
        <v>1</v>
      </c>
      <c r="B67" s="243" t="s">
        <v>190</v>
      </c>
      <c r="C67" s="180" t="s">
        <v>219</v>
      </c>
      <c r="D67" s="180" t="s">
        <v>220</v>
      </c>
      <c r="E67" s="256">
        <v>354888.09999999998</v>
      </c>
      <c r="F67" s="59" t="s">
        <v>221</v>
      </c>
      <c r="G67" s="47"/>
      <c r="H67" s="47"/>
      <c r="I67" s="47"/>
      <c r="J67" s="50" t="s">
        <v>222</v>
      </c>
      <c r="K67" s="51"/>
    </row>
    <row r="68" ht="13.5" customHeight="1" outlineLevel="1">
      <c r="A68" s="28">
        <v>2</v>
      </c>
      <c r="B68" s="58" t="s">
        <v>190</v>
      </c>
      <c r="C68" s="36" t="s">
        <v>191</v>
      </c>
      <c r="D68" s="36" t="s">
        <v>198</v>
      </c>
      <c r="E68" s="257" t="s">
        <v>223</v>
      </c>
      <c r="F68" s="37" t="s">
        <v>224</v>
      </c>
      <c r="G68" s="58"/>
      <c r="H68" s="58"/>
      <c r="I68" s="58"/>
      <c r="J68" s="33"/>
      <c r="K68" s="34"/>
    </row>
    <row r="69" ht="13.5" customHeight="1" outlineLevel="1">
      <c r="A69" s="96">
        <v>3</v>
      </c>
      <c r="B69" s="79" t="s">
        <v>190</v>
      </c>
      <c r="C69" s="214" t="s">
        <v>191</v>
      </c>
      <c r="D69" s="215" t="s">
        <v>192</v>
      </c>
      <c r="E69" s="257" t="s">
        <v>116</v>
      </c>
      <c r="F69" s="217" t="s">
        <v>193</v>
      </c>
      <c r="G69" s="258"/>
      <c r="H69" s="247"/>
      <c r="I69" s="247" t="s">
        <v>194</v>
      </c>
      <c r="J69" s="82"/>
      <c r="K69" s="34"/>
    </row>
    <row r="70" ht="13.5" customHeight="1" outlineLevel="1">
      <c r="A70" s="259">
        <v>4</v>
      </c>
      <c r="B70" s="213" t="s">
        <v>190</v>
      </c>
      <c r="C70" s="244" t="s">
        <v>191</v>
      </c>
      <c r="D70" s="215" t="s">
        <v>192</v>
      </c>
      <c r="E70" s="257" t="s">
        <v>195</v>
      </c>
      <c r="F70" s="217" t="s">
        <v>196</v>
      </c>
      <c r="G70" s="36"/>
      <c r="H70" s="36"/>
      <c r="I70" s="29" t="s">
        <v>197</v>
      </c>
      <c r="J70" s="56"/>
      <c r="K70" s="57"/>
    </row>
    <row r="71" s="21" customFormat="1" ht="13.5" customHeight="1">
      <c r="A71" s="63" t="s">
        <v>20</v>
      </c>
      <c r="B71" s="260"/>
      <c r="C71" s="260"/>
      <c r="D71" s="261"/>
      <c r="E71" s="262">
        <f>SUM(E9:E70)</f>
        <v>354888.09999999998</v>
      </c>
    </row>
    <row r="72" s="21" customFormat="1" ht="13.5" customHeight="1">
      <c r="A72" s="63" t="s">
        <v>21</v>
      </c>
      <c r="B72" s="64"/>
      <c r="C72" s="64"/>
      <c r="D72" s="65"/>
      <c r="E72" s="66">
        <f>E4-E71</f>
        <v>-4759.3299999999581</v>
      </c>
      <c r="F72" s="67"/>
    </row>
    <row r="73" ht="13.5" customHeight="1">
      <c r="E73" s="1"/>
    </row>
  </sheetData>
  <mergeCells count="6">
    <mergeCell ref="E1:F1"/>
    <mergeCell ref="A4:D4"/>
    <mergeCell ref="A5:D5"/>
    <mergeCell ref="A6:D6"/>
    <mergeCell ref="A71:D71"/>
    <mergeCell ref="A72:D7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30024-00D2-47A3-9490-003E0067008A}" type="list" allowBlank="1" errorStyle="stop" imeMode="noControl" operator="between" showDropDown="0" showErrorMessage="1" showInputMessage="1">
          <x14:formula1>
            <xm:f>ДаНет</xm:f>
          </x14:formula1>
          <xm:sqref>H67:H68 H10:H59 H61:H65</xm:sqref>
        </x14:dataValidation>
        <x14:dataValidation xr:uid="{00BE00B5-00B9-4F7F-B9C6-00DA00040073}" type="list" allowBlank="1" errorStyle="stop" imeMode="noControl" operator="between" showDropDown="0" showErrorMessage="1" showInputMessage="1">
          <x14:formula1>
            <xm:f>ДаНет</xm:f>
          </x14:formula1>
          <xm:sqref>H70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tabColor theme="3"/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'10'!C2+1</f>
        <v>46092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3921.3100000000004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2240.6700000000001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3921.3100000000004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58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6001F-00A7-4034-9057-002F0059001C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1" summaryRight="1" showOutlineSymbols="1"/>
    <pageSetUpPr autoPageBreaks="1" fitToPage="1"/>
  </sheetPr>
  <sheetViews>
    <sheetView showGridLines="0" showRuler="1" topLeftCell="A49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'11'!C2+1</f>
        <v>46093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3921.3100000000004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2240.6700000000001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 t="s">
        <v>72</v>
      </c>
      <c r="C10" s="29" t="s">
        <v>114</v>
      </c>
      <c r="D10" s="30" t="s">
        <v>225</v>
      </c>
      <c r="E10" s="190" t="s">
        <v>226</v>
      </c>
      <c r="F10" s="30" t="s">
        <v>227</v>
      </c>
      <c r="G10" s="32"/>
      <c r="H10" s="32" t="s">
        <v>31</v>
      </c>
      <c r="I10" s="32" t="s">
        <v>228</v>
      </c>
      <c r="J10" s="33"/>
      <c r="K10" s="34"/>
    </row>
    <row r="11" ht="14.25" customHeight="1" outlineLevel="1">
      <c r="A11" s="28">
        <v>2</v>
      </c>
      <c r="B11" s="29" t="s">
        <v>72</v>
      </c>
      <c r="C11" s="29" t="s">
        <v>229</v>
      </c>
      <c r="D11" s="30" t="s">
        <v>230</v>
      </c>
      <c r="E11" s="198" t="s">
        <v>231</v>
      </c>
      <c r="F11" s="30" t="s">
        <v>232</v>
      </c>
      <c r="G11" s="36"/>
      <c r="H11" s="36" t="s">
        <v>31</v>
      </c>
      <c r="I11" s="32" t="s">
        <v>233</v>
      </c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 t="s">
        <v>214</v>
      </c>
      <c r="C61" s="47" t="s">
        <v>234</v>
      </c>
      <c r="D61" s="47" t="s">
        <v>235</v>
      </c>
      <c r="E61" s="254" t="s">
        <v>236</v>
      </c>
      <c r="F61" s="49" t="s">
        <v>237</v>
      </c>
      <c r="G61" s="47"/>
      <c r="H61" s="47" t="s">
        <v>31</v>
      </c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3921.3100000000004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58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9001F-00E3-478E-BC61-00F8009C009E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'12'!C2+1</f>
        <v>46094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3921.3100000000004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2240.6700000000001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3921.3100000000004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20010-0028-402F-BE73-0004005D004A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'13'!C2+1</f>
        <v>46095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1006B-00E9-4EA4-A6FB-003400EB002D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'14'!C2+1</f>
        <v>46096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F00BD-001D-4141-AA45-00FD009A0043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'15'!C2+1</f>
        <v>46097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161921.31000000003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160240.67000000001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161921.31000000003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30061-0015-4099-84E2-00F600B600B9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7"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'16'!C2+1</f>
        <v>46098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161921.31000000003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160240.67000000001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16.5" customHeight="1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56" si="2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2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2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2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2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2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2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2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2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2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2"/>
        <v>12</v>
      </c>
      <c r="B21" s="94" t="s">
        <v>25</v>
      </c>
      <c r="C21" s="90" t="s">
        <v>63</v>
      </c>
      <c r="D21" s="95" t="s">
        <v>68</v>
      </c>
      <c r="E21" s="92" t="s">
        <v>69</v>
      </c>
      <c r="F21" s="91" t="s">
        <v>70</v>
      </c>
      <c r="G21" s="84" t="s">
        <v>30</v>
      </c>
      <c r="H21" s="93" t="s">
        <v>31</v>
      </c>
      <c r="I21" s="89" t="s">
        <v>71</v>
      </c>
      <c r="J21" s="82"/>
      <c r="K21" s="34"/>
      <c r="L21" s="1"/>
    </row>
    <row r="22" ht="14.25" customHeight="1" outlineLevel="1">
      <c r="A22" s="28">
        <f t="shared" si="2"/>
        <v>13</v>
      </c>
      <c r="B22" s="97" t="s">
        <v>72</v>
      </c>
      <c r="C22" s="90" t="s">
        <v>63</v>
      </c>
      <c r="D22" s="98" t="s">
        <v>73</v>
      </c>
      <c r="E22" s="99" t="s">
        <v>74</v>
      </c>
      <c r="F22" s="98" t="s">
        <v>75</v>
      </c>
      <c r="G22" s="84" t="s">
        <v>30</v>
      </c>
      <c r="H22" s="100" t="s">
        <v>31</v>
      </c>
      <c r="I22" s="101" t="s">
        <v>76</v>
      </c>
      <c r="J22" s="82"/>
      <c r="K22" s="34"/>
      <c r="L22" s="1"/>
    </row>
    <row r="23" ht="14.25" customHeight="1" outlineLevel="1">
      <c r="A23" s="28">
        <f t="shared" si="2"/>
        <v>14</v>
      </c>
      <c r="B23" s="97" t="s">
        <v>72</v>
      </c>
      <c r="C23" s="102" t="s">
        <v>63</v>
      </c>
      <c r="D23" s="103" t="s">
        <v>77</v>
      </c>
      <c r="E23" s="104" t="s">
        <v>78</v>
      </c>
      <c r="F23" s="105" t="s">
        <v>79</v>
      </c>
      <c r="G23" s="106" t="s">
        <v>30</v>
      </c>
      <c r="H23" s="107"/>
      <c r="I23" s="108" t="s">
        <v>80</v>
      </c>
      <c r="J23" s="33"/>
      <c r="K23" s="34"/>
      <c r="L23" s="1"/>
    </row>
    <row r="24" ht="14.25" customHeight="1" outlineLevel="1">
      <c r="A24" s="28">
        <f t="shared" si="2"/>
        <v>15</v>
      </c>
      <c r="B24" s="32" t="s">
        <v>72</v>
      </c>
      <c r="C24" s="109" t="s">
        <v>63</v>
      </c>
      <c r="D24" s="109" t="s">
        <v>81</v>
      </c>
      <c r="E24" s="110" t="s">
        <v>82</v>
      </c>
      <c r="F24" s="39" t="s">
        <v>83</v>
      </c>
      <c r="G24" s="111"/>
      <c r="H24" s="112"/>
      <c r="I24" s="111" t="s">
        <v>84</v>
      </c>
      <c r="J24" s="33"/>
      <c r="K24" s="34"/>
      <c r="L24" s="1"/>
    </row>
    <row r="25" ht="14.25" customHeight="1" outlineLevel="1">
      <c r="A25" s="28">
        <f t="shared" si="2"/>
        <v>16</v>
      </c>
      <c r="B25" s="164" t="s">
        <v>25</v>
      </c>
      <c r="C25" s="121" t="s">
        <v>91</v>
      </c>
      <c r="D25" s="122" t="s">
        <v>92</v>
      </c>
      <c r="E25" s="123" t="s">
        <v>93</v>
      </c>
      <c r="F25" s="124" t="s">
        <v>94</v>
      </c>
      <c r="G25" s="125" t="s">
        <v>30</v>
      </c>
      <c r="H25" s="126" t="s">
        <v>31</v>
      </c>
      <c r="I25" s="120" t="s">
        <v>95</v>
      </c>
      <c r="J25" s="33"/>
      <c r="K25" s="34"/>
      <c r="L25" s="1"/>
    </row>
    <row r="26" ht="14.25" customHeight="1" outlineLevel="1">
      <c r="A26" s="28">
        <f t="shared" si="2"/>
        <v>17</v>
      </c>
      <c r="B26" s="152" t="s">
        <v>25</v>
      </c>
      <c r="C26" s="137" t="s">
        <v>91</v>
      </c>
      <c r="D26" s="129" t="s">
        <v>97</v>
      </c>
      <c r="E26" s="130" t="s">
        <v>98</v>
      </c>
      <c r="F26" s="131" t="s">
        <v>99</v>
      </c>
      <c r="G26" s="125" t="s">
        <v>30</v>
      </c>
      <c r="H26" s="132" t="s">
        <v>31</v>
      </c>
      <c r="I26" s="133" t="s">
        <v>100</v>
      </c>
      <c r="J26" s="33"/>
      <c r="K26" s="34"/>
      <c r="L26" s="1"/>
    </row>
    <row r="27" ht="14.25" customHeight="1" outlineLevel="1">
      <c r="A27" s="28">
        <f t="shared" si="2"/>
        <v>18</v>
      </c>
      <c r="B27" s="127" t="s">
        <v>72</v>
      </c>
      <c r="C27" s="128" t="s">
        <v>101</v>
      </c>
      <c r="D27" s="129" t="s">
        <v>102</v>
      </c>
      <c r="E27" s="130" t="s">
        <v>103</v>
      </c>
      <c r="F27" s="131" t="s">
        <v>104</v>
      </c>
      <c r="G27" s="125" t="s">
        <v>30</v>
      </c>
      <c r="H27" s="132" t="s">
        <v>31</v>
      </c>
      <c r="I27" s="133" t="s">
        <v>105</v>
      </c>
      <c r="J27" s="33"/>
      <c r="K27" s="34"/>
      <c r="L27" s="1"/>
    </row>
    <row r="28" ht="14.25" customHeight="1" outlineLevel="1">
      <c r="A28" s="28">
        <f t="shared" si="2"/>
        <v>19</v>
      </c>
      <c r="B28" s="134" t="s">
        <v>72</v>
      </c>
      <c r="C28" s="128" t="s">
        <v>101</v>
      </c>
      <c r="D28" s="129" t="s">
        <v>106</v>
      </c>
      <c r="E28" s="130" t="s">
        <v>107</v>
      </c>
      <c r="F28" s="135" t="s">
        <v>104</v>
      </c>
      <c r="G28" s="125" t="s">
        <v>30</v>
      </c>
      <c r="H28" s="132" t="s">
        <v>31</v>
      </c>
      <c r="I28" s="133" t="s">
        <v>108</v>
      </c>
      <c r="J28" s="33"/>
      <c r="K28" s="34"/>
      <c r="L28" s="1"/>
    </row>
    <row r="29" ht="14.25" customHeight="1" outlineLevel="1">
      <c r="A29" s="28">
        <f t="shared" si="2"/>
        <v>20</v>
      </c>
      <c r="B29" s="136" t="s">
        <v>72</v>
      </c>
      <c r="C29" s="137" t="s">
        <v>101</v>
      </c>
      <c r="D29" s="129" t="s">
        <v>109</v>
      </c>
      <c r="E29" s="130" t="s">
        <v>107</v>
      </c>
      <c r="F29" s="135" t="s">
        <v>104</v>
      </c>
      <c r="G29" s="125" t="s">
        <v>30</v>
      </c>
      <c r="H29" s="132" t="s">
        <v>31</v>
      </c>
      <c r="I29" s="133" t="s">
        <v>110</v>
      </c>
      <c r="J29" s="33"/>
      <c r="K29" s="34"/>
      <c r="L29" s="1"/>
    </row>
    <row r="30" ht="14.25" customHeight="1" outlineLevel="1">
      <c r="A30" s="28">
        <f t="shared" si="2"/>
        <v>21</v>
      </c>
      <c r="B30" s="138" t="s">
        <v>72</v>
      </c>
      <c r="C30" s="139" t="s">
        <v>101</v>
      </c>
      <c r="D30" s="140" t="s">
        <v>111</v>
      </c>
      <c r="E30" s="141" t="s">
        <v>112</v>
      </c>
      <c r="F30" s="135" t="s">
        <v>104</v>
      </c>
      <c r="G30" s="125" t="s">
        <v>30</v>
      </c>
      <c r="H30" s="142"/>
      <c r="I30" s="133" t="s">
        <v>110</v>
      </c>
      <c r="J30" s="33"/>
      <c r="K30" s="34"/>
      <c r="L30" s="1"/>
    </row>
    <row r="31" ht="14.25" customHeight="1" outlineLevel="1">
      <c r="A31" s="28">
        <f t="shared" si="2"/>
        <v>22</v>
      </c>
      <c r="B31" s="143" t="s">
        <v>113</v>
      </c>
      <c r="C31" s="144" t="s">
        <v>114</v>
      </c>
      <c r="D31" s="145" t="s">
        <v>115</v>
      </c>
      <c r="E31" s="146" t="s">
        <v>116</v>
      </c>
      <c r="F31" s="147" t="s">
        <v>117</v>
      </c>
      <c r="G31" s="125" t="s">
        <v>30</v>
      </c>
      <c r="H31" s="148" t="s">
        <v>31</v>
      </c>
      <c r="I31" s="149" t="s">
        <v>118</v>
      </c>
      <c r="J31" s="33"/>
      <c r="K31" s="34"/>
      <c r="L31" s="1"/>
    </row>
    <row r="32" ht="14.25" customHeight="1" outlineLevel="1">
      <c r="A32" s="28">
        <f t="shared" si="2"/>
        <v>23</v>
      </c>
      <c r="B32" s="150" t="s">
        <v>72</v>
      </c>
      <c r="C32" s="150" t="s">
        <v>119</v>
      </c>
      <c r="D32" s="91" t="s">
        <v>120</v>
      </c>
      <c r="E32" s="92" t="s">
        <v>121</v>
      </c>
      <c r="F32" s="91" t="s">
        <v>122</v>
      </c>
      <c r="G32" s="84" t="s">
        <v>30</v>
      </c>
      <c r="H32" s="151"/>
      <c r="I32" s="88" t="s">
        <v>123</v>
      </c>
      <c r="J32" s="82"/>
      <c r="K32" s="34"/>
      <c r="L32" s="1"/>
    </row>
    <row r="33" ht="14.25" customHeight="1" outlineLevel="1">
      <c r="A33" s="28">
        <f t="shared" si="2"/>
        <v>24</v>
      </c>
      <c r="B33" s="152" t="s">
        <v>72</v>
      </c>
      <c r="C33" s="152" t="s">
        <v>114</v>
      </c>
      <c r="D33" s="98" t="s">
        <v>124</v>
      </c>
      <c r="E33" s="99" t="s">
        <v>125</v>
      </c>
      <c r="F33" s="98" t="s">
        <v>122</v>
      </c>
      <c r="G33" s="84" t="s">
        <v>30</v>
      </c>
      <c r="H33" s="153"/>
      <c r="I33" s="154" t="s">
        <v>126</v>
      </c>
      <c r="J33" s="82"/>
      <c r="K33" s="34"/>
      <c r="L33" s="1"/>
    </row>
    <row r="34" ht="14.25" customHeight="1" outlineLevel="1">
      <c r="A34" s="28">
        <f t="shared" si="2"/>
        <v>25</v>
      </c>
      <c r="B34" s="155" t="s">
        <v>113</v>
      </c>
      <c r="C34" s="156" t="s">
        <v>114</v>
      </c>
      <c r="D34" s="103" t="s">
        <v>127</v>
      </c>
      <c r="E34" s="157" t="s">
        <v>116</v>
      </c>
      <c r="F34" s="158" t="s">
        <v>128</v>
      </c>
      <c r="G34" s="125" t="s">
        <v>30</v>
      </c>
      <c r="H34" s="159"/>
      <c r="I34" s="160"/>
      <c r="J34" s="33"/>
      <c r="K34" s="34"/>
      <c r="L34" s="1"/>
    </row>
    <row r="35" ht="14.25" customHeight="1" outlineLevel="1">
      <c r="A35" s="28">
        <f t="shared" si="2"/>
        <v>26</v>
      </c>
      <c r="B35" s="263" t="s">
        <v>113</v>
      </c>
      <c r="C35" s="162" t="s">
        <v>114</v>
      </c>
      <c r="D35" s="103" t="s">
        <v>129</v>
      </c>
      <c r="E35" s="163" t="s">
        <v>130</v>
      </c>
      <c r="F35" s="158" t="s">
        <v>128</v>
      </c>
      <c r="G35" s="125" t="s">
        <v>30</v>
      </c>
      <c r="H35" s="160"/>
      <c r="I35" s="160" t="s">
        <v>17</v>
      </c>
      <c r="J35" s="33"/>
      <c r="K35" s="34"/>
      <c r="L35" s="1"/>
    </row>
    <row r="36" ht="14.25" customHeight="1" outlineLevel="1">
      <c r="A36" s="28">
        <f t="shared" si="2"/>
        <v>27</v>
      </c>
      <c r="B36" s="114" t="s">
        <v>25</v>
      </c>
      <c r="C36" s="137" t="s">
        <v>131</v>
      </c>
      <c r="D36" s="129" t="s">
        <v>132</v>
      </c>
      <c r="E36" s="130" t="s">
        <v>133</v>
      </c>
      <c r="F36" s="131" t="s">
        <v>134</v>
      </c>
      <c r="G36" s="125" t="s">
        <v>30</v>
      </c>
      <c r="H36" s="132" t="s">
        <v>31</v>
      </c>
      <c r="I36" s="133" t="s">
        <v>135</v>
      </c>
      <c r="J36" s="33"/>
      <c r="K36" s="34"/>
      <c r="L36" s="1"/>
    </row>
    <row r="37" ht="14.25" customHeight="1" outlineLevel="1">
      <c r="A37" s="28">
        <f t="shared" si="2"/>
        <v>28</v>
      </c>
      <c r="B37" s="114" t="s">
        <v>25</v>
      </c>
      <c r="C37" s="264" t="s">
        <v>136</v>
      </c>
      <c r="D37" s="126" t="s">
        <v>137</v>
      </c>
      <c r="E37" s="123" t="s">
        <v>138</v>
      </c>
      <c r="F37" s="124" t="s">
        <v>139</v>
      </c>
      <c r="G37" s="125" t="s">
        <v>30</v>
      </c>
      <c r="H37" s="126" t="s">
        <v>31</v>
      </c>
      <c r="I37" s="126" t="s">
        <v>140</v>
      </c>
      <c r="J37" s="33"/>
      <c r="K37" s="34"/>
      <c r="L37" s="1"/>
    </row>
    <row r="38" ht="14.25" customHeight="1" outlineLevel="1">
      <c r="A38" s="28">
        <f t="shared" si="2"/>
        <v>29</v>
      </c>
      <c r="B38" s="152" t="s">
        <v>25</v>
      </c>
      <c r="C38" s="265" t="s">
        <v>141</v>
      </c>
      <c r="D38" s="165" t="s">
        <v>142</v>
      </c>
      <c r="E38" s="123" t="s">
        <v>143</v>
      </c>
      <c r="F38" s="131" t="s">
        <v>144</v>
      </c>
      <c r="G38" s="125" t="s">
        <v>30</v>
      </c>
      <c r="H38" s="132" t="s">
        <v>31</v>
      </c>
      <c r="I38" s="133" t="s">
        <v>145</v>
      </c>
      <c r="J38" s="33"/>
      <c r="K38" s="34"/>
      <c r="L38" s="1"/>
    </row>
    <row r="39" ht="14.25" customHeight="1" outlineLevel="1">
      <c r="A39" s="28">
        <f t="shared" si="2"/>
        <v>30</v>
      </c>
      <c r="B39" s="166" t="s">
        <v>113</v>
      </c>
      <c r="C39" s="167" t="s">
        <v>146</v>
      </c>
      <c r="D39" s="140" t="s">
        <v>147</v>
      </c>
      <c r="E39" s="168" t="s">
        <v>148</v>
      </c>
      <c r="F39" s="169" t="s">
        <v>149</v>
      </c>
      <c r="G39" s="125" t="s">
        <v>30</v>
      </c>
      <c r="H39" s="142"/>
      <c r="I39" s="170" t="s">
        <v>150</v>
      </c>
      <c r="J39" s="33"/>
      <c r="K39" s="34"/>
      <c r="L39" s="1"/>
    </row>
    <row r="40" ht="14.25" customHeight="1" outlineLevel="1">
      <c r="A40" s="28">
        <f t="shared" si="2"/>
        <v>31</v>
      </c>
      <c r="B40" s="134" t="s">
        <v>151</v>
      </c>
      <c r="C40" s="144" t="s">
        <v>152</v>
      </c>
      <c r="D40" s="145" t="s">
        <v>153</v>
      </c>
      <c r="E40" s="171" t="s">
        <v>154</v>
      </c>
      <c r="F40" s="131" t="s">
        <v>155</v>
      </c>
      <c r="G40" s="125" t="s">
        <v>30</v>
      </c>
      <c r="H40" s="134" t="s">
        <v>31</v>
      </c>
      <c r="I40" s="120" t="s">
        <v>156</v>
      </c>
      <c r="J40" s="33"/>
      <c r="K40" s="34"/>
      <c r="L40" s="1"/>
    </row>
    <row r="41" ht="14.25" customHeight="1" outlineLevel="1">
      <c r="A41" s="28">
        <f t="shared" si="2"/>
        <v>32</v>
      </c>
      <c r="B41" s="172" t="s">
        <v>72</v>
      </c>
      <c r="C41" s="150" t="s">
        <v>157</v>
      </c>
      <c r="D41" s="91" t="s">
        <v>158</v>
      </c>
      <c r="E41" s="173" t="s">
        <v>159</v>
      </c>
      <c r="F41" s="174" t="s">
        <v>160</v>
      </c>
      <c r="G41" s="125" t="s">
        <v>30</v>
      </c>
      <c r="H41" s="175" t="s">
        <v>89</v>
      </c>
      <c r="I41" s="176" t="s">
        <v>161</v>
      </c>
      <c r="J41" s="177"/>
      <c r="K41" s="228"/>
      <c r="L41" s="1"/>
    </row>
    <row r="42" ht="14.25" customHeight="1" outlineLevel="1">
      <c r="A42" s="28">
        <f t="shared" si="2"/>
        <v>33</v>
      </c>
      <c r="B42" s="172" t="s">
        <v>72</v>
      </c>
      <c r="C42" s="229" t="s">
        <v>162</v>
      </c>
      <c r="D42" s="230" t="s">
        <v>163</v>
      </c>
      <c r="E42" s="231" t="s">
        <v>164</v>
      </c>
      <c r="F42" s="230" t="s">
        <v>165</v>
      </c>
      <c r="G42" s="232" t="s">
        <v>30</v>
      </c>
      <c r="H42" s="233" t="s">
        <v>31</v>
      </c>
      <c r="I42" s="234" t="s">
        <v>166</v>
      </c>
      <c r="J42" s="235"/>
      <c r="K42" s="235"/>
      <c r="L42" s="1"/>
    </row>
    <row r="43" ht="14.25" customHeight="1" outlineLevel="1">
      <c r="A43" s="28">
        <f t="shared" si="2"/>
        <v>34</v>
      </c>
      <c r="B43" s="237" t="s">
        <v>72</v>
      </c>
      <c r="C43" s="237" t="s">
        <v>167</v>
      </c>
      <c r="D43" s="238" t="s">
        <v>168</v>
      </c>
      <c r="E43" s="190" t="s">
        <v>169</v>
      </c>
      <c r="F43" s="238" t="s">
        <v>170</v>
      </c>
      <c r="G43" s="111"/>
      <c r="H43" s="111" t="s">
        <v>31</v>
      </c>
      <c r="I43" s="111"/>
      <c r="J43" s="177"/>
      <c r="K43" s="34"/>
      <c r="L43" s="1"/>
    </row>
    <row r="44" ht="14.25" customHeight="1" outlineLevel="1">
      <c r="A44" s="28">
        <f t="shared" si="2"/>
        <v>35</v>
      </c>
      <c r="B44" s="152" t="s">
        <v>25</v>
      </c>
      <c r="C44" s="152" t="s">
        <v>171</v>
      </c>
      <c r="D44" s="239" t="s">
        <v>172</v>
      </c>
      <c r="E44" s="240" t="s">
        <v>173</v>
      </c>
      <c r="F44" s="195" t="s">
        <v>174</v>
      </c>
      <c r="G44" s="84" t="s">
        <v>30</v>
      </c>
      <c r="H44" s="161" t="s">
        <v>31</v>
      </c>
      <c r="I44" s="196" t="s">
        <v>175</v>
      </c>
      <c r="J44" s="187"/>
      <c r="K44" s="197"/>
      <c r="L44" s="1"/>
    </row>
    <row r="45" ht="14.25" customHeight="1" outlineLevel="1">
      <c r="A45" s="28">
        <f t="shared" si="2"/>
        <v>36</v>
      </c>
      <c r="B45" s="36" t="s">
        <v>72</v>
      </c>
      <c r="C45" s="36" t="s">
        <v>176</v>
      </c>
      <c r="D45" s="36" t="s">
        <v>177</v>
      </c>
      <c r="E45" s="198" t="s">
        <v>178</v>
      </c>
      <c r="F45" s="37" t="s">
        <v>179</v>
      </c>
      <c r="G45" s="199"/>
      <c r="H45" s="36"/>
      <c r="I45" s="32" t="s">
        <v>180</v>
      </c>
      <c r="J45" s="200"/>
      <c r="K45" s="34"/>
      <c r="L45" s="1"/>
    </row>
    <row r="46" ht="14.25" customHeight="1" outlineLevel="1">
      <c r="A46" s="28">
        <f t="shared" si="2"/>
        <v>37</v>
      </c>
      <c r="B46" s="36" t="s">
        <v>72</v>
      </c>
      <c r="C46" s="37" t="s">
        <v>181</v>
      </c>
      <c r="D46" s="37" t="s">
        <v>182</v>
      </c>
      <c r="E46" s="198" t="s">
        <v>183</v>
      </c>
      <c r="F46" s="37" t="s">
        <v>184</v>
      </c>
      <c r="G46" s="36"/>
      <c r="H46" s="36"/>
      <c r="I46" s="32" t="s">
        <v>185</v>
      </c>
      <c r="J46" s="33"/>
      <c r="K46" s="34"/>
      <c r="L46" s="1"/>
    </row>
    <row r="47" ht="14.25" customHeight="1" outlineLevel="1">
      <c r="A47" s="28">
        <f t="shared" si="2"/>
        <v>38</v>
      </c>
      <c r="B47" s="36" t="s">
        <v>72</v>
      </c>
      <c r="C47" s="37" t="s">
        <v>200</v>
      </c>
      <c r="D47" s="37" t="s">
        <v>201</v>
      </c>
      <c r="E47" s="241" t="s">
        <v>202</v>
      </c>
      <c r="F47" s="37" t="s">
        <v>203</v>
      </c>
      <c r="G47" s="36"/>
      <c r="H47" s="36"/>
      <c r="I47" s="32" t="s">
        <v>204</v>
      </c>
      <c r="J47" s="33"/>
      <c r="K47" s="34"/>
      <c r="L47" s="1"/>
    </row>
    <row r="48" ht="14.25" customHeight="1" outlineLevel="1">
      <c r="A48" s="28">
        <f t="shared" si="2"/>
        <v>39</v>
      </c>
      <c r="B48" s="29" t="s">
        <v>72</v>
      </c>
      <c r="C48" s="29" t="s">
        <v>114</v>
      </c>
      <c r="D48" s="30" t="s">
        <v>225</v>
      </c>
      <c r="E48" s="190" t="s">
        <v>226</v>
      </c>
      <c r="F48" s="30" t="s">
        <v>227</v>
      </c>
      <c r="G48" s="32"/>
      <c r="H48" s="32" t="s">
        <v>31</v>
      </c>
      <c r="I48" s="32" t="s">
        <v>228</v>
      </c>
      <c r="J48" s="33"/>
      <c r="K48" s="34"/>
    </row>
    <row r="49" s="2" customFormat="1" ht="14.25" customHeight="1" outlineLevel="1">
      <c r="A49" s="28">
        <f t="shared" si="2"/>
        <v>40</v>
      </c>
      <c r="B49" s="218" t="s">
        <v>72</v>
      </c>
      <c r="C49" s="218" t="s">
        <v>238</v>
      </c>
      <c r="D49" s="218" t="s">
        <v>239</v>
      </c>
      <c r="E49" s="266" t="s">
        <v>240</v>
      </c>
      <c r="F49" s="218" t="s">
        <v>241</v>
      </c>
      <c r="G49" s="218"/>
      <c r="H49" s="36"/>
      <c r="I49" s="36" t="s">
        <v>242</v>
      </c>
      <c r="J49" s="218"/>
      <c r="K49" s="219"/>
    </row>
    <row r="50" ht="14.25" customHeight="1" outlineLevel="1">
      <c r="A50" s="28">
        <f t="shared" si="2"/>
        <v>41</v>
      </c>
      <c r="B50" s="40" t="s">
        <v>72</v>
      </c>
      <c r="C50" s="40" t="s">
        <v>243</v>
      </c>
      <c r="D50" s="41" t="s">
        <v>244</v>
      </c>
      <c r="E50" s="267" t="s">
        <v>245</v>
      </c>
      <c r="F50" s="41" t="s">
        <v>246</v>
      </c>
      <c r="G50" s="32"/>
      <c r="H50" s="36"/>
      <c r="I50" s="32" t="s">
        <v>247</v>
      </c>
      <c r="J50" s="33"/>
      <c r="K50" s="34"/>
    </row>
    <row r="51" ht="14.25" customHeight="1" outlineLevel="1">
      <c r="A51" s="28">
        <f t="shared" si="2"/>
        <v>42</v>
      </c>
      <c r="B51" s="40" t="s">
        <v>248</v>
      </c>
      <c r="C51" s="40" t="s">
        <v>249</v>
      </c>
      <c r="D51" s="268" t="s">
        <v>250</v>
      </c>
      <c r="E51" s="269" t="s">
        <v>251</v>
      </c>
      <c r="F51" s="41" t="s">
        <v>252</v>
      </c>
      <c r="G51" s="32"/>
      <c r="H51" s="36"/>
      <c r="I51" s="32" t="s">
        <v>247</v>
      </c>
      <c r="J51" s="33"/>
      <c r="K51" s="34"/>
    </row>
    <row r="52" ht="14.25" customHeight="1" outlineLevel="1">
      <c r="A52" s="28">
        <f t="shared" si="2"/>
        <v>43</v>
      </c>
      <c r="B52" s="97" t="s">
        <v>72</v>
      </c>
      <c r="C52" s="152" t="s">
        <v>85</v>
      </c>
      <c r="D52" s="98" t="s">
        <v>86</v>
      </c>
      <c r="E52" s="270">
        <v>112952</v>
      </c>
      <c r="F52" s="227" t="s">
        <v>88</v>
      </c>
      <c r="G52" s="84" t="s">
        <v>30</v>
      </c>
      <c r="H52" s="100" t="s">
        <v>89</v>
      </c>
      <c r="I52" s="101" t="s">
        <v>90</v>
      </c>
      <c r="J52" s="33" t="s">
        <v>189</v>
      </c>
      <c r="K52" s="34"/>
    </row>
    <row r="53" ht="14.25" customHeight="1" outlineLevel="1">
      <c r="A53" s="28">
        <f t="shared" si="2"/>
        <v>44</v>
      </c>
      <c r="B53" s="271" t="s">
        <v>72</v>
      </c>
      <c r="C53" s="271" t="s">
        <v>229</v>
      </c>
      <c r="D53" s="272" t="s">
        <v>230</v>
      </c>
      <c r="E53" s="273">
        <v>27200</v>
      </c>
      <c r="F53" s="274" t="s">
        <v>232</v>
      </c>
      <c r="G53" s="275" t="s">
        <v>30</v>
      </c>
      <c r="H53" s="276" t="s">
        <v>31</v>
      </c>
      <c r="I53" s="32" t="s">
        <v>247</v>
      </c>
      <c r="J53" s="33" t="s">
        <v>189</v>
      </c>
      <c r="K53" s="34"/>
    </row>
    <row r="54" ht="14.25" customHeight="1" outlineLevel="1">
      <c r="A54" s="28">
        <f t="shared" si="2"/>
        <v>45</v>
      </c>
      <c r="B54" s="32" t="s">
        <v>72</v>
      </c>
      <c r="C54" s="39" t="s">
        <v>253</v>
      </c>
      <c r="D54" s="39" t="s">
        <v>254</v>
      </c>
      <c r="E54" s="277">
        <v>3850</v>
      </c>
      <c r="F54" s="278" t="s">
        <v>255</v>
      </c>
      <c r="G54" s="84" t="s">
        <v>30</v>
      </c>
      <c r="H54" s="276" t="s">
        <v>31</v>
      </c>
      <c r="I54" s="32"/>
      <c r="J54" s="33" t="s">
        <v>189</v>
      </c>
      <c r="K54" s="34"/>
    </row>
    <row r="55" ht="14.25" customHeight="1" outlineLevel="1">
      <c r="A55" s="28">
        <f t="shared" si="2"/>
        <v>46</v>
      </c>
      <c r="B55" s="36"/>
      <c r="C55" s="37"/>
      <c r="D55" s="37"/>
      <c r="E55" s="35"/>
      <c r="F55" s="37"/>
      <c r="G55" s="199"/>
      <c r="H55" s="36"/>
      <c r="I55" s="32"/>
      <c r="J55" s="33"/>
      <c r="K55" s="34"/>
    </row>
    <row r="56" ht="14.25" customHeight="1" outlineLevel="1">
      <c r="A56" s="28">
        <f t="shared" si="2"/>
        <v>47</v>
      </c>
      <c r="B56" s="36"/>
      <c r="C56" s="37"/>
      <c r="D56" s="37"/>
      <c r="E56" s="35"/>
      <c r="F56" s="37"/>
      <c r="G56" s="36"/>
      <c r="H56" s="36"/>
      <c r="I56" s="32"/>
      <c r="J56" s="33"/>
      <c r="K56" s="34"/>
    </row>
    <row r="57" s="21" customFormat="1" ht="20.25" customHeight="1" outlineLevel="1">
      <c r="A57" s="22"/>
      <c r="B57" s="23" t="s">
        <v>18</v>
      </c>
      <c r="C57" s="24"/>
      <c r="D57" s="25"/>
      <c r="E57" s="26"/>
      <c r="F57" s="23"/>
      <c r="G57" s="70"/>
      <c r="H57" s="23"/>
      <c r="I57" s="23"/>
      <c r="J57" s="23"/>
      <c r="K57" s="27"/>
    </row>
    <row r="58" ht="14.25" customHeight="1" outlineLevel="1">
      <c r="A58" s="279">
        <v>1</v>
      </c>
      <c r="B58" s="280" t="s">
        <v>214</v>
      </c>
      <c r="C58" s="280" t="s">
        <v>234</v>
      </c>
      <c r="D58" s="280" t="s">
        <v>235</v>
      </c>
      <c r="E58" s="281">
        <v>3326</v>
      </c>
      <c r="F58" s="282" t="s">
        <v>237</v>
      </c>
      <c r="G58" s="84" t="s">
        <v>30</v>
      </c>
      <c r="H58" s="1" t="s">
        <v>31</v>
      </c>
      <c r="I58" s="280"/>
      <c r="J58" s="283" t="s">
        <v>189</v>
      </c>
      <c r="K58" s="284"/>
    </row>
    <row r="59" ht="14.25" customHeight="1" outlineLevel="1">
      <c r="A59" s="285">
        <v>2</v>
      </c>
      <c r="B59" s="285" t="s">
        <v>214</v>
      </c>
      <c r="C59" s="285" t="s">
        <v>215</v>
      </c>
      <c r="D59" s="285" t="s">
        <v>216</v>
      </c>
      <c r="E59" s="286">
        <v>6019.1499999999996</v>
      </c>
      <c r="F59" s="287" t="s">
        <v>218</v>
      </c>
      <c r="G59" s="84" t="s">
        <v>30</v>
      </c>
      <c r="H59" s="285" t="s">
        <v>31</v>
      </c>
      <c r="I59" s="285"/>
      <c r="J59" s="187" t="s">
        <v>189</v>
      </c>
      <c r="K59" s="187"/>
    </row>
    <row r="60" s="248" customFormat="1" ht="14.25" outlineLevel="1">
      <c r="A60" s="288">
        <v>3</v>
      </c>
      <c r="B60" s="289"/>
      <c r="C60" s="289"/>
      <c r="D60" s="289"/>
      <c r="E60" s="289"/>
      <c r="F60" s="289"/>
      <c r="G60" s="289"/>
      <c r="H60" s="289"/>
      <c r="I60" s="289"/>
      <c r="J60" s="289"/>
      <c r="K60" s="289"/>
    </row>
    <row r="61" ht="14.25" customHeight="1" outlineLevel="1">
      <c r="A61" s="290">
        <v>4</v>
      </c>
      <c r="B61" s="199"/>
      <c r="C61" s="199"/>
      <c r="D61" s="199"/>
      <c r="E61" s="291"/>
      <c r="F61" s="59"/>
      <c r="G61" s="199"/>
      <c r="H61" s="199"/>
      <c r="I61" s="199"/>
      <c r="J61" s="200"/>
      <c r="K61" s="292"/>
    </row>
    <row r="62" ht="14.25" customHeight="1" outlineLevel="1">
      <c r="A62" s="52">
        <v>5</v>
      </c>
      <c r="B62" s="53"/>
      <c r="C62" s="53"/>
      <c r="D62" s="53"/>
      <c r="E62" s="54"/>
      <c r="F62" s="55"/>
      <c r="G62" s="53"/>
      <c r="H62" s="53"/>
      <c r="I62" s="53"/>
      <c r="J62" s="56"/>
      <c r="K62" s="57"/>
    </row>
    <row r="63" s="21" customFormat="1" ht="20.25" customHeight="1" outlineLevel="1">
      <c r="A63" s="69"/>
      <c r="B63" s="70" t="s">
        <v>19</v>
      </c>
      <c r="C63" s="24"/>
      <c r="D63" s="25"/>
      <c r="E63" s="26"/>
      <c r="F63" s="70"/>
      <c r="G63" s="70"/>
      <c r="H63" s="70"/>
      <c r="I63" s="70"/>
      <c r="J63" s="70"/>
      <c r="K63" s="203"/>
    </row>
    <row r="64" ht="14.25" customHeight="1" outlineLevel="1">
      <c r="A64" s="28">
        <v>2</v>
      </c>
      <c r="B64" s="112" t="s">
        <v>190</v>
      </c>
      <c r="C64" s="58" t="s">
        <v>191</v>
      </c>
      <c r="D64" s="36" t="s">
        <v>198</v>
      </c>
      <c r="E64" s="257" t="s">
        <v>223</v>
      </c>
      <c r="F64" s="293" t="s">
        <v>224</v>
      </c>
      <c r="G64" s="112"/>
      <c r="H64" s="112"/>
      <c r="I64" s="112"/>
      <c r="J64" s="33"/>
      <c r="K64" s="34"/>
    </row>
    <row r="65" ht="14.25" customHeight="1" outlineLevel="1">
      <c r="A65" s="294">
        <v>3</v>
      </c>
      <c r="B65" s="79" t="s">
        <v>190</v>
      </c>
      <c r="C65" s="214" t="s">
        <v>191</v>
      </c>
      <c r="D65" s="215" t="s">
        <v>192</v>
      </c>
      <c r="E65" s="257" t="s">
        <v>116</v>
      </c>
      <c r="F65" s="217" t="s">
        <v>193</v>
      </c>
      <c r="G65" s="258"/>
      <c r="H65" s="247"/>
      <c r="I65" s="247" t="s">
        <v>194</v>
      </c>
      <c r="J65" s="82"/>
      <c r="K65" s="34"/>
    </row>
    <row r="66" ht="14.25" customHeight="1" outlineLevel="1">
      <c r="A66" s="285">
        <v>4</v>
      </c>
      <c r="B66" s="213" t="s">
        <v>190</v>
      </c>
      <c r="C66" s="214" t="s">
        <v>191</v>
      </c>
      <c r="D66" s="215" t="s">
        <v>192</v>
      </c>
      <c r="E66" s="257" t="s">
        <v>195</v>
      </c>
      <c r="F66" s="217" t="s">
        <v>196</v>
      </c>
      <c r="G66" s="36"/>
      <c r="H66" s="36"/>
      <c r="I66" s="29" t="s">
        <v>197</v>
      </c>
      <c r="J66" s="56"/>
      <c r="K66" s="57"/>
    </row>
    <row r="67" ht="14.25" customHeight="1" outlineLevel="1">
      <c r="A67" s="285">
        <v>4</v>
      </c>
      <c r="B67" s="276" t="s">
        <v>256</v>
      </c>
      <c r="C67" s="36" t="s">
        <v>257</v>
      </c>
      <c r="D67" s="36" t="s">
        <v>258</v>
      </c>
      <c r="E67" s="277">
        <v>5119.5</v>
      </c>
      <c r="F67" s="37" t="s">
        <v>258</v>
      </c>
      <c r="G67" s="36"/>
      <c r="H67" s="36" t="s">
        <v>31</v>
      </c>
      <c r="I67" s="36"/>
      <c r="J67" s="200" t="s">
        <v>189</v>
      </c>
      <c r="K67" s="292"/>
    </row>
    <row r="68" ht="14.25" customHeight="1" outlineLevel="1">
      <c r="A68" s="295">
        <v>5</v>
      </c>
      <c r="B68" s="53"/>
      <c r="C68" s="53"/>
      <c r="D68" s="53"/>
      <c r="E68" s="54"/>
      <c r="F68" s="55"/>
      <c r="G68" s="53"/>
      <c r="H68" s="53"/>
      <c r="I68" s="53"/>
      <c r="J68" s="56"/>
      <c r="K68" s="57"/>
    </row>
    <row r="69" s="21" customFormat="1" ht="23.25" customHeight="1">
      <c r="A69" s="63" t="s">
        <v>20</v>
      </c>
      <c r="B69" s="64"/>
      <c r="C69" s="64"/>
      <c r="D69" s="65"/>
      <c r="E69" s="66">
        <f>SUM(E9:E68)</f>
        <v>158466.64999999999</v>
      </c>
    </row>
    <row r="70" s="21" customFormat="1" ht="23.25" customHeight="1">
      <c r="A70" s="63" t="s">
        <v>21</v>
      </c>
      <c r="B70" s="64"/>
      <c r="C70" s="64"/>
      <c r="D70" s="65"/>
      <c r="E70" s="66">
        <f>E4-E69</f>
        <v>3454.6600000000326</v>
      </c>
      <c r="F70" s="67"/>
    </row>
    <row r="71" ht="14.25">
      <c r="E71" s="1"/>
    </row>
    <row r="72" ht="14.25">
      <c r="E72" s="1"/>
    </row>
    <row r="73" ht="14.25">
      <c r="E73" s="1"/>
    </row>
  </sheetData>
  <mergeCells count="6">
    <mergeCell ref="E1:F1"/>
    <mergeCell ref="A4:D4"/>
    <mergeCell ref="A5:D5"/>
    <mergeCell ref="A6:D6"/>
    <mergeCell ref="A69:D69"/>
    <mergeCell ref="A70:D70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6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2" disablePrompts="0">
        <x14:dataValidation xr:uid="{00BA0044-00E0-438D-BAA4-00D000650072}" type="list" allowBlank="1" errorStyle="stop" imeMode="noControl" operator="between" showDropDown="0" showErrorMessage="1" showInputMessage="1">
          <x14:formula1>
            <xm:f>ДаНет</xm:f>
          </x14:formula1>
          <xm:sqref>H67:H68 H49 H50:H51 H54 H55:H56 H61:H62</xm:sqref>
        </x14:dataValidation>
        <x14:dataValidation xr:uid="{00A50031-00D2-4D62-A0DD-0067007900CB}" type="list" allowBlank="1" errorStyle="stop" imeMode="noControl" operator="between" showDropDown="0" showErrorMessage="1" showInputMessage="1">
          <x14:formula1>
            <xm:f>ДаНет</xm:f>
          </x14:formula1>
          <xm:sqref>H47</xm:sqref>
        </x14:dataValidation>
        <x14:dataValidation xr:uid="{0005008D-00DA-414B-844A-001C002E006C}" type="list" allowBlank="1" errorStyle="stop" imeMode="noControl" operator="between" showDropDown="0" showErrorMessage="1" showInputMessage="1">
          <x14:formula1>
            <xm:f>ДаНет</xm:f>
          </x14:formula1>
          <xm:sqref>H45:H46</xm:sqref>
        </x14:dataValidation>
        <x14:dataValidation xr:uid="{000A000C-00AE-4698-AD5A-004D00830090}" type="list" allowBlank="1" errorStyle="stop" imeMode="noControl" operator="between" showDropDown="0" showErrorMessage="1" showInputMessage="1">
          <x14:formula1>
            <xm:f>ДаНет</xm:f>
          </x14:formula1>
          <xm:sqref>H24</xm:sqref>
        </x14:dataValidation>
        <x14:dataValidation xr:uid="{0088005B-00F1-4DBC-8288-00AC00DC0013}" type="list" allowBlank="1" errorStyle="stop" imeMode="noControl" operator="between" showDropDown="0" showErrorMessage="1" showInputMessage="1">
          <x14:formula1>
            <xm:f>ДаНет</xm:f>
          </x14:formula1>
          <xm:sqref>H34 H30</xm:sqref>
        </x14:dataValidation>
        <x14:dataValidation xr:uid="{00000072-0029-4794-A6A2-00F800C2006A}" type="list" allowBlank="1" errorStyle="stop" imeMode="noControl" operator="between" showDropDown="0" showErrorMessage="1" showInputMessage="1">
          <x14:formula1>
            <xm:f>ДаНет</xm:f>
          </x14:formula1>
          <xm:sqref>H32</xm:sqref>
        </x14:dataValidation>
        <x14:dataValidation xr:uid="{00F800A8-003A-4268-A913-00AD008E0057}" type="list" allowBlank="1" errorStyle="stop" imeMode="noControl" operator="between" showDropDown="0" showErrorMessage="1" showInputMessage="1">
          <x14:formula1>
            <xm:f>ДаНет</xm:f>
          </x14:formula1>
          <xm:sqref>H35</xm:sqref>
        </x14:dataValidation>
        <x14:dataValidation xr:uid="{00B60060-002D-45A3-B83B-002100F500BD}" type="list" allowBlank="1" errorStyle="stop" imeMode="noControl" operator="between" showDropDown="0" showErrorMessage="1" showInputMessage="1">
          <x14:formula1>
            <xm:f>ДаНет</xm:f>
          </x14:formula1>
          <xm:sqref>H43</xm:sqref>
        </x14:dataValidation>
        <x14:dataValidation xr:uid="{0067004E-00B1-43FD-9DF8-0056000C0009}" type="list" allowBlank="1" errorStyle="stop" imeMode="noControl" operator="between" showDropDown="0" showErrorMessage="1" showInputMessage="1">
          <x14:formula1>
            <xm:f>ДаНет</xm:f>
          </x14:formula1>
          <xm:sqref>H64</xm:sqref>
        </x14:dataValidation>
        <x14:dataValidation xr:uid="{00C60007-00A6-436F-9DD7-003400460073}" type="list" allowBlank="1" errorStyle="stop" imeMode="noControl" operator="between" showDropDown="0" showErrorMessage="1" showInputMessage="1">
          <x14:formula1>
            <xm:f>ДаНет</xm:f>
          </x14:formula1>
          <xm:sqref>H66</xm:sqref>
        </x14:dataValidation>
        <x14:dataValidation xr:uid="{00AD0095-0011-45EF-8A96-006900B50034}" type="list" allowBlank="1" errorStyle="stop" imeMode="noControl" operator="between" showDropDown="0" showErrorMessage="1" showInputMessage="1">
          <x14:formula1>
            <xm:f>ДаНет</xm:f>
          </x14:formula1>
          <xm:sqref>H48 H53</xm:sqref>
        </x14:dataValidation>
        <x14:dataValidation xr:uid="{00EE005F-0062-42E4-8529-000200B70006}" type="list" allowBlank="1" errorStyle="stop" imeMode="noControl" operator="between" showDropDown="0" showErrorMessage="1" showInputMessage="1">
          <x14:formula1>
            <xm:f>ДаНет</xm:f>
          </x14:formula1>
          <xm:sqref>H59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8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'17'!C2+1</f>
        <v>46099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43534.659999999996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41854.019999999997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43534.659999999996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B00D4-0002-4767-81FB-00B400B6006F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9">
    <outlinePr applyStyles="0" summaryBelow="1" summaryRight="1" showOutlineSymbols="1"/>
    <pageSetUpPr autoPageBreaks="1" fitToPage="0"/>
  </sheetPr>
  <sheetViews>
    <sheetView showGridLines="0" showRuler="1" topLeftCell="A42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'18'!C2+1</f>
        <v>46100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43534.659999999996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41854.019999999997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13.5" customHeight="1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57" si="3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3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3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3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3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3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3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3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3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3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3"/>
        <v>12</v>
      </c>
      <c r="B21" s="94" t="s">
        <v>25</v>
      </c>
      <c r="C21" s="90" t="s">
        <v>63</v>
      </c>
      <c r="D21" s="95" t="s">
        <v>68</v>
      </c>
      <c r="E21" s="92" t="s">
        <v>69</v>
      </c>
      <c r="F21" s="91" t="s">
        <v>70</v>
      </c>
      <c r="G21" s="84" t="s">
        <v>30</v>
      </c>
      <c r="H21" s="93" t="s">
        <v>31</v>
      </c>
      <c r="I21" s="89" t="s">
        <v>71</v>
      </c>
      <c r="J21" s="82"/>
      <c r="K21" s="34"/>
      <c r="L21" s="1"/>
    </row>
    <row r="22" ht="14.25" customHeight="1" outlineLevel="1">
      <c r="A22" s="28">
        <f t="shared" si="3"/>
        <v>13</v>
      </c>
      <c r="B22" s="97" t="s">
        <v>72</v>
      </c>
      <c r="C22" s="90" t="s">
        <v>63</v>
      </c>
      <c r="D22" s="98" t="s">
        <v>73</v>
      </c>
      <c r="E22" s="99" t="s">
        <v>74</v>
      </c>
      <c r="F22" s="98" t="s">
        <v>75</v>
      </c>
      <c r="G22" s="84" t="s">
        <v>30</v>
      </c>
      <c r="H22" s="100" t="s">
        <v>31</v>
      </c>
      <c r="I22" s="101" t="s">
        <v>76</v>
      </c>
      <c r="J22" s="82"/>
      <c r="K22" s="34"/>
      <c r="L22" s="1"/>
    </row>
    <row r="23" ht="14.25" customHeight="1" outlineLevel="1">
      <c r="A23" s="28">
        <f t="shared" si="3"/>
        <v>14</v>
      </c>
      <c r="B23" s="97" t="s">
        <v>72</v>
      </c>
      <c r="C23" s="102" t="s">
        <v>63</v>
      </c>
      <c r="D23" s="103" t="s">
        <v>77</v>
      </c>
      <c r="E23" s="104" t="s">
        <v>78</v>
      </c>
      <c r="F23" s="105" t="s">
        <v>79</v>
      </c>
      <c r="G23" s="106" t="s">
        <v>30</v>
      </c>
      <c r="H23" s="107"/>
      <c r="I23" s="108" t="s">
        <v>80</v>
      </c>
      <c r="J23" s="33"/>
      <c r="K23" s="34"/>
      <c r="L23" s="1"/>
    </row>
    <row r="24" ht="14.25" customHeight="1" outlineLevel="1">
      <c r="A24" s="28">
        <f t="shared" si="3"/>
        <v>15</v>
      </c>
      <c r="B24" s="32" t="s">
        <v>72</v>
      </c>
      <c r="C24" s="296" t="s">
        <v>63</v>
      </c>
      <c r="D24" s="296" t="s">
        <v>81</v>
      </c>
      <c r="E24" s="297" t="s">
        <v>82</v>
      </c>
      <c r="F24" s="39" t="s">
        <v>83</v>
      </c>
      <c r="G24" s="111"/>
      <c r="H24" s="58"/>
      <c r="I24" s="191" t="s">
        <v>84</v>
      </c>
      <c r="J24" s="33"/>
      <c r="K24" s="34"/>
      <c r="L24" s="1"/>
    </row>
    <row r="25" ht="14.25" customHeight="1" outlineLevel="1">
      <c r="A25" s="28">
        <f t="shared" si="3"/>
        <v>16</v>
      </c>
      <c r="B25" s="298" t="s">
        <v>25</v>
      </c>
      <c r="C25" s="121" t="s">
        <v>91</v>
      </c>
      <c r="D25" s="122" t="s">
        <v>92</v>
      </c>
      <c r="E25" s="123" t="s">
        <v>93</v>
      </c>
      <c r="F25" s="124" t="s">
        <v>94</v>
      </c>
      <c r="G25" s="125" t="s">
        <v>30</v>
      </c>
      <c r="H25" s="126" t="s">
        <v>31</v>
      </c>
      <c r="I25" s="120" t="s">
        <v>95</v>
      </c>
      <c r="J25" s="33"/>
      <c r="K25" s="34"/>
      <c r="L25" s="1"/>
    </row>
    <row r="26" ht="14.25" customHeight="1" outlineLevel="1">
      <c r="A26" s="96">
        <f t="shared" si="3"/>
        <v>17</v>
      </c>
      <c r="B26" s="152" t="s">
        <v>25</v>
      </c>
      <c r="C26" s="137" t="s">
        <v>91</v>
      </c>
      <c r="D26" s="129" t="s">
        <v>97</v>
      </c>
      <c r="E26" s="130" t="s">
        <v>98</v>
      </c>
      <c r="F26" s="131" t="s">
        <v>99</v>
      </c>
      <c r="G26" s="125" t="s">
        <v>30</v>
      </c>
      <c r="H26" s="132" t="s">
        <v>31</v>
      </c>
      <c r="I26" s="133" t="s">
        <v>100</v>
      </c>
      <c r="J26" s="33"/>
      <c r="K26" s="34"/>
      <c r="L26" s="1"/>
    </row>
    <row r="27" ht="14.25" customHeight="1" outlineLevel="1">
      <c r="A27" s="28">
        <f t="shared" si="3"/>
        <v>18</v>
      </c>
      <c r="B27" s="127" t="s">
        <v>72</v>
      </c>
      <c r="C27" s="128" t="s">
        <v>101</v>
      </c>
      <c r="D27" s="129" t="s">
        <v>102</v>
      </c>
      <c r="E27" s="130" t="s">
        <v>103</v>
      </c>
      <c r="F27" s="131" t="s">
        <v>104</v>
      </c>
      <c r="G27" s="125" t="s">
        <v>30</v>
      </c>
      <c r="H27" s="132" t="s">
        <v>31</v>
      </c>
      <c r="I27" s="133" t="s">
        <v>105</v>
      </c>
      <c r="J27" s="33"/>
      <c r="K27" s="34"/>
      <c r="L27" s="1"/>
    </row>
    <row r="28" ht="14.25" customHeight="1" outlineLevel="1">
      <c r="A28" s="28">
        <f t="shared" si="3"/>
        <v>19</v>
      </c>
      <c r="B28" s="134" t="s">
        <v>72</v>
      </c>
      <c r="C28" s="128" t="s">
        <v>101</v>
      </c>
      <c r="D28" s="129" t="s">
        <v>106</v>
      </c>
      <c r="E28" s="130" t="s">
        <v>107</v>
      </c>
      <c r="F28" s="135" t="s">
        <v>104</v>
      </c>
      <c r="G28" s="125" t="s">
        <v>30</v>
      </c>
      <c r="H28" s="132" t="s">
        <v>31</v>
      </c>
      <c r="I28" s="133" t="s">
        <v>108</v>
      </c>
      <c r="J28" s="33"/>
      <c r="K28" s="34"/>
      <c r="L28" s="1"/>
    </row>
    <row r="29" ht="14.25" customHeight="1" outlineLevel="1">
      <c r="A29" s="96">
        <f t="shared" si="3"/>
        <v>20</v>
      </c>
      <c r="B29" s="136" t="s">
        <v>72</v>
      </c>
      <c r="C29" s="137" t="s">
        <v>101</v>
      </c>
      <c r="D29" s="129" t="s">
        <v>109</v>
      </c>
      <c r="E29" s="130" t="s">
        <v>107</v>
      </c>
      <c r="F29" s="135" t="s">
        <v>104</v>
      </c>
      <c r="G29" s="125" t="s">
        <v>30</v>
      </c>
      <c r="H29" s="132" t="s">
        <v>31</v>
      </c>
      <c r="I29" s="133" t="s">
        <v>110</v>
      </c>
      <c r="J29" s="33"/>
      <c r="K29" s="34"/>
      <c r="L29" s="1"/>
    </row>
    <row r="30" ht="14.25" customHeight="1" outlineLevel="1">
      <c r="A30" s="96">
        <f t="shared" si="3"/>
        <v>21</v>
      </c>
      <c r="B30" s="138" t="s">
        <v>72</v>
      </c>
      <c r="C30" s="139" t="s">
        <v>101</v>
      </c>
      <c r="D30" s="140" t="s">
        <v>111</v>
      </c>
      <c r="E30" s="141" t="s">
        <v>112</v>
      </c>
      <c r="F30" s="135" t="s">
        <v>104</v>
      </c>
      <c r="G30" s="125" t="s">
        <v>30</v>
      </c>
      <c r="H30" s="142"/>
      <c r="I30" s="133" t="s">
        <v>110</v>
      </c>
      <c r="J30" s="33"/>
      <c r="K30" s="34"/>
      <c r="L30" s="1"/>
    </row>
    <row r="31" ht="14.25" customHeight="1" outlineLevel="1">
      <c r="A31" s="28">
        <f t="shared" si="3"/>
        <v>22</v>
      </c>
      <c r="B31" s="143" t="s">
        <v>113</v>
      </c>
      <c r="C31" s="144" t="s">
        <v>114</v>
      </c>
      <c r="D31" s="145" t="s">
        <v>115</v>
      </c>
      <c r="E31" s="146" t="s">
        <v>116</v>
      </c>
      <c r="F31" s="147" t="s">
        <v>117</v>
      </c>
      <c r="G31" s="125" t="s">
        <v>30</v>
      </c>
      <c r="H31" s="148" t="s">
        <v>31</v>
      </c>
      <c r="I31" s="149" t="s">
        <v>118</v>
      </c>
      <c r="J31" s="33"/>
      <c r="K31" s="34"/>
      <c r="L31" s="1"/>
    </row>
    <row r="32" ht="14.25" customHeight="1" outlineLevel="1">
      <c r="A32" s="96">
        <f t="shared" si="3"/>
        <v>23</v>
      </c>
      <c r="B32" s="150" t="s">
        <v>72</v>
      </c>
      <c r="C32" s="150" t="s">
        <v>119</v>
      </c>
      <c r="D32" s="91" t="s">
        <v>120</v>
      </c>
      <c r="E32" s="92" t="s">
        <v>121</v>
      </c>
      <c r="F32" s="91" t="s">
        <v>122</v>
      </c>
      <c r="G32" s="84" t="s">
        <v>30</v>
      </c>
      <c r="H32" s="151"/>
      <c r="I32" s="88" t="s">
        <v>123</v>
      </c>
      <c r="J32" s="82"/>
      <c r="K32" s="34"/>
      <c r="L32" s="1"/>
    </row>
    <row r="33" ht="14.25" customHeight="1" outlineLevel="1">
      <c r="A33" s="96">
        <f t="shared" si="3"/>
        <v>24</v>
      </c>
      <c r="B33" s="152" t="s">
        <v>72</v>
      </c>
      <c r="C33" s="152" t="s">
        <v>114</v>
      </c>
      <c r="D33" s="98" t="s">
        <v>124</v>
      </c>
      <c r="E33" s="99" t="s">
        <v>125</v>
      </c>
      <c r="F33" s="98" t="s">
        <v>122</v>
      </c>
      <c r="G33" s="84" t="s">
        <v>30</v>
      </c>
      <c r="H33" s="153"/>
      <c r="I33" s="154" t="s">
        <v>126</v>
      </c>
      <c r="J33" s="82"/>
      <c r="K33" s="34"/>
      <c r="L33" s="1"/>
    </row>
    <row r="34" ht="14.25" customHeight="1" outlineLevel="1">
      <c r="A34" s="28">
        <f t="shared" si="3"/>
        <v>25</v>
      </c>
      <c r="B34" s="155" t="s">
        <v>113</v>
      </c>
      <c r="C34" s="156" t="s">
        <v>114</v>
      </c>
      <c r="D34" s="103" t="s">
        <v>127</v>
      </c>
      <c r="E34" s="157" t="s">
        <v>116</v>
      </c>
      <c r="F34" s="158" t="s">
        <v>128</v>
      </c>
      <c r="G34" s="125" t="s">
        <v>30</v>
      </c>
      <c r="H34" s="159"/>
      <c r="I34" s="160"/>
      <c r="J34" s="33"/>
      <c r="K34" s="34"/>
      <c r="L34" s="1"/>
    </row>
    <row r="35" ht="14.25" customHeight="1" outlineLevel="1">
      <c r="A35" s="96">
        <f t="shared" si="3"/>
        <v>26</v>
      </c>
      <c r="B35" s="81" t="s">
        <v>113</v>
      </c>
      <c r="C35" s="162" t="s">
        <v>114</v>
      </c>
      <c r="D35" s="103" t="s">
        <v>129</v>
      </c>
      <c r="E35" s="163" t="s">
        <v>130</v>
      </c>
      <c r="F35" s="158" t="s">
        <v>128</v>
      </c>
      <c r="G35" s="125" t="s">
        <v>30</v>
      </c>
      <c r="H35" s="160"/>
      <c r="I35" s="160" t="s">
        <v>17</v>
      </c>
      <c r="J35" s="33"/>
      <c r="K35" s="34"/>
      <c r="L35" s="1"/>
    </row>
    <row r="36" ht="14.25" customHeight="1" outlineLevel="1">
      <c r="A36" s="96">
        <f t="shared" si="3"/>
        <v>27</v>
      </c>
      <c r="B36" s="150" t="s">
        <v>25</v>
      </c>
      <c r="C36" s="137" t="s">
        <v>131</v>
      </c>
      <c r="D36" s="129" t="s">
        <v>132</v>
      </c>
      <c r="E36" s="130" t="s">
        <v>133</v>
      </c>
      <c r="F36" s="131" t="s">
        <v>134</v>
      </c>
      <c r="G36" s="125" t="s">
        <v>30</v>
      </c>
      <c r="H36" s="132" t="s">
        <v>31</v>
      </c>
      <c r="I36" s="133" t="s">
        <v>135</v>
      </c>
      <c r="J36" s="33"/>
      <c r="K36" s="34"/>
      <c r="L36" s="1"/>
    </row>
    <row r="37" ht="14.25" customHeight="1" outlineLevel="1">
      <c r="A37" s="96">
        <f t="shared" si="3"/>
        <v>28</v>
      </c>
      <c r="B37" s="150" t="s">
        <v>25</v>
      </c>
      <c r="C37" s="264" t="s">
        <v>136</v>
      </c>
      <c r="D37" s="126" t="s">
        <v>137</v>
      </c>
      <c r="E37" s="123" t="s">
        <v>138</v>
      </c>
      <c r="F37" s="124" t="s">
        <v>139</v>
      </c>
      <c r="G37" s="125" t="s">
        <v>30</v>
      </c>
      <c r="H37" s="126" t="s">
        <v>31</v>
      </c>
      <c r="I37" s="126" t="s">
        <v>140</v>
      </c>
      <c r="J37" s="33"/>
      <c r="K37" s="34"/>
      <c r="L37" s="1"/>
    </row>
    <row r="38" ht="14.25" customHeight="1" outlineLevel="1">
      <c r="A38" s="96">
        <f t="shared" si="3"/>
        <v>29</v>
      </c>
      <c r="B38" s="152" t="s">
        <v>25</v>
      </c>
      <c r="C38" s="265" t="s">
        <v>141</v>
      </c>
      <c r="D38" s="165" t="s">
        <v>142</v>
      </c>
      <c r="E38" s="123" t="s">
        <v>143</v>
      </c>
      <c r="F38" s="131" t="s">
        <v>144</v>
      </c>
      <c r="G38" s="125" t="s">
        <v>30</v>
      </c>
      <c r="H38" s="132" t="s">
        <v>31</v>
      </c>
      <c r="I38" s="133" t="s">
        <v>145</v>
      </c>
      <c r="J38" s="33"/>
      <c r="K38" s="34"/>
      <c r="L38" s="1"/>
    </row>
    <row r="39" ht="14.25" customHeight="1" outlineLevel="1">
      <c r="A39" s="28">
        <f t="shared" si="3"/>
        <v>30</v>
      </c>
      <c r="B39" s="166" t="s">
        <v>113</v>
      </c>
      <c r="C39" s="167" t="s">
        <v>146</v>
      </c>
      <c r="D39" s="140" t="s">
        <v>147</v>
      </c>
      <c r="E39" s="168" t="s">
        <v>148</v>
      </c>
      <c r="F39" s="169" t="s">
        <v>149</v>
      </c>
      <c r="G39" s="125" t="s">
        <v>30</v>
      </c>
      <c r="H39" s="142"/>
      <c r="I39" s="170" t="s">
        <v>150</v>
      </c>
      <c r="J39" s="33"/>
      <c r="K39" s="34"/>
      <c r="L39" s="1"/>
    </row>
    <row r="40" ht="14.25" customHeight="1" outlineLevel="1">
      <c r="A40" s="28">
        <f t="shared" si="3"/>
        <v>31</v>
      </c>
      <c r="B40" s="134" t="s">
        <v>151</v>
      </c>
      <c r="C40" s="144" t="s">
        <v>152</v>
      </c>
      <c r="D40" s="145" t="s">
        <v>153</v>
      </c>
      <c r="E40" s="171" t="s">
        <v>154</v>
      </c>
      <c r="F40" s="131" t="s">
        <v>155</v>
      </c>
      <c r="G40" s="125" t="s">
        <v>30</v>
      </c>
      <c r="H40" s="134" t="s">
        <v>31</v>
      </c>
      <c r="I40" s="120" t="s">
        <v>156</v>
      </c>
      <c r="J40" s="33"/>
      <c r="K40" s="34"/>
      <c r="L40" s="1"/>
    </row>
    <row r="41" ht="14.25" customHeight="1" outlineLevel="1">
      <c r="A41" s="96">
        <f t="shared" si="3"/>
        <v>32</v>
      </c>
      <c r="B41" s="299" t="s">
        <v>72</v>
      </c>
      <c r="C41" s="150" t="s">
        <v>157</v>
      </c>
      <c r="D41" s="91" t="s">
        <v>158</v>
      </c>
      <c r="E41" s="173" t="s">
        <v>159</v>
      </c>
      <c r="F41" s="174" t="s">
        <v>160</v>
      </c>
      <c r="G41" s="125" t="s">
        <v>30</v>
      </c>
      <c r="H41" s="175" t="s">
        <v>89</v>
      </c>
      <c r="I41" s="176" t="s">
        <v>161</v>
      </c>
      <c r="J41" s="177"/>
      <c r="K41" s="228"/>
      <c r="L41" s="1"/>
    </row>
    <row r="42" ht="14.25" customHeight="1" outlineLevel="1">
      <c r="A42" s="96">
        <f t="shared" si="3"/>
        <v>33</v>
      </c>
      <c r="B42" s="172" t="s">
        <v>72</v>
      </c>
      <c r="C42" s="229" t="s">
        <v>162</v>
      </c>
      <c r="D42" s="230" t="s">
        <v>163</v>
      </c>
      <c r="E42" s="231" t="s">
        <v>164</v>
      </c>
      <c r="F42" s="230" t="s">
        <v>165</v>
      </c>
      <c r="G42" s="232" t="s">
        <v>30</v>
      </c>
      <c r="H42" s="233" t="s">
        <v>31</v>
      </c>
      <c r="I42" s="234" t="s">
        <v>166</v>
      </c>
      <c r="J42" s="235"/>
      <c r="K42" s="235"/>
      <c r="L42" s="1"/>
    </row>
    <row r="43" ht="14.25" customHeight="1" outlineLevel="1">
      <c r="A43" s="28">
        <f t="shared" si="3"/>
        <v>34</v>
      </c>
      <c r="B43" s="237" t="s">
        <v>72</v>
      </c>
      <c r="C43" s="237" t="s">
        <v>167</v>
      </c>
      <c r="D43" s="238" t="s">
        <v>168</v>
      </c>
      <c r="E43" s="190" t="s">
        <v>169</v>
      </c>
      <c r="F43" s="238" t="s">
        <v>170</v>
      </c>
      <c r="G43" s="111"/>
      <c r="H43" s="111" t="s">
        <v>31</v>
      </c>
      <c r="I43" s="111"/>
      <c r="J43" s="177"/>
      <c r="K43" s="34"/>
      <c r="L43" s="1"/>
    </row>
    <row r="44" ht="14.25" customHeight="1" outlineLevel="1">
      <c r="A44" s="96">
        <f t="shared" si="3"/>
        <v>35</v>
      </c>
      <c r="B44" s="152" t="s">
        <v>25</v>
      </c>
      <c r="C44" s="152" t="s">
        <v>171</v>
      </c>
      <c r="D44" s="239" t="s">
        <v>172</v>
      </c>
      <c r="E44" s="240" t="s">
        <v>173</v>
      </c>
      <c r="F44" s="195" t="s">
        <v>174</v>
      </c>
      <c r="G44" s="84" t="s">
        <v>30</v>
      </c>
      <c r="H44" s="161" t="s">
        <v>31</v>
      </c>
      <c r="I44" s="196" t="s">
        <v>175</v>
      </c>
      <c r="J44" s="187"/>
      <c r="K44" s="197"/>
      <c r="L44" s="1"/>
    </row>
    <row r="45" ht="14.25" customHeight="1" outlineLevel="1">
      <c r="A45" s="28">
        <f t="shared" si="3"/>
        <v>36</v>
      </c>
      <c r="B45" s="36" t="s">
        <v>72</v>
      </c>
      <c r="C45" s="36" t="s">
        <v>176</v>
      </c>
      <c r="D45" s="36" t="s">
        <v>177</v>
      </c>
      <c r="E45" s="198" t="s">
        <v>178</v>
      </c>
      <c r="F45" s="37" t="s">
        <v>179</v>
      </c>
      <c r="G45" s="199"/>
      <c r="H45" s="36"/>
      <c r="I45" s="32" t="s">
        <v>180</v>
      </c>
      <c r="J45" s="200"/>
      <c r="K45" s="34"/>
      <c r="L45" s="1"/>
    </row>
    <row r="46" ht="14.25" customHeight="1" outlineLevel="1">
      <c r="A46" s="28">
        <f t="shared" si="3"/>
        <v>37</v>
      </c>
      <c r="B46" s="36" t="s">
        <v>72</v>
      </c>
      <c r="C46" s="37" t="s">
        <v>181</v>
      </c>
      <c r="D46" s="37" t="s">
        <v>182</v>
      </c>
      <c r="E46" s="198" t="s">
        <v>183</v>
      </c>
      <c r="F46" s="37" t="s">
        <v>184</v>
      </c>
      <c r="G46" s="36"/>
      <c r="H46" s="36"/>
      <c r="I46" s="32" t="s">
        <v>185</v>
      </c>
      <c r="J46" s="33"/>
      <c r="K46" s="34"/>
      <c r="L46" s="1"/>
    </row>
    <row r="47" ht="14.25" customHeight="1" outlineLevel="1">
      <c r="A47" s="28">
        <f t="shared" si="3"/>
        <v>38</v>
      </c>
      <c r="B47" s="29" t="s">
        <v>72</v>
      </c>
      <c r="C47" s="30" t="s">
        <v>114</v>
      </c>
      <c r="D47" s="30" t="s">
        <v>225</v>
      </c>
      <c r="E47" s="190" t="s">
        <v>226</v>
      </c>
      <c r="F47" s="30" t="s">
        <v>227</v>
      </c>
      <c r="G47" s="32"/>
      <c r="H47" s="32" t="s">
        <v>31</v>
      </c>
      <c r="I47" s="32" t="s">
        <v>228</v>
      </c>
      <c r="J47" s="33"/>
      <c r="K47" s="34"/>
      <c r="L47" s="1"/>
    </row>
    <row r="48" ht="14.25" customHeight="1" outlineLevel="1">
      <c r="A48" s="28">
        <f t="shared" si="3"/>
        <v>39</v>
      </c>
      <c r="B48" s="300" t="s">
        <v>72</v>
      </c>
      <c r="C48" s="300" t="s">
        <v>238</v>
      </c>
      <c r="D48" s="300" t="s">
        <v>239</v>
      </c>
      <c r="E48" s="301" t="s">
        <v>240</v>
      </c>
      <c r="F48" s="302" t="s">
        <v>241</v>
      </c>
      <c r="G48" s="300"/>
      <c r="H48" s="36"/>
      <c r="I48" s="36" t="s">
        <v>242</v>
      </c>
      <c r="J48" s="218"/>
      <c r="K48" s="219"/>
      <c r="L48" s="2"/>
    </row>
    <row r="49" ht="14.25" customHeight="1" outlineLevel="1">
      <c r="A49" s="28">
        <f t="shared" si="3"/>
        <v>40</v>
      </c>
      <c r="B49" s="303" t="s">
        <v>248</v>
      </c>
      <c r="C49" s="303" t="s">
        <v>249</v>
      </c>
      <c r="D49" s="304" t="s">
        <v>250</v>
      </c>
      <c r="E49" s="305" t="s">
        <v>251</v>
      </c>
      <c r="F49" s="306" t="s">
        <v>252</v>
      </c>
      <c r="G49" s="307"/>
      <c r="H49" s="36"/>
      <c r="I49" s="32" t="s">
        <v>247</v>
      </c>
      <c r="J49" s="33"/>
      <c r="K49" s="34"/>
      <c r="L49" s="1"/>
    </row>
    <row r="50" ht="14.25" customHeight="1" outlineLevel="1">
      <c r="A50" s="28">
        <f t="shared" si="3"/>
        <v>41</v>
      </c>
      <c r="B50" s="32" t="s">
        <v>72</v>
      </c>
      <c r="C50" s="39" t="s">
        <v>85</v>
      </c>
      <c r="D50" s="39" t="s">
        <v>259</v>
      </c>
      <c r="E50" s="198" t="s">
        <v>260</v>
      </c>
      <c r="F50" s="39" t="s">
        <v>261</v>
      </c>
      <c r="G50" s="32"/>
      <c r="H50" s="36"/>
      <c r="I50" s="32" t="s">
        <v>262</v>
      </c>
      <c r="J50" s="33"/>
      <c r="K50" s="34"/>
      <c r="L50" s="1"/>
    </row>
    <row r="51" ht="14.25" customHeight="1" outlineLevel="1">
      <c r="A51" s="28">
        <f t="shared" si="3"/>
        <v>42</v>
      </c>
      <c r="B51" s="40" t="s">
        <v>72</v>
      </c>
      <c r="C51" s="40" t="s">
        <v>85</v>
      </c>
      <c r="D51" s="41" t="s">
        <v>263</v>
      </c>
      <c r="E51" s="267" t="s">
        <v>264</v>
      </c>
      <c r="F51" s="41" t="s">
        <v>265</v>
      </c>
      <c r="G51" s="32"/>
      <c r="H51" s="36"/>
      <c r="I51" s="32" t="s">
        <v>262</v>
      </c>
      <c r="J51" s="33"/>
      <c r="K51" s="34"/>
      <c r="L51" s="1"/>
    </row>
    <row r="52" ht="14.25" customHeight="1" outlineLevel="1">
      <c r="A52" s="28">
        <f t="shared" si="3"/>
        <v>43</v>
      </c>
      <c r="B52" s="40" t="s">
        <v>72</v>
      </c>
      <c r="C52" s="40" t="s">
        <v>85</v>
      </c>
      <c r="D52" s="41" t="s">
        <v>266</v>
      </c>
      <c r="E52" s="269" t="s">
        <v>267</v>
      </c>
      <c r="F52" s="41" t="s">
        <v>261</v>
      </c>
      <c r="G52" s="32"/>
      <c r="H52" s="36"/>
      <c r="I52" s="32" t="s">
        <v>262</v>
      </c>
      <c r="J52" s="33"/>
      <c r="K52" s="34"/>
    </row>
    <row r="53" ht="14.25" customHeight="1" outlineLevel="1">
      <c r="A53" s="28">
        <f t="shared" si="3"/>
        <v>44</v>
      </c>
      <c r="B53" s="36" t="s">
        <v>72</v>
      </c>
      <c r="C53" s="37" t="s">
        <v>85</v>
      </c>
      <c r="D53" s="37" t="s">
        <v>268</v>
      </c>
      <c r="E53" s="198" t="s">
        <v>269</v>
      </c>
      <c r="F53" s="37" t="s">
        <v>270</v>
      </c>
      <c r="G53" s="36"/>
      <c r="H53" s="36"/>
      <c r="I53" s="32" t="s">
        <v>271</v>
      </c>
      <c r="J53" s="33"/>
      <c r="K53" s="34"/>
    </row>
    <row r="54" ht="14.25" customHeight="1" outlineLevel="1">
      <c r="A54" s="28">
        <f t="shared" si="3"/>
        <v>45</v>
      </c>
      <c r="B54" s="36" t="s">
        <v>272</v>
      </c>
      <c r="C54" s="37" t="s">
        <v>243</v>
      </c>
      <c r="D54" s="37" t="s">
        <v>273</v>
      </c>
      <c r="E54" s="198" t="s">
        <v>274</v>
      </c>
      <c r="F54" s="37" t="s">
        <v>246</v>
      </c>
      <c r="G54" s="36"/>
      <c r="H54" s="36"/>
      <c r="I54" s="32" t="s">
        <v>275</v>
      </c>
      <c r="J54" s="33"/>
      <c r="K54" s="34"/>
    </row>
    <row r="55" ht="14.25" customHeight="1" outlineLevel="1">
      <c r="A55" s="28">
        <f t="shared" si="3"/>
        <v>46</v>
      </c>
      <c r="B55" s="36" t="s">
        <v>72</v>
      </c>
      <c r="C55" s="37" t="s">
        <v>200</v>
      </c>
      <c r="D55" s="37" t="s">
        <v>201</v>
      </c>
      <c r="E55" s="308">
        <v>12000</v>
      </c>
      <c r="F55" s="37" t="s">
        <v>203</v>
      </c>
      <c r="G55" s="36"/>
      <c r="H55" s="36"/>
      <c r="I55" s="32" t="s">
        <v>204</v>
      </c>
      <c r="J55" s="33" t="s">
        <v>189</v>
      </c>
      <c r="K55" s="34"/>
    </row>
    <row r="56" ht="14.25" customHeight="1" outlineLevel="1">
      <c r="A56" s="28">
        <f t="shared" si="3"/>
        <v>47</v>
      </c>
      <c r="B56" s="303" t="s">
        <v>72</v>
      </c>
      <c r="C56" s="303" t="s">
        <v>243</v>
      </c>
      <c r="D56" s="306" t="s">
        <v>244</v>
      </c>
      <c r="E56" s="309">
        <v>12500</v>
      </c>
      <c r="F56" s="306" t="s">
        <v>246</v>
      </c>
      <c r="G56" s="307"/>
      <c r="H56" s="36"/>
      <c r="I56" s="32" t="s">
        <v>247</v>
      </c>
      <c r="J56" s="33" t="s">
        <v>189</v>
      </c>
      <c r="K56" s="34"/>
    </row>
    <row r="57" ht="14.25" customHeight="1" outlineLevel="1">
      <c r="A57" s="28">
        <f t="shared" si="3"/>
        <v>48</v>
      </c>
      <c r="B57" s="40" t="s">
        <v>72</v>
      </c>
      <c r="C57" s="40" t="s">
        <v>276</v>
      </c>
      <c r="D57" s="45"/>
      <c r="E57" s="310">
        <v>10000</v>
      </c>
      <c r="F57" s="45" t="s">
        <v>277</v>
      </c>
      <c r="G57" s="32"/>
      <c r="H57" s="36"/>
      <c r="I57" s="32" t="s">
        <v>247</v>
      </c>
      <c r="J57" s="33" t="s">
        <v>189</v>
      </c>
      <c r="K57" s="34"/>
    </row>
    <row r="58" s="21" customFormat="1" ht="20.25" customHeight="1" outlineLevel="1">
      <c r="A58" s="22"/>
      <c r="B58" s="23" t="s">
        <v>18</v>
      </c>
      <c r="C58" s="24"/>
      <c r="D58" s="25"/>
      <c r="E58" s="26"/>
      <c r="F58" s="23"/>
      <c r="G58" s="23"/>
      <c r="H58" s="23"/>
      <c r="I58" s="23"/>
      <c r="J58" s="23"/>
      <c r="K58" s="27"/>
    </row>
    <row r="59" s="311" customFormat="1" ht="17.25" customHeight="1" outlineLevel="1">
      <c r="A59" s="312">
        <v>1</v>
      </c>
      <c r="B59" s="224" t="s">
        <v>205</v>
      </c>
      <c r="C59" s="224" t="s">
        <v>209</v>
      </c>
      <c r="D59" s="224" t="s">
        <v>278</v>
      </c>
      <c r="E59" s="313" t="s">
        <v>279</v>
      </c>
      <c r="F59" s="224" t="s">
        <v>280</v>
      </c>
      <c r="G59" s="314"/>
      <c r="H59" s="315" t="s">
        <v>31</v>
      </c>
      <c r="I59" s="316"/>
      <c r="J59" s="317"/>
      <c r="K59" s="318"/>
    </row>
    <row r="60" ht="14.25" customHeight="1" outlineLevel="1">
      <c r="A60" s="28">
        <v>2</v>
      </c>
      <c r="B60" s="36"/>
      <c r="C60" s="36"/>
      <c r="D60" s="36"/>
      <c r="E60" s="38"/>
      <c r="F60" s="37"/>
      <c r="G60" s="36"/>
      <c r="H60" s="36"/>
      <c r="I60" s="36"/>
      <c r="J60" s="33"/>
      <c r="K60" s="34"/>
    </row>
    <row r="61" ht="14.25" customHeight="1" outlineLevel="1">
      <c r="A61" s="28">
        <v>3</v>
      </c>
      <c r="B61" s="36"/>
      <c r="C61" s="36"/>
      <c r="D61" s="36"/>
      <c r="E61" s="38"/>
      <c r="F61" s="37"/>
      <c r="G61" s="36"/>
      <c r="H61" s="36"/>
      <c r="I61" s="36"/>
      <c r="J61" s="33"/>
      <c r="K61" s="34"/>
    </row>
    <row r="62" ht="14.25" customHeight="1" outlineLevel="1">
      <c r="A62" s="28">
        <v>4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52">
        <v>5</v>
      </c>
      <c r="B63" s="53"/>
      <c r="C63" s="53"/>
      <c r="D63" s="53"/>
      <c r="E63" s="54"/>
      <c r="F63" s="55"/>
      <c r="G63" s="53"/>
      <c r="H63" s="53"/>
      <c r="I63" s="53"/>
      <c r="J63" s="56"/>
      <c r="K63" s="57"/>
    </row>
    <row r="64" s="21" customFormat="1" ht="20.25" customHeight="1" outlineLevel="1">
      <c r="A64" s="22"/>
      <c r="B64" s="70" t="s">
        <v>19</v>
      </c>
      <c r="C64" s="24"/>
      <c r="D64" s="25"/>
      <c r="E64" s="26"/>
      <c r="F64" s="70"/>
      <c r="G64" s="70"/>
      <c r="H64" s="70"/>
      <c r="I64" s="23"/>
      <c r="J64" s="23"/>
      <c r="K64" s="27"/>
    </row>
    <row r="65" ht="14.25" customHeight="1" outlineLevel="1">
      <c r="A65" s="46">
        <v>1</v>
      </c>
      <c r="B65" s="36" t="s">
        <v>256</v>
      </c>
      <c r="C65" s="58" t="s">
        <v>257</v>
      </c>
      <c r="D65" s="36" t="s">
        <v>281</v>
      </c>
      <c r="E65" s="277">
        <v>5117</v>
      </c>
      <c r="F65" s="37" t="s">
        <v>281</v>
      </c>
      <c r="G65" s="36"/>
      <c r="H65" s="36" t="s">
        <v>31</v>
      </c>
      <c r="I65" s="47"/>
      <c r="J65" s="50" t="s">
        <v>189</v>
      </c>
      <c r="K65" s="51"/>
    </row>
    <row r="66" ht="14.25" customHeight="1" outlineLevel="1">
      <c r="A66" s="28">
        <v>2</v>
      </c>
      <c r="B66" s="112" t="s">
        <v>190</v>
      </c>
      <c r="C66" s="36" t="s">
        <v>191</v>
      </c>
      <c r="D66" s="36" t="s">
        <v>198</v>
      </c>
      <c r="E66" s="257" t="s">
        <v>223</v>
      </c>
      <c r="F66" s="293" t="s">
        <v>224</v>
      </c>
      <c r="G66" s="112"/>
      <c r="H66" s="112"/>
      <c r="I66" s="112"/>
      <c r="J66" s="33"/>
      <c r="K66" s="34"/>
    </row>
    <row r="67" ht="14.25" customHeight="1" outlineLevel="1">
      <c r="A67" s="319">
        <v>3</v>
      </c>
      <c r="B67" s="79" t="s">
        <v>190</v>
      </c>
      <c r="C67" s="214" t="s">
        <v>191</v>
      </c>
      <c r="D67" s="215" t="s">
        <v>192</v>
      </c>
      <c r="E67" s="257" t="s">
        <v>116</v>
      </c>
      <c r="F67" s="217" t="s">
        <v>193</v>
      </c>
      <c r="G67" s="258"/>
      <c r="H67" s="247"/>
      <c r="I67" s="247" t="s">
        <v>194</v>
      </c>
      <c r="J67" s="82"/>
      <c r="K67" s="34"/>
    </row>
    <row r="68" ht="14.25" customHeight="1" outlineLevel="1">
      <c r="A68" s="285">
        <v>4</v>
      </c>
      <c r="B68" s="213" t="s">
        <v>190</v>
      </c>
      <c r="C68" s="214" t="s">
        <v>191</v>
      </c>
      <c r="D68" s="215" t="s">
        <v>192</v>
      </c>
      <c r="E68" s="257" t="s">
        <v>195</v>
      </c>
      <c r="F68" s="217" t="s">
        <v>196</v>
      </c>
      <c r="G68" s="36"/>
      <c r="H68" s="36"/>
      <c r="I68" s="29" t="s">
        <v>197</v>
      </c>
      <c r="J68" s="56"/>
      <c r="K68" s="57"/>
    </row>
    <row r="69" ht="14.25" customHeight="1" outlineLevel="1">
      <c r="A69" s="295">
        <v>5</v>
      </c>
      <c r="B69" s="53"/>
      <c r="C69" s="53"/>
      <c r="D69" s="53"/>
      <c r="E69" s="54"/>
      <c r="F69" s="55"/>
      <c r="G69" s="53"/>
      <c r="H69" s="53"/>
      <c r="I69" s="53"/>
      <c r="J69" s="320"/>
      <c r="K69" s="321"/>
    </row>
    <row r="70" s="21" customFormat="1" ht="23.25" customHeight="1">
      <c r="A70" s="63" t="s">
        <v>20</v>
      </c>
      <c r="B70" s="64"/>
      <c r="C70" s="64"/>
      <c r="D70" s="65"/>
      <c r="E70" s="66">
        <f>SUM(E9:E69)</f>
        <v>39617</v>
      </c>
      <c r="F70" s="21"/>
      <c r="G70" s="21"/>
      <c r="H70" s="21"/>
      <c r="I70" s="21"/>
      <c r="J70" s="21"/>
      <c r="K70" s="21"/>
    </row>
    <row r="71" s="21" customFormat="1" ht="23.25" customHeight="1">
      <c r="A71" s="63" t="s">
        <v>21</v>
      </c>
      <c r="B71" s="64"/>
      <c r="C71" s="64"/>
      <c r="D71" s="65"/>
      <c r="E71" s="66">
        <f>E4-E70</f>
        <v>3917.6599999999962</v>
      </c>
      <c r="F71" s="67"/>
    </row>
    <row r="72" ht="14.25">
      <c r="E72" s="1"/>
    </row>
    <row r="73" ht="14.25">
      <c r="E73" s="1"/>
    </row>
    <row r="74" ht="14.25">
      <c r="E74" s="1"/>
    </row>
  </sheetData>
  <mergeCells count="6">
    <mergeCell ref="E1:F1"/>
    <mergeCell ref="A4:D4"/>
    <mergeCell ref="A5:D5"/>
    <mergeCell ref="A6:D6"/>
    <mergeCell ref="A70:D70"/>
    <mergeCell ref="A71:D7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4" disablePrompts="0">
        <x14:dataValidation xr:uid="{00E2007D-00EA-47AE-AD8A-00E200080048}" type="list" allowBlank="1" errorStyle="stop" imeMode="noControl" operator="between" showDropDown="0" showErrorMessage="1" showInputMessage="1">
          <x14:formula1>
            <xm:f>ДаНет</xm:f>
          </x14:formula1>
          <xm:sqref>H69 H50:H52 H57 H54 H53 H60:H63</xm:sqref>
        </x14:dataValidation>
        <x14:dataValidation xr:uid="{00FF003B-0015-40F8-989C-007F00E7009F}" type="list" allowBlank="1" errorStyle="stop" imeMode="noControl" operator="between" showDropDown="0" showErrorMessage="1" showInputMessage="1">
          <x14:formula1>
            <xm:f>ДаНет</xm:f>
          </x14:formula1>
          <xm:sqref>H59</xm:sqref>
        </x14:dataValidation>
        <x14:dataValidation xr:uid="{000F009E-0008-42A0-8AFA-00A8003E00CC}" type="list" allowBlank="1" errorStyle="stop" imeMode="noControl" operator="between" showDropDown="0" showErrorMessage="1" showInputMessage="1">
          <x14:formula1>
            <xm:f>ДаНет</xm:f>
          </x14:formula1>
          <xm:sqref>H65</xm:sqref>
        </x14:dataValidation>
        <x14:dataValidation xr:uid="{009C0000-0050-4154-A3A1-007C005200BE}" type="list" allowBlank="1" errorStyle="stop" imeMode="noControl" operator="between" showDropDown="0" showErrorMessage="1" showInputMessage="1">
          <x14:formula1>
            <xm:f>ДаНет</xm:f>
          </x14:formula1>
          <xm:sqref>H48 H49 H56</xm:sqref>
        </x14:dataValidation>
        <x14:dataValidation xr:uid="{006C00E8-00D1-46CD-9F9E-005300E30058}" type="list" allowBlank="1" errorStyle="stop" imeMode="noControl" operator="between" showDropDown="0" showErrorMessage="1" showInputMessage="1">
          <x14:formula1>
            <xm:f>ДаНет</xm:f>
          </x14:formula1>
          <xm:sqref>H55</xm:sqref>
        </x14:dataValidation>
        <x14:dataValidation xr:uid="{004900AF-0036-4F7D-81E4-00FA006800B8}" type="list" allowBlank="1" errorStyle="stop" imeMode="noControl" operator="between" showDropDown="0" showErrorMessage="1" showInputMessage="1">
          <x14:formula1>
            <xm:f>ДаНет</xm:f>
          </x14:formula1>
          <xm:sqref>H45:H46</xm:sqref>
        </x14:dataValidation>
        <x14:dataValidation xr:uid="{001E0024-0098-4460-9289-00F900580074}" type="list" allowBlank="1" errorStyle="stop" imeMode="noControl" operator="between" showDropDown="0" showErrorMessage="1" showInputMessage="1">
          <x14:formula1>
            <xm:f>ДаНет</xm:f>
          </x14:formula1>
          <xm:sqref>H24</xm:sqref>
        </x14:dataValidation>
        <x14:dataValidation xr:uid="{004800DB-0044-44F0-823A-004300A000EA}" type="list" allowBlank="1" errorStyle="stop" imeMode="noControl" operator="between" showDropDown="0" showErrorMessage="1" showInputMessage="1">
          <x14:formula1>
            <xm:f>ДаНет</xm:f>
          </x14:formula1>
          <xm:sqref>H34 H30</xm:sqref>
        </x14:dataValidation>
        <x14:dataValidation xr:uid="{00B80060-0036-4B00-A1FA-004E002F0027}" type="list" allowBlank="1" errorStyle="stop" imeMode="noControl" operator="between" showDropDown="0" showErrorMessage="1" showInputMessage="1">
          <x14:formula1>
            <xm:f>ДаНет</xm:f>
          </x14:formula1>
          <xm:sqref>H32</xm:sqref>
        </x14:dataValidation>
        <x14:dataValidation xr:uid="{00040064-0018-4190-A745-0068005A009E}" type="list" allowBlank="1" errorStyle="stop" imeMode="noControl" operator="between" showDropDown="0" showErrorMessage="1" showInputMessage="1">
          <x14:formula1>
            <xm:f>ДаНет</xm:f>
          </x14:formula1>
          <xm:sqref>H35</xm:sqref>
        </x14:dataValidation>
        <x14:dataValidation xr:uid="{00E000EE-003D-4CF6-BBBD-0019005E0070}" type="list" allowBlank="1" errorStyle="stop" imeMode="noControl" operator="between" showDropDown="0" showErrorMessage="1" showInputMessage="1">
          <x14:formula1>
            <xm:f>ДаНет</xm:f>
          </x14:formula1>
          <xm:sqref>H43</xm:sqref>
        </x14:dataValidation>
        <x14:dataValidation xr:uid="{009C0015-00FB-4875-8427-001F003100DD}" type="list" allowBlank="1" errorStyle="stop" imeMode="noControl" operator="between" showDropDown="0" showErrorMessage="1" showInputMessage="1">
          <x14:formula1>
            <xm:f>ДаНет</xm:f>
          </x14:formula1>
          <xm:sqref>H47</xm:sqref>
        </x14:dataValidation>
        <x14:dataValidation xr:uid="{003800E2-00F0-4E99-B9DD-00900063002A}" type="list" allowBlank="1" errorStyle="stop" imeMode="noControl" operator="between" showDropDown="0" showErrorMessage="1" showInputMessage="1">
          <x14:formula1>
            <xm:f>ДаНет</xm:f>
          </x14:formula1>
          <xm:sqref>H66</xm:sqref>
        </x14:dataValidation>
        <x14:dataValidation xr:uid="{00D200E0-00B8-4E62-9FF8-0053004A004B}" type="list" allowBlank="1" errorStyle="stop" imeMode="noControl" operator="between" showDropDown="0" showErrorMessage="1" showInputMessage="1">
          <x14:formula1>
            <xm:f>ДаНет</xm:f>
          </x14:formula1>
          <xm:sqref>H68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0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'19'!C2+1</f>
        <v>46101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1013342.16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1011661.52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1680.6400000000001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1013342.16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300EC-0090-4836-9FE1-00A200F90016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1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'20'!C2+1</f>
        <v>46102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100D4-00F5-4C07-A8D6-00E0000C00C2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2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'21'!C2+1</f>
        <v>46103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00029-003D-4655-8F94-005B00640058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3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'22'!C2+1</f>
        <v>46104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1060168.1599999999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1049561.52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10606.639999999999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1060168.1599999999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B00BC-005B-4A35-A660-007B007D0087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4">
    <outlinePr applyStyles="0" summaryBelow="1" summaryRight="1" showOutlineSymbols="1"/>
    <pageSetUpPr autoPageBreaks="1" fitToPage="0"/>
  </sheetPr>
  <sheetViews>
    <sheetView showGridLines="0" showRuler="1" topLeftCell="A49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'23'!C2+1</f>
        <v>46105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1098278.1599999999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1087671.52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10606.639999999999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16.5" customHeight="1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54" si="4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4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4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4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4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4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4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4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4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4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4"/>
        <v>12</v>
      </c>
      <c r="B21" s="94" t="s">
        <v>25</v>
      </c>
      <c r="C21" s="90" t="s">
        <v>63</v>
      </c>
      <c r="D21" s="95" t="s">
        <v>68</v>
      </c>
      <c r="E21" s="92" t="s">
        <v>69</v>
      </c>
      <c r="F21" s="91" t="s">
        <v>70</v>
      </c>
      <c r="G21" s="84" t="s">
        <v>30</v>
      </c>
      <c r="H21" s="93" t="s">
        <v>31</v>
      </c>
      <c r="I21" s="89" t="s">
        <v>71</v>
      </c>
      <c r="J21" s="82"/>
      <c r="K21" s="34"/>
      <c r="L21" s="1"/>
    </row>
    <row r="22" ht="14.25" customHeight="1" outlineLevel="1">
      <c r="A22" s="28">
        <f t="shared" si="4"/>
        <v>13</v>
      </c>
      <c r="B22" s="97" t="s">
        <v>72</v>
      </c>
      <c r="C22" s="90" t="s">
        <v>63</v>
      </c>
      <c r="D22" s="98" t="s">
        <v>73</v>
      </c>
      <c r="E22" s="99" t="s">
        <v>74</v>
      </c>
      <c r="F22" s="98" t="s">
        <v>75</v>
      </c>
      <c r="G22" s="84" t="s">
        <v>30</v>
      </c>
      <c r="H22" s="100" t="s">
        <v>31</v>
      </c>
      <c r="I22" s="101" t="s">
        <v>76</v>
      </c>
      <c r="J22" s="82"/>
      <c r="K22" s="34"/>
      <c r="L22" s="1"/>
    </row>
    <row r="23" ht="14.25" customHeight="1" outlineLevel="1">
      <c r="A23" s="28">
        <f t="shared" si="4"/>
        <v>14</v>
      </c>
      <c r="B23" s="97" t="s">
        <v>72</v>
      </c>
      <c r="C23" s="102" t="s">
        <v>63</v>
      </c>
      <c r="D23" s="103" t="s">
        <v>77</v>
      </c>
      <c r="E23" s="104" t="s">
        <v>78</v>
      </c>
      <c r="F23" s="105" t="s">
        <v>79</v>
      </c>
      <c r="G23" s="106" t="s">
        <v>30</v>
      </c>
      <c r="H23" s="100" t="s">
        <v>31</v>
      </c>
      <c r="I23" s="108" t="s">
        <v>80</v>
      </c>
      <c r="J23" s="33"/>
      <c r="K23" s="34"/>
      <c r="L23" s="1"/>
    </row>
    <row r="24" ht="14.25" customHeight="1" outlineLevel="1">
      <c r="A24" s="28">
        <f t="shared" si="4"/>
        <v>15</v>
      </c>
      <c r="B24" s="32" t="s">
        <v>72</v>
      </c>
      <c r="C24" s="39" t="s">
        <v>63</v>
      </c>
      <c r="D24" s="39" t="s">
        <v>81</v>
      </c>
      <c r="E24" s="198" t="s">
        <v>82</v>
      </c>
      <c r="F24" s="39" t="s">
        <v>83</v>
      </c>
      <c r="G24" s="111"/>
      <c r="H24" s="100" t="s">
        <v>31</v>
      </c>
      <c r="I24" s="32" t="s">
        <v>84</v>
      </c>
      <c r="J24" s="33"/>
      <c r="K24" s="34"/>
      <c r="L24" s="1"/>
    </row>
    <row r="25" ht="14.25" customHeight="1" outlineLevel="1">
      <c r="A25" s="28">
        <f t="shared" si="4"/>
        <v>16</v>
      </c>
      <c r="B25" s="298" t="s">
        <v>25</v>
      </c>
      <c r="C25" s="121" t="s">
        <v>91</v>
      </c>
      <c r="D25" s="122" t="s">
        <v>92</v>
      </c>
      <c r="E25" s="123" t="s">
        <v>93</v>
      </c>
      <c r="F25" s="124" t="s">
        <v>94</v>
      </c>
      <c r="G25" s="125" t="s">
        <v>30</v>
      </c>
      <c r="H25" s="100" t="s">
        <v>31</v>
      </c>
      <c r="I25" s="120" t="s">
        <v>95</v>
      </c>
      <c r="J25" s="33"/>
      <c r="K25" s="34"/>
      <c r="L25" s="1"/>
    </row>
    <row r="26" ht="14.25" customHeight="1" outlineLevel="1">
      <c r="A26" s="74">
        <f t="shared" si="4"/>
        <v>17</v>
      </c>
      <c r="B26" s="152" t="s">
        <v>25</v>
      </c>
      <c r="C26" s="137" t="s">
        <v>91</v>
      </c>
      <c r="D26" s="129" t="s">
        <v>97</v>
      </c>
      <c r="E26" s="130" t="s">
        <v>98</v>
      </c>
      <c r="F26" s="131" t="s">
        <v>99</v>
      </c>
      <c r="G26" s="125" t="s">
        <v>30</v>
      </c>
      <c r="H26" s="100" t="s">
        <v>31</v>
      </c>
      <c r="I26" s="133" t="s">
        <v>100</v>
      </c>
      <c r="J26" s="33"/>
      <c r="K26" s="34"/>
      <c r="L26" s="1"/>
    </row>
    <row r="27" ht="14.25" customHeight="1" outlineLevel="1">
      <c r="A27" s="28">
        <f t="shared" si="4"/>
        <v>18</v>
      </c>
      <c r="B27" s="127" t="s">
        <v>72</v>
      </c>
      <c r="C27" s="128" t="s">
        <v>101</v>
      </c>
      <c r="D27" s="129" t="s">
        <v>102</v>
      </c>
      <c r="E27" s="130" t="s">
        <v>103</v>
      </c>
      <c r="F27" s="131" t="s">
        <v>104</v>
      </c>
      <c r="G27" s="125" t="s">
        <v>30</v>
      </c>
      <c r="H27" s="100" t="s">
        <v>31</v>
      </c>
      <c r="I27" s="133" t="s">
        <v>105</v>
      </c>
      <c r="J27" s="33"/>
      <c r="K27" s="34"/>
      <c r="L27" s="1"/>
    </row>
    <row r="28" ht="14.25" customHeight="1" outlineLevel="1">
      <c r="A28" s="28">
        <f t="shared" si="4"/>
        <v>19</v>
      </c>
      <c r="B28" s="134" t="s">
        <v>72</v>
      </c>
      <c r="C28" s="128" t="s">
        <v>101</v>
      </c>
      <c r="D28" s="129" t="s">
        <v>106</v>
      </c>
      <c r="E28" s="130" t="s">
        <v>107</v>
      </c>
      <c r="F28" s="135" t="s">
        <v>104</v>
      </c>
      <c r="G28" s="125" t="s">
        <v>30</v>
      </c>
      <c r="H28" s="100" t="s">
        <v>31</v>
      </c>
      <c r="I28" s="133" t="s">
        <v>108</v>
      </c>
      <c r="J28" s="33"/>
      <c r="K28" s="34"/>
      <c r="L28" s="1"/>
    </row>
    <row r="29" ht="14.25" customHeight="1" outlineLevel="1">
      <c r="A29" s="74">
        <f t="shared" si="4"/>
        <v>20</v>
      </c>
      <c r="B29" s="136" t="s">
        <v>72</v>
      </c>
      <c r="C29" s="137" t="s">
        <v>101</v>
      </c>
      <c r="D29" s="129" t="s">
        <v>109</v>
      </c>
      <c r="E29" s="130" t="s">
        <v>107</v>
      </c>
      <c r="F29" s="135" t="s">
        <v>104</v>
      </c>
      <c r="G29" s="125" t="s">
        <v>30</v>
      </c>
      <c r="H29" s="100" t="s">
        <v>31</v>
      </c>
      <c r="I29" s="133" t="s">
        <v>110</v>
      </c>
      <c r="J29" s="33"/>
      <c r="K29" s="34"/>
      <c r="L29" s="1"/>
    </row>
    <row r="30" ht="14.25" customHeight="1" outlineLevel="1">
      <c r="A30" s="74">
        <f t="shared" si="4"/>
        <v>21</v>
      </c>
      <c r="B30" s="138" t="s">
        <v>72</v>
      </c>
      <c r="C30" s="139" t="s">
        <v>101</v>
      </c>
      <c r="D30" s="140" t="s">
        <v>111</v>
      </c>
      <c r="E30" s="141" t="s">
        <v>112</v>
      </c>
      <c r="F30" s="135" t="s">
        <v>104</v>
      </c>
      <c r="G30" s="125" t="s">
        <v>30</v>
      </c>
      <c r="H30" s="100" t="s">
        <v>31</v>
      </c>
      <c r="I30" s="133" t="s">
        <v>110</v>
      </c>
      <c r="J30" s="33"/>
      <c r="K30" s="34"/>
      <c r="L30" s="1"/>
    </row>
    <row r="31" ht="14.25" customHeight="1" outlineLevel="1">
      <c r="A31" s="28">
        <f t="shared" si="4"/>
        <v>22</v>
      </c>
      <c r="B31" s="143" t="s">
        <v>113</v>
      </c>
      <c r="C31" s="144" t="s">
        <v>114</v>
      </c>
      <c r="D31" s="145" t="s">
        <v>115</v>
      </c>
      <c r="E31" s="146" t="s">
        <v>116</v>
      </c>
      <c r="F31" s="147" t="s">
        <v>117</v>
      </c>
      <c r="G31" s="125" t="s">
        <v>30</v>
      </c>
      <c r="H31" s="100" t="s">
        <v>31</v>
      </c>
      <c r="I31" s="149" t="s">
        <v>118</v>
      </c>
      <c r="J31" s="33"/>
      <c r="K31" s="34"/>
      <c r="L31" s="1"/>
    </row>
    <row r="32" ht="14.25" customHeight="1" outlineLevel="1">
      <c r="A32" s="74">
        <f t="shared" si="4"/>
        <v>23</v>
      </c>
      <c r="B32" s="150" t="s">
        <v>72</v>
      </c>
      <c r="C32" s="150" t="s">
        <v>119</v>
      </c>
      <c r="D32" s="91" t="s">
        <v>120</v>
      </c>
      <c r="E32" s="92" t="s">
        <v>121</v>
      </c>
      <c r="F32" s="91" t="s">
        <v>122</v>
      </c>
      <c r="G32" s="84" t="s">
        <v>30</v>
      </c>
      <c r="H32" s="100" t="s">
        <v>31</v>
      </c>
      <c r="I32" s="88" t="s">
        <v>123</v>
      </c>
      <c r="J32" s="82"/>
      <c r="K32" s="34"/>
      <c r="L32" s="1"/>
    </row>
    <row r="33" ht="14.25" customHeight="1" outlineLevel="1">
      <c r="A33" s="74">
        <f t="shared" si="4"/>
        <v>24</v>
      </c>
      <c r="B33" s="152" t="s">
        <v>72</v>
      </c>
      <c r="C33" s="152" t="s">
        <v>114</v>
      </c>
      <c r="D33" s="98" t="s">
        <v>124</v>
      </c>
      <c r="E33" s="99" t="s">
        <v>125</v>
      </c>
      <c r="F33" s="98" t="s">
        <v>122</v>
      </c>
      <c r="G33" s="84" t="s">
        <v>30</v>
      </c>
      <c r="H33" s="100" t="s">
        <v>31</v>
      </c>
      <c r="I33" s="154" t="s">
        <v>126</v>
      </c>
      <c r="J33" s="82"/>
      <c r="K33" s="34"/>
      <c r="L33" s="1"/>
    </row>
    <row r="34" ht="14.25" customHeight="1" outlineLevel="1">
      <c r="A34" s="28">
        <f t="shared" si="4"/>
        <v>25</v>
      </c>
      <c r="B34" s="155" t="s">
        <v>113</v>
      </c>
      <c r="C34" s="156" t="s">
        <v>114</v>
      </c>
      <c r="D34" s="103" t="s">
        <v>127</v>
      </c>
      <c r="E34" s="157" t="s">
        <v>116</v>
      </c>
      <c r="F34" s="158" t="s">
        <v>128</v>
      </c>
      <c r="G34" s="125" t="s">
        <v>30</v>
      </c>
      <c r="H34" s="100" t="s">
        <v>31</v>
      </c>
      <c r="I34" s="160"/>
      <c r="J34" s="33"/>
      <c r="K34" s="34"/>
      <c r="L34" s="1"/>
    </row>
    <row r="35" ht="14.25" customHeight="1" outlineLevel="1">
      <c r="A35" s="74">
        <f t="shared" si="4"/>
        <v>26</v>
      </c>
      <c r="B35" s="81" t="s">
        <v>113</v>
      </c>
      <c r="C35" s="162" t="s">
        <v>114</v>
      </c>
      <c r="D35" s="103" t="s">
        <v>129</v>
      </c>
      <c r="E35" s="163" t="s">
        <v>130</v>
      </c>
      <c r="F35" s="158" t="s">
        <v>128</v>
      </c>
      <c r="G35" s="125" t="s">
        <v>30</v>
      </c>
      <c r="H35" s="100" t="s">
        <v>31</v>
      </c>
      <c r="I35" s="160" t="s">
        <v>17</v>
      </c>
      <c r="J35" s="33"/>
      <c r="K35" s="34"/>
      <c r="L35" s="1"/>
    </row>
    <row r="36" ht="14.25" customHeight="1" outlineLevel="1">
      <c r="A36" s="74">
        <f t="shared" si="4"/>
        <v>27</v>
      </c>
      <c r="B36" s="150" t="s">
        <v>25</v>
      </c>
      <c r="C36" s="137" t="s">
        <v>131</v>
      </c>
      <c r="D36" s="129" t="s">
        <v>132</v>
      </c>
      <c r="E36" s="130" t="s">
        <v>133</v>
      </c>
      <c r="F36" s="131" t="s">
        <v>134</v>
      </c>
      <c r="G36" s="125" t="s">
        <v>30</v>
      </c>
      <c r="H36" s="100" t="s">
        <v>31</v>
      </c>
      <c r="I36" s="133" t="s">
        <v>135</v>
      </c>
      <c r="J36" s="33"/>
      <c r="K36" s="34"/>
      <c r="L36" s="1"/>
    </row>
    <row r="37" ht="14.25" customHeight="1" outlineLevel="1">
      <c r="A37" s="74">
        <f t="shared" si="4"/>
        <v>28</v>
      </c>
      <c r="B37" s="150" t="s">
        <v>25</v>
      </c>
      <c r="C37" s="264" t="s">
        <v>136</v>
      </c>
      <c r="D37" s="126" t="s">
        <v>137</v>
      </c>
      <c r="E37" s="123" t="s">
        <v>138</v>
      </c>
      <c r="F37" s="124" t="s">
        <v>139</v>
      </c>
      <c r="G37" s="125" t="s">
        <v>30</v>
      </c>
      <c r="H37" s="100" t="s">
        <v>31</v>
      </c>
      <c r="I37" s="126" t="s">
        <v>140</v>
      </c>
      <c r="J37" s="33"/>
      <c r="K37" s="34"/>
      <c r="L37" s="1"/>
    </row>
    <row r="38" ht="14.25" customHeight="1" outlineLevel="1">
      <c r="A38" s="74">
        <f t="shared" si="4"/>
        <v>29</v>
      </c>
      <c r="B38" s="152" t="s">
        <v>25</v>
      </c>
      <c r="C38" s="265" t="s">
        <v>141</v>
      </c>
      <c r="D38" s="165" t="s">
        <v>142</v>
      </c>
      <c r="E38" s="123" t="s">
        <v>143</v>
      </c>
      <c r="F38" s="131" t="s">
        <v>144</v>
      </c>
      <c r="G38" s="125" t="s">
        <v>30</v>
      </c>
      <c r="H38" s="100" t="s">
        <v>31</v>
      </c>
      <c r="I38" s="133" t="s">
        <v>145</v>
      </c>
      <c r="J38" s="33"/>
      <c r="K38" s="34"/>
      <c r="L38" s="1"/>
    </row>
    <row r="39" ht="14.25" customHeight="1" outlineLevel="1">
      <c r="A39" s="28">
        <f t="shared" si="4"/>
        <v>30</v>
      </c>
      <c r="B39" s="166" t="s">
        <v>113</v>
      </c>
      <c r="C39" s="167" t="s">
        <v>146</v>
      </c>
      <c r="D39" s="140" t="s">
        <v>147</v>
      </c>
      <c r="E39" s="168" t="s">
        <v>148</v>
      </c>
      <c r="F39" s="169" t="s">
        <v>149</v>
      </c>
      <c r="G39" s="125" t="s">
        <v>30</v>
      </c>
      <c r="H39" s="100" t="s">
        <v>31</v>
      </c>
      <c r="I39" s="170" t="s">
        <v>150</v>
      </c>
      <c r="J39" s="33"/>
      <c r="K39" s="34"/>
      <c r="L39" s="1"/>
    </row>
    <row r="40" ht="14.25" customHeight="1" outlineLevel="1">
      <c r="A40" s="28">
        <f t="shared" si="4"/>
        <v>31</v>
      </c>
      <c r="B40" s="134" t="s">
        <v>151</v>
      </c>
      <c r="C40" s="144" t="s">
        <v>152</v>
      </c>
      <c r="D40" s="145" t="s">
        <v>153</v>
      </c>
      <c r="E40" s="171" t="s">
        <v>154</v>
      </c>
      <c r="F40" s="131" t="s">
        <v>155</v>
      </c>
      <c r="G40" s="125" t="s">
        <v>30</v>
      </c>
      <c r="H40" s="100" t="s">
        <v>31</v>
      </c>
      <c r="I40" s="120" t="s">
        <v>156</v>
      </c>
      <c r="J40" s="33"/>
      <c r="K40" s="34"/>
      <c r="L40" s="1"/>
    </row>
    <row r="41" ht="14.25" customHeight="1" outlineLevel="1">
      <c r="A41" s="74">
        <f t="shared" si="4"/>
        <v>32</v>
      </c>
      <c r="B41" s="138" t="s">
        <v>72</v>
      </c>
      <c r="C41" s="150" t="s">
        <v>157</v>
      </c>
      <c r="D41" s="91" t="s">
        <v>158</v>
      </c>
      <c r="E41" s="173" t="s">
        <v>159</v>
      </c>
      <c r="F41" s="174" t="s">
        <v>160</v>
      </c>
      <c r="G41" s="125" t="s">
        <v>30</v>
      </c>
      <c r="H41" s="100" t="s">
        <v>31</v>
      </c>
      <c r="I41" s="176" t="s">
        <v>161</v>
      </c>
      <c r="J41" s="177"/>
      <c r="K41" s="228"/>
      <c r="L41" s="1"/>
    </row>
    <row r="42" ht="14.25" customHeight="1" outlineLevel="1">
      <c r="A42" s="74">
        <f t="shared" si="4"/>
        <v>33</v>
      </c>
      <c r="B42" s="172" t="s">
        <v>72</v>
      </c>
      <c r="C42" s="229" t="s">
        <v>162</v>
      </c>
      <c r="D42" s="230" t="s">
        <v>163</v>
      </c>
      <c r="E42" s="231" t="s">
        <v>164</v>
      </c>
      <c r="F42" s="230" t="s">
        <v>165</v>
      </c>
      <c r="G42" s="232" t="s">
        <v>30</v>
      </c>
      <c r="H42" s="100" t="s">
        <v>31</v>
      </c>
      <c r="I42" s="234" t="s">
        <v>166</v>
      </c>
      <c r="J42" s="235"/>
      <c r="K42" s="235"/>
      <c r="L42" s="1"/>
    </row>
    <row r="43" ht="14.25" customHeight="1" outlineLevel="1">
      <c r="A43" s="28">
        <f t="shared" si="4"/>
        <v>34</v>
      </c>
      <c r="B43" s="237" t="s">
        <v>72</v>
      </c>
      <c r="C43" s="237" t="s">
        <v>167</v>
      </c>
      <c r="D43" s="238" t="s">
        <v>168</v>
      </c>
      <c r="E43" s="190" t="s">
        <v>169</v>
      </c>
      <c r="F43" s="238" t="s">
        <v>170</v>
      </c>
      <c r="G43" s="111"/>
      <c r="H43" s="100" t="s">
        <v>31</v>
      </c>
      <c r="I43" s="111"/>
      <c r="J43" s="177"/>
      <c r="K43" s="34"/>
      <c r="L43" s="1"/>
    </row>
    <row r="44" ht="14.25" customHeight="1" outlineLevel="1">
      <c r="A44" s="74">
        <f t="shared" si="4"/>
        <v>35</v>
      </c>
      <c r="B44" s="152" t="s">
        <v>25</v>
      </c>
      <c r="C44" s="152" t="s">
        <v>171</v>
      </c>
      <c r="D44" s="239" t="s">
        <v>172</v>
      </c>
      <c r="E44" s="240" t="s">
        <v>173</v>
      </c>
      <c r="F44" s="195" t="s">
        <v>174</v>
      </c>
      <c r="G44" s="84" t="s">
        <v>30</v>
      </c>
      <c r="H44" s="100" t="s">
        <v>31</v>
      </c>
      <c r="I44" s="196" t="s">
        <v>175</v>
      </c>
      <c r="J44" s="187"/>
      <c r="K44" s="197"/>
      <c r="L44" s="1"/>
    </row>
    <row r="45" ht="14.25" customHeight="1" outlineLevel="1">
      <c r="A45" s="28">
        <f t="shared" si="4"/>
        <v>36</v>
      </c>
      <c r="B45" s="36" t="s">
        <v>72</v>
      </c>
      <c r="C45" s="36" t="s">
        <v>176</v>
      </c>
      <c r="D45" s="36" t="s">
        <v>177</v>
      </c>
      <c r="E45" s="198" t="s">
        <v>178</v>
      </c>
      <c r="F45" s="37" t="s">
        <v>179</v>
      </c>
      <c r="G45" s="199"/>
      <c r="H45" s="100" t="s">
        <v>31</v>
      </c>
      <c r="I45" s="32" t="s">
        <v>180</v>
      </c>
      <c r="J45" s="200"/>
      <c r="K45" s="34"/>
      <c r="L45" s="1"/>
    </row>
    <row r="46" ht="14.25" customHeight="1" outlineLevel="1">
      <c r="A46" s="28">
        <f t="shared" si="4"/>
        <v>37</v>
      </c>
      <c r="B46" s="36" t="s">
        <v>72</v>
      </c>
      <c r="C46" s="37" t="s">
        <v>181</v>
      </c>
      <c r="D46" s="37" t="s">
        <v>182</v>
      </c>
      <c r="E46" s="198" t="s">
        <v>183</v>
      </c>
      <c r="F46" s="37" t="s">
        <v>184</v>
      </c>
      <c r="G46" s="36"/>
      <c r="H46" s="100" t="s">
        <v>31</v>
      </c>
      <c r="I46" s="32" t="s">
        <v>185</v>
      </c>
      <c r="J46" s="33"/>
      <c r="K46" s="34"/>
      <c r="L46" s="1"/>
    </row>
    <row r="47" ht="14.25" customHeight="1" outlineLevel="1">
      <c r="A47" s="28">
        <f t="shared" si="4"/>
        <v>38</v>
      </c>
      <c r="B47" s="29" t="s">
        <v>72</v>
      </c>
      <c r="C47" s="30" t="s">
        <v>114</v>
      </c>
      <c r="D47" s="30" t="s">
        <v>225</v>
      </c>
      <c r="E47" s="190" t="s">
        <v>226</v>
      </c>
      <c r="F47" s="30" t="s">
        <v>227</v>
      </c>
      <c r="G47" s="32"/>
      <c r="H47" s="100" t="s">
        <v>31</v>
      </c>
      <c r="I47" s="32" t="s">
        <v>228</v>
      </c>
      <c r="J47" s="33"/>
      <c r="K47" s="34"/>
      <c r="L47" s="1"/>
    </row>
    <row r="48" ht="14.25" customHeight="1" outlineLevel="1">
      <c r="A48" s="28">
        <f t="shared" si="4"/>
        <v>39</v>
      </c>
      <c r="B48" s="300" t="s">
        <v>72</v>
      </c>
      <c r="C48" s="302" t="s">
        <v>238</v>
      </c>
      <c r="D48" s="302" t="s">
        <v>239</v>
      </c>
      <c r="E48" s="301" t="s">
        <v>240</v>
      </c>
      <c r="F48" s="302" t="s">
        <v>241</v>
      </c>
      <c r="G48" s="300"/>
      <c r="H48" s="100" t="s">
        <v>31</v>
      </c>
      <c r="I48" s="36" t="s">
        <v>242</v>
      </c>
      <c r="J48" s="218"/>
      <c r="K48" s="219"/>
      <c r="L48" s="2"/>
    </row>
    <row r="49" ht="14.25" customHeight="1" outlineLevel="1">
      <c r="A49" s="28">
        <f t="shared" si="4"/>
        <v>40</v>
      </c>
      <c r="B49" s="40" t="s">
        <v>248</v>
      </c>
      <c r="C49" s="40" t="s">
        <v>249</v>
      </c>
      <c r="D49" s="268" t="s">
        <v>250</v>
      </c>
      <c r="E49" s="269" t="s">
        <v>251</v>
      </c>
      <c r="F49" s="41" t="s">
        <v>252</v>
      </c>
      <c r="G49" s="32"/>
      <c r="H49" s="100" t="s">
        <v>31</v>
      </c>
      <c r="I49" s="32" t="s">
        <v>247</v>
      </c>
      <c r="J49" s="33"/>
      <c r="K49" s="34"/>
      <c r="L49" s="1"/>
    </row>
    <row r="50" outlineLevel="1">
      <c r="A50" s="28">
        <f t="shared" si="4"/>
        <v>41</v>
      </c>
      <c r="B50" s="307" t="s">
        <v>72</v>
      </c>
      <c r="C50" s="322" t="s">
        <v>85</v>
      </c>
      <c r="D50" s="322" t="s">
        <v>259</v>
      </c>
      <c r="E50" s="323" t="s">
        <v>260</v>
      </c>
      <c r="F50" s="322" t="s">
        <v>261</v>
      </c>
      <c r="G50" s="307"/>
      <c r="H50" s="36" t="s">
        <v>31</v>
      </c>
      <c r="I50" s="32" t="s">
        <v>262</v>
      </c>
      <c r="J50" s="33"/>
      <c r="K50" s="34"/>
      <c r="L50" s="1"/>
    </row>
    <row r="51" ht="14.25" customHeight="1" outlineLevel="1">
      <c r="A51" s="28">
        <f t="shared" si="4"/>
        <v>42</v>
      </c>
      <c r="B51" s="303" t="s">
        <v>72</v>
      </c>
      <c r="C51" s="303" t="s">
        <v>85</v>
      </c>
      <c r="D51" s="306" t="s">
        <v>263</v>
      </c>
      <c r="E51" s="324">
        <v>196745</v>
      </c>
      <c r="F51" s="306" t="s">
        <v>265</v>
      </c>
      <c r="G51" s="307"/>
      <c r="H51" s="36" t="s">
        <v>31</v>
      </c>
      <c r="I51" s="32" t="s">
        <v>262</v>
      </c>
      <c r="J51" s="33"/>
      <c r="K51" s="34"/>
      <c r="L51" s="1"/>
    </row>
    <row r="52" ht="14.25" customHeight="1" outlineLevel="1">
      <c r="A52" s="28">
        <f t="shared" si="4"/>
        <v>43</v>
      </c>
      <c r="B52" s="40" t="s">
        <v>72</v>
      </c>
      <c r="C52" s="41" t="s">
        <v>85</v>
      </c>
      <c r="D52" s="41" t="s">
        <v>266</v>
      </c>
      <c r="E52" s="269" t="s">
        <v>267</v>
      </c>
      <c r="F52" s="41" t="s">
        <v>261</v>
      </c>
      <c r="G52" s="32"/>
      <c r="H52" s="36" t="s">
        <v>31</v>
      </c>
      <c r="I52" s="32" t="s">
        <v>262</v>
      </c>
      <c r="J52" s="33"/>
      <c r="K52" s="34"/>
      <c r="L52" s="1"/>
    </row>
    <row r="53" ht="14.25" customHeight="1" outlineLevel="1">
      <c r="A53" s="28">
        <f t="shared" si="4"/>
        <v>44</v>
      </c>
      <c r="B53" s="36" t="s">
        <v>72</v>
      </c>
      <c r="C53" s="37" t="s">
        <v>85</v>
      </c>
      <c r="D53" s="37" t="s">
        <v>268</v>
      </c>
      <c r="E53" s="325">
        <v>77175</v>
      </c>
      <c r="F53" s="37" t="s">
        <v>270</v>
      </c>
      <c r="G53" s="36"/>
      <c r="H53" s="36" t="s">
        <v>31</v>
      </c>
      <c r="I53" s="32" t="s">
        <v>271</v>
      </c>
      <c r="J53" s="33"/>
      <c r="K53" s="34"/>
      <c r="L53" s="1"/>
    </row>
    <row r="54" ht="14.25" customHeight="1" outlineLevel="1">
      <c r="A54" s="28">
        <f t="shared" si="4"/>
        <v>45</v>
      </c>
      <c r="B54" s="36" t="s">
        <v>272</v>
      </c>
      <c r="C54" s="37" t="s">
        <v>243</v>
      </c>
      <c r="D54" s="37" t="s">
        <v>273</v>
      </c>
      <c r="E54" s="325">
        <v>40482</v>
      </c>
      <c r="F54" s="37" t="s">
        <v>246</v>
      </c>
      <c r="G54" s="36"/>
      <c r="H54" s="36" t="s">
        <v>31</v>
      </c>
      <c r="I54" s="32" t="s">
        <v>275</v>
      </c>
      <c r="J54" s="33"/>
      <c r="K54" s="34"/>
      <c r="L54" s="1"/>
    </row>
    <row r="55" ht="14.25" customHeight="1" outlineLevel="1">
      <c r="A55" s="28">
        <v>46</v>
      </c>
      <c r="B55" s="44" t="s">
        <v>72</v>
      </c>
      <c r="C55" s="45" t="s">
        <v>282</v>
      </c>
      <c r="D55" s="45" t="s">
        <v>283</v>
      </c>
      <c r="E55" s="269" t="s">
        <v>130</v>
      </c>
      <c r="F55" s="268" t="s">
        <v>284</v>
      </c>
      <c r="G55" s="32"/>
      <c r="H55" s="36"/>
      <c r="I55" s="32" t="s">
        <v>285</v>
      </c>
      <c r="J55" s="33"/>
      <c r="K55" s="34"/>
    </row>
    <row r="56" ht="14.25" customHeight="1" outlineLevel="1">
      <c r="A56" s="28">
        <v>47</v>
      </c>
      <c r="B56" s="44" t="s">
        <v>72</v>
      </c>
      <c r="C56" s="45" t="s">
        <v>286</v>
      </c>
      <c r="D56" s="45" t="s">
        <v>287</v>
      </c>
      <c r="E56" s="269" t="s">
        <v>288</v>
      </c>
      <c r="F56" s="45" t="s">
        <v>289</v>
      </c>
      <c r="G56" s="32"/>
      <c r="H56" s="36"/>
      <c r="I56" s="32" t="s">
        <v>290</v>
      </c>
      <c r="J56" s="33"/>
      <c r="K56" s="34"/>
    </row>
    <row r="57" ht="14.25" customHeight="1" outlineLevel="1">
      <c r="A57" s="28">
        <v>48</v>
      </c>
      <c r="B57" s="36" t="s">
        <v>72</v>
      </c>
      <c r="C57" s="37" t="s">
        <v>181</v>
      </c>
      <c r="D57" s="37" t="s">
        <v>291</v>
      </c>
      <c r="E57" s="198" t="s">
        <v>292</v>
      </c>
      <c r="F57" s="37" t="s">
        <v>293</v>
      </c>
      <c r="G57" s="36"/>
      <c r="H57" s="36"/>
      <c r="I57" s="32" t="s">
        <v>294</v>
      </c>
      <c r="J57" s="33"/>
      <c r="K57" s="34"/>
    </row>
    <row r="58" ht="14.25" customHeight="1" outlineLevel="1">
      <c r="A58" s="28">
        <v>49</v>
      </c>
      <c r="B58" s="36" t="s">
        <v>72</v>
      </c>
      <c r="C58" s="37" t="s">
        <v>146</v>
      </c>
      <c r="D58" s="37" t="s">
        <v>295</v>
      </c>
      <c r="E58" s="198" t="s">
        <v>296</v>
      </c>
      <c r="F58" s="37" t="s">
        <v>297</v>
      </c>
      <c r="G58" s="36"/>
      <c r="H58" s="36"/>
      <c r="I58" s="32" t="s">
        <v>298</v>
      </c>
      <c r="J58" s="33"/>
      <c r="K58" s="34"/>
    </row>
    <row r="59" ht="14.25" customHeight="1" outlineLevel="1">
      <c r="A59" s="28">
        <v>50</v>
      </c>
      <c r="B59" s="36" t="s">
        <v>72</v>
      </c>
      <c r="C59" s="37" t="s">
        <v>152</v>
      </c>
      <c r="D59" s="37" t="s">
        <v>299</v>
      </c>
      <c r="E59" s="325">
        <v>394300</v>
      </c>
      <c r="F59" s="293" t="s">
        <v>300</v>
      </c>
      <c r="G59" s="36"/>
      <c r="H59" s="36"/>
      <c r="I59" s="32" t="s">
        <v>301</v>
      </c>
      <c r="J59" s="33"/>
      <c r="K59" s="34"/>
    </row>
    <row r="60" ht="14.25" customHeight="1" outlineLevel="1">
      <c r="A60" s="28">
        <v>51</v>
      </c>
      <c r="B60" s="36" t="s">
        <v>72</v>
      </c>
      <c r="C60" s="37" t="s">
        <v>302</v>
      </c>
      <c r="D60" s="37" t="s">
        <v>303</v>
      </c>
      <c r="E60" s="198" t="s">
        <v>304</v>
      </c>
      <c r="F60" s="37" t="s">
        <v>305</v>
      </c>
      <c r="G60" s="36"/>
      <c r="H60" s="36"/>
      <c r="I60" s="32" t="s">
        <v>242</v>
      </c>
      <c r="J60" s="33"/>
      <c r="K60" s="34"/>
    </row>
    <row r="61" ht="14.25" customHeight="1" outlineLevel="1">
      <c r="A61" s="28">
        <v>52</v>
      </c>
      <c r="B61" s="36" t="s">
        <v>272</v>
      </c>
      <c r="C61" s="37" t="s">
        <v>306</v>
      </c>
      <c r="D61" s="37" t="s">
        <v>307</v>
      </c>
      <c r="E61" s="198" t="s">
        <v>308</v>
      </c>
      <c r="F61" s="37" t="s">
        <v>305</v>
      </c>
      <c r="G61" s="36"/>
      <c r="H61" s="36"/>
      <c r="I61" s="32" t="s">
        <v>242</v>
      </c>
      <c r="J61" s="33"/>
      <c r="K61" s="34"/>
    </row>
    <row r="62" ht="14.25" customHeight="1" outlineLevel="1">
      <c r="A62" s="28">
        <v>53</v>
      </c>
      <c r="B62" s="36" t="s">
        <v>72</v>
      </c>
      <c r="C62" s="37" t="s">
        <v>309</v>
      </c>
      <c r="D62" s="37" t="s">
        <v>310</v>
      </c>
      <c r="E62" s="198" t="s">
        <v>311</v>
      </c>
      <c r="F62" s="37" t="s">
        <v>312</v>
      </c>
      <c r="G62" s="36"/>
      <c r="H62" s="36"/>
      <c r="I62" s="32" t="s">
        <v>242</v>
      </c>
      <c r="J62" s="33"/>
      <c r="K62" s="34"/>
    </row>
    <row r="63" ht="14.25" customHeight="1" outlineLevel="1">
      <c r="A63" s="28">
        <v>54</v>
      </c>
      <c r="B63" s="36" t="s">
        <v>72</v>
      </c>
      <c r="C63" s="37" t="s">
        <v>181</v>
      </c>
      <c r="D63" s="37" t="s">
        <v>313</v>
      </c>
      <c r="E63" s="198" t="s">
        <v>314</v>
      </c>
      <c r="F63" s="37" t="s">
        <v>184</v>
      </c>
      <c r="G63" s="36"/>
      <c r="H63" s="36"/>
      <c r="I63" s="32" t="s">
        <v>315</v>
      </c>
      <c r="J63" s="33"/>
      <c r="K63" s="34"/>
    </row>
    <row r="64" ht="14.25" customHeight="1" outlineLevel="1">
      <c r="A64" s="28">
        <v>55</v>
      </c>
      <c r="B64" s="36"/>
      <c r="C64" s="37"/>
      <c r="D64" s="37"/>
      <c r="E64" s="35"/>
      <c r="F64" s="37"/>
      <c r="G64" s="36"/>
      <c r="H64" s="36"/>
      <c r="I64" s="32"/>
      <c r="J64" s="33"/>
      <c r="K64" s="34"/>
    </row>
    <row r="65" s="21" customFormat="1" ht="20.25" customHeight="1" outlineLevel="1">
      <c r="A65" s="22"/>
      <c r="B65" s="23" t="s">
        <v>18</v>
      </c>
      <c r="C65" s="24"/>
      <c r="D65" s="25"/>
      <c r="E65" s="26"/>
      <c r="F65" s="23"/>
      <c r="G65" s="23"/>
      <c r="H65" s="70"/>
      <c r="I65" s="23"/>
      <c r="J65" s="23"/>
      <c r="K65" s="27"/>
    </row>
    <row r="66" ht="14.25" customHeight="1" outlineLevel="1">
      <c r="A66" s="326">
        <v>1</v>
      </c>
      <c r="B66" s="327" t="s">
        <v>205</v>
      </c>
      <c r="C66" s="327" t="s">
        <v>209</v>
      </c>
      <c r="D66" s="327" t="s">
        <v>278</v>
      </c>
      <c r="E66" s="328" t="s">
        <v>279</v>
      </c>
      <c r="F66" s="327" t="s">
        <v>280</v>
      </c>
      <c r="G66" s="329"/>
      <c r="H66" s="315" t="s">
        <v>31</v>
      </c>
      <c r="I66" s="330"/>
      <c r="J66" s="331"/>
      <c r="K66" s="332"/>
    </row>
    <row r="67" s="248" customFormat="1" ht="13.5" customHeight="1" outlineLevel="1">
      <c r="A67" s="249">
        <v>2</v>
      </c>
      <c r="B67" s="30" t="s">
        <v>205</v>
      </c>
      <c r="C67" s="30" t="s">
        <v>316</v>
      </c>
      <c r="D67" s="30" t="s">
        <v>317</v>
      </c>
      <c r="E67" s="333" t="s">
        <v>318</v>
      </c>
      <c r="F67" s="293" t="s">
        <v>319</v>
      </c>
      <c r="G67" s="30"/>
      <c r="H67" s="334" t="s">
        <v>31</v>
      </c>
      <c r="I67" s="30" t="s">
        <v>320</v>
      </c>
      <c r="J67" s="251"/>
      <c r="K67" s="252"/>
    </row>
    <row r="68" ht="14.25" customHeight="1" outlineLevel="1">
      <c r="A68" s="28">
        <v>3</v>
      </c>
      <c r="B68" s="36"/>
      <c r="C68" s="36"/>
      <c r="D68" s="36"/>
      <c r="E68" s="38"/>
      <c r="F68" s="37"/>
      <c r="G68" s="36"/>
      <c r="H68" s="36"/>
      <c r="I68" s="36"/>
      <c r="J68" s="33"/>
      <c r="K68" s="34"/>
    </row>
    <row r="69" ht="14.25" customHeight="1" outlineLevel="1">
      <c r="A69" s="28">
        <v>4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52">
        <v>5</v>
      </c>
      <c r="B70" s="53"/>
      <c r="C70" s="53"/>
      <c r="D70" s="53"/>
      <c r="E70" s="54"/>
      <c r="F70" s="55"/>
      <c r="G70" s="53"/>
      <c r="H70" s="53"/>
      <c r="I70" s="53"/>
      <c r="J70" s="56"/>
      <c r="K70" s="57"/>
    </row>
    <row r="71" s="21" customFormat="1" ht="20.25" customHeight="1" outlineLevel="1">
      <c r="A71" s="69"/>
      <c r="B71" s="70" t="s">
        <v>19</v>
      </c>
      <c r="C71" s="24"/>
      <c r="D71" s="25"/>
      <c r="E71" s="26"/>
      <c r="F71" s="70"/>
      <c r="G71" s="70"/>
      <c r="H71" s="70"/>
      <c r="I71" s="70"/>
      <c r="J71" s="70"/>
      <c r="K71" s="203"/>
    </row>
    <row r="72" ht="14.25" customHeight="1" outlineLevel="1">
      <c r="A72" s="28">
        <v>1</v>
      </c>
      <c r="B72" s="112" t="s">
        <v>190</v>
      </c>
      <c r="C72" s="58" t="s">
        <v>191</v>
      </c>
      <c r="D72" s="36" t="s">
        <v>198</v>
      </c>
      <c r="E72" s="257" t="s">
        <v>223</v>
      </c>
      <c r="F72" s="293" t="s">
        <v>224</v>
      </c>
      <c r="G72" s="112"/>
      <c r="H72" s="112"/>
      <c r="I72" s="112"/>
      <c r="J72" s="33"/>
      <c r="K72" s="34"/>
    </row>
    <row r="73" ht="14.25" customHeight="1" outlineLevel="1">
      <c r="A73" s="319">
        <v>2</v>
      </c>
      <c r="B73" s="79" t="s">
        <v>190</v>
      </c>
      <c r="C73" s="214" t="s">
        <v>191</v>
      </c>
      <c r="D73" s="215" t="s">
        <v>192</v>
      </c>
      <c r="E73" s="335">
        <v>42000</v>
      </c>
      <c r="F73" s="217" t="s">
        <v>193</v>
      </c>
      <c r="G73" s="258"/>
      <c r="H73" s="247"/>
      <c r="I73" s="247" t="s">
        <v>194</v>
      </c>
      <c r="J73" s="82"/>
      <c r="K73" s="34"/>
    </row>
    <row r="74" ht="14.25" customHeight="1" outlineLevel="1">
      <c r="A74" s="285">
        <v>3</v>
      </c>
      <c r="B74" s="213" t="s">
        <v>190</v>
      </c>
      <c r="C74" s="214" t="s">
        <v>191</v>
      </c>
      <c r="D74" s="215" t="s">
        <v>192</v>
      </c>
      <c r="E74" s="335">
        <v>73000</v>
      </c>
      <c r="F74" s="217" t="s">
        <v>196</v>
      </c>
      <c r="G74" s="36"/>
      <c r="H74" s="36"/>
      <c r="I74" s="29" t="s">
        <v>197</v>
      </c>
      <c r="J74" s="56"/>
      <c r="K74" s="57"/>
    </row>
    <row r="75" ht="14.25" customHeight="1" outlineLevel="1">
      <c r="A75" s="290">
        <v>4</v>
      </c>
      <c r="B75" s="36"/>
      <c r="C75" s="36"/>
      <c r="D75" s="36"/>
      <c r="E75" s="38" t="s">
        <v>17</v>
      </c>
      <c r="F75" s="37"/>
      <c r="G75" s="36"/>
      <c r="H75" s="36"/>
      <c r="I75" s="36"/>
      <c r="J75" s="200"/>
      <c r="K75" s="292"/>
    </row>
    <row r="76" ht="14.25" customHeight="1" outlineLevel="1">
      <c r="A76" s="52">
        <v>5</v>
      </c>
      <c r="B76" s="53"/>
      <c r="C76" s="53"/>
      <c r="D76" s="53"/>
      <c r="E76" s="54"/>
      <c r="F76" s="55"/>
      <c r="G76" s="53"/>
      <c r="H76" s="53"/>
      <c r="I76" s="53"/>
      <c r="J76" s="56"/>
      <c r="K76" s="57"/>
    </row>
    <row r="77" s="21" customFormat="1" ht="23.25" customHeight="1">
      <c r="A77" s="63" t="s">
        <v>20</v>
      </c>
      <c r="B77" s="64"/>
      <c r="C77" s="64"/>
      <c r="D77" s="65"/>
      <c r="E77" s="66">
        <f>SUM(E9:E76)</f>
        <v>823702</v>
      </c>
    </row>
    <row r="78" s="21" customFormat="1" ht="23.25" customHeight="1">
      <c r="A78" s="63" t="s">
        <v>21</v>
      </c>
      <c r="B78" s="64"/>
      <c r="C78" s="64"/>
      <c r="D78" s="65"/>
      <c r="E78" s="66">
        <f>E4-E77</f>
        <v>274576.15999999992</v>
      </c>
      <c r="F78" s="67"/>
    </row>
  </sheetData>
  <mergeCells count="6">
    <mergeCell ref="E1:F1"/>
    <mergeCell ref="A4:D4"/>
    <mergeCell ref="A5:D5"/>
    <mergeCell ref="A6:D6"/>
    <mergeCell ref="A77:D77"/>
    <mergeCell ref="A78:D7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B1009D-0043-48EF-A24B-0057005F0054}" type="list" allowBlank="1" errorStyle="stop" imeMode="noControl" operator="between" showDropDown="0" showErrorMessage="1" showInputMessage="1">
          <x14:formula1>
            <xm:f>ДаНет</xm:f>
          </x14:formula1>
          <xm:sqref>H70:H71 H55:H59 H62:H65</xm:sqref>
        </x14:dataValidation>
        <x14:dataValidation xr:uid="{00CA0087-00BD-4672-AE2B-00E9007D004F}" type="list" allowBlank="1" errorStyle="stop" imeMode="noControl" operator="between" showDropDown="0" showErrorMessage="1" showInputMessage="1">
          <x14:formula1>
            <xm:f>ДаНет</xm:f>
          </x14:formula1>
          <xm:sqref>H50:H52 H54 H53</xm:sqref>
        </x14:dataValidation>
        <x14:dataValidation xr:uid="{00A70016-00E5-4A1F-B044-00BC00E20021}" type="list" allowBlank="1" errorStyle="stop" imeMode="noControl" operator="between" showDropDown="0" showErrorMessage="1" showInputMessage="1">
          <x14:formula1>
            <xm:f>ДаНет</xm:f>
          </x14:formula1>
          <xm:sqref>H67</xm:sqref>
        </x14:dataValidation>
        <x14:dataValidation xr:uid="{004200E2-004D-4DED-8907-009100920062}" type="list" allowBlank="1" errorStyle="stop" imeMode="noControl" operator="between" showDropDown="0" showErrorMessage="1" showInputMessage="1">
          <x14:formula1>
            <xm:f>ДаНет</xm:f>
          </x14:formula1>
          <xm:sqref>H69</xm:sqref>
        </x14:dataValidation>
        <x14:dataValidation xr:uid="{00CC004D-006A-447D-9086-00CC003900AC}" type="list" allowBlank="1" errorStyle="stop" imeMode="noControl" operator="between" showDropDown="0" showErrorMessage="1" showInputMessage="1">
          <x14:formula1>
            <xm:f>ДаНет</xm:f>
          </x14:formula1>
          <xm:sqref>H61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5">
    <tabColor theme="3"/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'24'!C2+1</f>
        <v>46106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1098278.1599999999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1087671.52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10606.639999999999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ht="13.5" customHeight="1" outlineLevel="1">
      <c r="A10" s="28">
        <v>1</v>
      </c>
      <c r="B10" s="29" t="s">
        <v>72</v>
      </c>
      <c r="C10" s="30" t="s">
        <v>152</v>
      </c>
      <c r="D10" s="30" t="s">
        <v>299</v>
      </c>
      <c r="E10" s="336">
        <v>394300</v>
      </c>
      <c r="F10" s="293" t="s">
        <v>300</v>
      </c>
      <c r="G10" s="29" t="s">
        <v>30</v>
      </c>
      <c r="H10" s="29" t="s">
        <v>31</v>
      </c>
      <c r="I10" s="337" t="s">
        <v>301</v>
      </c>
      <c r="J10" s="338" t="s">
        <v>189</v>
      </c>
      <c r="K10" s="339"/>
    </row>
    <row r="11" ht="14.25" customHeight="1" outlineLevel="1">
      <c r="A11" s="28">
        <f t="shared" ref="A11:A16" si="5">A10+1</f>
        <v>2</v>
      </c>
      <c r="B11" s="29" t="s">
        <v>272</v>
      </c>
      <c r="C11" s="30" t="s">
        <v>243</v>
      </c>
      <c r="D11" s="30" t="s">
        <v>273</v>
      </c>
      <c r="E11" s="336">
        <v>40482</v>
      </c>
      <c r="F11" s="30" t="s">
        <v>246</v>
      </c>
      <c r="G11" s="29" t="s">
        <v>30</v>
      </c>
      <c r="H11" s="29" t="s">
        <v>31</v>
      </c>
      <c r="I11" s="337" t="s">
        <v>275</v>
      </c>
      <c r="J11" s="338" t="s">
        <v>189</v>
      </c>
      <c r="K11" s="339"/>
      <c r="L11" s="1"/>
    </row>
    <row r="12" ht="14.25" customHeight="1" outlineLevel="1">
      <c r="A12" s="28">
        <f t="shared" si="5"/>
        <v>3</v>
      </c>
      <c r="B12" s="40" t="s">
        <v>72</v>
      </c>
      <c r="C12" s="40" t="s">
        <v>85</v>
      </c>
      <c r="D12" s="41" t="s">
        <v>263</v>
      </c>
      <c r="E12" s="340">
        <v>196745</v>
      </c>
      <c r="F12" s="41" t="s">
        <v>265</v>
      </c>
      <c r="G12" s="29" t="s">
        <v>30</v>
      </c>
      <c r="H12" s="29" t="s">
        <v>31</v>
      </c>
      <c r="I12" s="337" t="s">
        <v>262</v>
      </c>
      <c r="J12" s="338" t="s">
        <v>189</v>
      </c>
      <c r="K12" s="339"/>
      <c r="L12" s="1"/>
    </row>
    <row r="13" ht="14.25" customHeight="1" outlineLevel="1">
      <c r="A13" s="28">
        <f t="shared" si="5"/>
        <v>4</v>
      </c>
      <c r="B13" s="29" t="s">
        <v>72</v>
      </c>
      <c r="C13" s="30" t="s">
        <v>85</v>
      </c>
      <c r="D13" s="30" t="s">
        <v>268</v>
      </c>
      <c r="E13" s="336">
        <v>77175</v>
      </c>
      <c r="F13" s="30" t="s">
        <v>270</v>
      </c>
      <c r="G13" s="29" t="s">
        <v>30</v>
      </c>
      <c r="H13" s="188" t="s">
        <v>31</v>
      </c>
      <c r="I13" s="337" t="s">
        <v>271</v>
      </c>
      <c r="J13" s="338" t="s">
        <v>189</v>
      </c>
      <c r="K13" s="339"/>
      <c r="L13" s="1"/>
    </row>
    <row r="14" ht="14.25" customHeight="1" outlineLevel="1">
      <c r="A14" s="28">
        <f t="shared" si="5"/>
        <v>5</v>
      </c>
      <c r="B14" s="29" t="s">
        <v>72</v>
      </c>
      <c r="C14" s="29" t="s">
        <v>176</v>
      </c>
      <c r="D14" s="29" t="s">
        <v>177</v>
      </c>
      <c r="E14" s="336">
        <v>30000</v>
      </c>
      <c r="F14" s="30" t="s">
        <v>179</v>
      </c>
      <c r="G14" s="29" t="s">
        <v>30</v>
      </c>
      <c r="H14" s="341" t="s">
        <v>31</v>
      </c>
      <c r="I14" s="337" t="s">
        <v>180</v>
      </c>
      <c r="J14" s="338" t="s">
        <v>189</v>
      </c>
      <c r="K14" s="339"/>
      <c r="L14" s="1"/>
    </row>
    <row r="15" ht="14.25" customHeight="1" outlineLevel="1">
      <c r="A15" s="28">
        <f t="shared" si="5"/>
        <v>6</v>
      </c>
      <c r="B15" s="29" t="s">
        <v>272</v>
      </c>
      <c r="C15" s="30" t="s">
        <v>306</v>
      </c>
      <c r="D15" s="293" t="s">
        <v>307</v>
      </c>
      <c r="E15" s="336">
        <v>9497</v>
      </c>
      <c r="F15" s="30" t="s">
        <v>305</v>
      </c>
      <c r="G15" s="29" t="s">
        <v>30</v>
      </c>
      <c r="H15" s="29" t="s">
        <v>31</v>
      </c>
      <c r="I15" s="337" t="s">
        <v>242</v>
      </c>
      <c r="J15" s="342" t="s">
        <v>189</v>
      </c>
      <c r="K15" s="339"/>
      <c r="L15" s="1"/>
    </row>
    <row r="16" ht="14.25" customHeight="1" outlineLevel="1">
      <c r="A16" s="28">
        <f t="shared" si="5"/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s="21" customFormat="1" ht="20.25" customHeight="1" outlineLevel="1">
      <c r="A17" s="22"/>
      <c r="B17" s="23" t="s">
        <v>18</v>
      </c>
      <c r="C17" s="24"/>
      <c r="D17" s="25"/>
      <c r="E17" s="26"/>
      <c r="F17" s="23"/>
      <c r="G17" s="23"/>
      <c r="H17" s="23"/>
      <c r="I17" s="23"/>
      <c r="J17" s="23"/>
      <c r="K17" s="27"/>
    </row>
    <row r="18" s="248" customFormat="1" ht="28.5" outlineLevel="1">
      <c r="A18" s="343">
        <v>1</v>
      </c>
      <c r="B18" s="344" t="s">
        <v>205</v>
      </c>
      <c r="C18" s="344" t="s">
        <v>321</v>
      </c>
      <c r="D18" s="344" t="s">
        <v>322</v>
      </c>
      <c r="E18" s="345">
        <v>3000</v>
      </c>
      <c r="F18" s="344" t="s">
        <v>323</v>
      </c>
      <c r="G18" s="344"/>
      <c r="H18" s="344"/>
      <c r="I18" s="344"/>
      <c r="J18" s="342" t="s">
        <v>189</v>
      </c>
      <c r="K18" s="346"/>
    </row>
    <row r="19" ht="14.25" customHeight="1" outlineLevel="1">
      <c r="A19" s="28">
        <v>2</v>
      </c>
      <c r="B19" s="36"/>
      <c r="C19" s="36"/>
      <c r="D19" s="36"/>
      <c r="E19" s="38"/>
      <c r="F19" s="37"/>
      <c r="G19" s="36"/>
      <c r="H19" s="36"/>
      <c r="I19" s="36"/>
      <c r="J19" s="33"/>
      <c r="K19" s="34"/>
    </row>
    <row r="20" ht="14.25" customHeight="1" outlineLevel="1">
      <c r="A20" s="28">
        <v>3</v>
      </c>
      <c r="B20" s="36"/>
      <c r="C20" s="36"/>
      <c r="D20" s="36"/>
      <c r="E20" s="38"/>
      <c r="F20" s="37"/>
      <c r="G20" s="36"/>
      <c r="H20" s="36"/>
      <c r="I20" s="36"/>
      <c r="J20" s="33"/>
      <c r="K20" s="34"/>
    </row>
    <row r="21" ht="14.25" customHeight="1" outlineLevel="1">
      <c r="A21" s="28">
        <v>4</v>
      </c>
      <c r="B21" s="36"/>
      <c r="C21" s="36"/>
      <c r="D21" s="36"/>
      <c r="E21" s="38"/>
      <c r="F21" s="37"/>
      <c r="G21" s="36"/>
      <c r="H21" s="36"/>
      <c r="I21" s="36"/>
      <c r="J21" s="33"/>
      <c r="K21" s="34"/>
    </row>
    <row r="22" ht="14.25" customHeight="1" outlineLevel="1">
      <c r="A22" s="52">
        <v>5</v>
      </c>
      <c r="B22" s="53"/>
      <c r="C22" s="53"/>
      <c r="D22" s="53"/>
      <c r="E22" s="54"/>
      <c r="F22" s="55"/>
      <c r="G22" s="53"/>
      <c r="H22" s="53"/>
      <c r="I22" s="53"/>
      <c r="J22" s="56"/>
      <c r="K22" s="57"/>
    </row>
    <row r="23" s="21" customFormat="1" ht="20.25" customHeight="1" outlineLevel="1">
      <c r="A23" s="22"/>
      <c r="B23" s="70" t="s">
        <v>19</v>
      </c>
      <c r="C23" s="71"/>
      <c r="D23" s="72"/>
      <c r="E23" s="26"/>
      <c r="F23" s="23"/>
      <c r="G23" s="23"/>
      <c r="H23" s="23"/>
      <c r="I23" s="23"/>
      <c r="J23" s="23"/>
      <c r="K23" s="27"/>
    </row>
    <row r="24" ht="30.75" customHeight="1" outlineLevel="1">
      <c r="A24" s="255">
        <v>1</v>
      </c>
      <c r="B24" s="243" t="s">
        <v>190</v>
      </c>
      <c r="C24" s="180" t="s">
        <v>219</v>
      </c>
      <c r="D24" s="229" t="s">
        <v>220</v>
      </c>
      <c r="E24" s="347">
        <v>225431.29000000001</v>
      </c>
      <c r="F24" s="59" t="s">
        <v>324</v>
      </c>
      <c r="G24" s="47"/>
      <c r="H24" s="47"/>
      <c r="I24" s="47"/>
      <c r="J24" s="50" t="s">
        <v>189</v>
      </c>
      <c r="K24" s="51"/>
    </row>
    <row r="25" ht="14.25" customHeight="1" outlineLevel="1">
      <c r="A25" s="96">
        <v>2</v>
      </c>
      <c r="B25" s="79" t="s">
        <v>190</v>
      </c>
      <c r="C25" s="348" t="s">
        <v>191</v>
      </c>
      <c r="D25" s="215" t="s">
        <v>192</v>
      </c>
      <c r="E25" s="257" t="s">
        <v>325</v>
      </c>
      <c r="F25" s="217" t="s">
        <v>326</v>
      </c>
      <c r="G25" s="58"/>
      <c r="H25" s="58"/>
      <c r="I25" s="188" t="s">
        <v>327</v>
      </c>
      <c r="J25" s="33" t="s">
        <v>17</v>
      </c>
      <c r="K25" s="34"/>
    </row>
    <row r="26" ht="14.25" customHeight="1" outlineLevel="1">
      <c r="A26" s="319">
        <v>2</v>
      </c>
      <c r="B26" s="79" t="s">
        <v>190</v>
      </c>
      <c r="C26" s="214" t="s">
        <v>191</v>
      </c>
      <c r="D26" s="215" t="s">
        <v>192</v>
      </c>
      <c r="E26" s="349">
        <v>42000</v>
      </c>
      <c r="F26" s="217" t="s">
        <v>193</v>
      </c>
      <c r="G26" s="258"/>
      <c r="H26" s="247"/>
      <c r="I26" s="247" t="s">
        <v>194</v>
      </c>
      <c r="J26" s="82" t="s">
        <v>189</v>
      </c>
      <c r="K26" s="34"/>
    </row>
    <row r="27" ht="14.25" customHeight="1" outlineLevel="1">
      <c r="A27" s="285">
        <v>3</v>
      </c>
      <c r="B27" s="213" t="s">
        <v>190</v>
      </c>
      <c r="C27" s="214" t="s">
        <v>191</v>
      </c>
      <c r="D27" s="215" t="s">
        <v>192</v>
      </c>
      <c r="E27" s="349">
        <v>73000</v>
      </c>
      <c r="F27" s="217" t="s">
        <v>196</v>
      </c>
      <c r="G27" s="36"/>
      <c r="H27" s="36"/>
      <c r="I27" s="29" t="s">
        <v>197</v>
      </c>
      <c r="J27" s="56" t="s">
        <v>189</v>
      </c>
      <c r="K27" s="57"/>
    </row>
    <row r="28" ht="14.25" customHeight="1" outlineLevel="1">
      <c r="A28" s="295">
        <v>5</v>
      </c>
      <c r="B28" s="53"/>
      <c r="C28" s="53"/>
      <c r="D28" s="53"/>
      <c r="E28" s="54"/>
      <c r="F28" s="55"/>
      <c r="G28" s="53"/>
      <c r="H28" s="53"/>
      <c r="I28" s="53"/>
      <c r="J28" s="320"/>
      <c r="K28" s="321"/>
    </row>
    <row r="29" s="21" customFormat="1" ht="23.25" customHeight="1">
      <c r="A29" s="63" t="s">
        <v>20</v>
      </c>
      <c r="B29" s="64"/>
      <c r="C29" s="64"/>
      <c r="D29" s="65"/>
      <c r="E29" s="66">
        <f>SUM(E9:E28)</f>
        <v>1091630.29</v>
      </c>
      <c r="F29" s="21"/>
      <c r="G29" s="21"/>
      <c r="H29" s="21"/>
      <c r="I29" s="21"/>
      <c r="J29" s="21"/>
      <c r="K29" s="21"/>
    </row>
    <row r="30" s="21" customFormat="1" ht="23.25" customHeight="1">
      <c r="A30" s="63" t="s">
        <v>21</v>
      </c>
      <c r="B30" s="64"/>
      <c r="C30" s="64"/>
      <c r="D30" s="65"/>
      <c r="E30" s="66">
        <f>E4-E29</f>
        <v>6647.8699999998789</v>
      </c>
      <c r="F30" s="67"/>
      <c r="G30" s="21"/>
      <c r="H30" s="21"/>
      <c r="I30" s="21"/>
      <c r="J30" s="21"/>
      <c r="K30" s="21"/>
    </row>
    <row r="31" ht="14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4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4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4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4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4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4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4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4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70" ht="14.25">
      <c r="E70" s="1"/>
    </row>
    <row r="71" ht="14.25">
      <c r="E71" s="1"/>
    </row>
  </sheetData>
  <mergeCells count="6">
    <mergeCell ref="E1:F1"/>
    <mergeCell ref="A4:D4"/>
    <mergeCell ref="A5:D5"/>
    <mergeCell ref="A6:D6"/>
    <mergeCell ref="A29:D29"/>
    <mergeCell ref="A30:D30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8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150024-00AA-4FF3-B1B9-0023003600E7}" type="list" allowBlank="1" errorStyle="stop" imeMode="noControl" operator="between" showDropDown="0" showErrorMessage="1" showInputMessage="1">
          <x14:formula1>
            <xm:f>ДаНет</xm:f>
          </x14:formula1>
          <xm:sqref>H24:H25 H28 H16 H18:H22</xm:sqref>
        </x14:dataValidation>
        <x14:dataValidation xr:uid="{00280053-00A2-46C6-8A07-008B00E0008D}" type="list" allowBlank="1" errorStyle="stop" imeMode="noControl" operator="between" showDropDown="0" showErrorMessage="1" showInputMessage="1">
          <x14:formula1>
            <xm:f>ДаНет</xm:f>
          </x14:formula1>
          <xm:sqref>H10</xm:sqref>
        </x14:dataValidation>
        <x14:dataValidation xr:uid="{00DE0063-00A2-4C32-9083-00C000E40034}" type="list" allowBlank="1" errorStyle="stop" imeMode="noControl" operator="between" showDropDown="0" showErrorMessage="1" showInputMessage="1">
          <x14:formula1>
            <xm:f>ДаНет</xm:f>
          </x14:formula1>
          <xm:sqref>H11</xm:sqref>
        </x14:dataValidation>
        <x14:dataValidation xr:uid="{00810025-00C8-4A9A-981A-007A003000DC}" type="list" allowBlank="1" errorStyle="stop" imeMode="noControl" operator="between" showDropDown="0" showErrorMessage="1" showInputMessage="1">
          <x14:formula1>
            <xm:f>ДаНет</xm:f>
          </x14:formula1>
          <xm:sqref>H12 H13</xm:sqref>
        </x14:dataValidation>
        <x14:dataValidation xr:uid="{00800007-0000-4DF3-B103-00DB004800FE}" type="list" allowBlank="1" errorStyle="stop" imeMode="noControl" operator="between" showDropDown="0" showErrorMessage="1" showInputMessage="1">
          <x14:formula1>
            <xm:f>ДаНет</xm:f>
          </x14:formula1>
          <xm:sqref>H15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6"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'25'!C2+1</f>
        <v>46107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859861.87</v>
      </c>
      <c r="F4" s="68" t="s">
        <v>22</v>
      </c>
      <c r="G4" s="13"/>
      <c r="H4" s="13"/>
      <c r="I4" s="13"/>
    </row>
    <row r="5" ht="36.75" customHeight="1">
      <c r="A5" s="14" t="s">
        <v>3</v>
      </c>
      <c r="B5" s="15"/>
      <c r="C5" s="15"/>
      <c r="D5" s="16"/>
      <c r="E5" s="17">
        <v>849255.22999999998</v>
      </c>
      <c r="F5" s="350" t="s">
        <v>328</v>
      </c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10606.639999999999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30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69" si="6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6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6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6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6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6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6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6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6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6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6"/>
        <v>12</v>
      </c>
      <c r="B21" s="94" t="s">
        <v>25</v>
      </c>
      <c r="C21" s="90" t="s">
        <v>63</v>
      </c>
      <c r="D21" s="95" t="s">
        <v>68</v>
      </c>
      <c r="E21" s="92" t="s">
        <v>69</v>
      </c>
      <c r="F21" s="91" t="s">
        <v>70</v>
      </c>
      <c r="G21" s="84" t="s">
        <v>30</v>
      </c>
      <c r="H21" s="93" t="s">
        <v>31</v>
      </c>
      <c r="I21" s="89" t="s">
        <v>71</v>
      </c>
      <c r="J21" s="82"/>
      <c r="K21" s="34"/>
      <c r="L21" s="1"/>
    </row>
    <row r="22" ht="14.25" customHeight="1" outlineLevel="1">
      <c r="A22" s="74">
        <f t="shared" si="6"/>
        <v>13</v>
      </c>
      <c r="B22" s="97" t="s">
        <v>72</v>
      </c>
      <c r="C22" s="90" t="s">
        <v>63</v>
      </c>
      <c r="D22" s="98" t="s">
        <v>73</v>
      </c>
      <c r="E22" s="99" t="s">
        <v>74</v>
      </c>
      <c r="F22" s="98" t="s">
        <v>75</v>
      </c>
      <c r="G22" s="84" t="s">
        <v>30</v>
      </c>
      <c r="H22" s="118" t="s">
        <v>31</v>
      </c>
      <c r="I22" s="101" t="s">
        <v>76</v>
      </c>
      <c r="J22" s="82"/>
      <c r="K22" s="34"/>
      <c r="L22" s="1"/>
    </row>
    <row r="23" ht="14.25" customHeight="1" outlineLevel="1">
      <c r="A23" s="74">
        <f t="shared" si="6"/>
        <v>14</v>
      </c>
      <c r="B23" s="97" t="s">
        <v>72</v>
      </c>
      <c r="C23" s="102" t="s">
        <v>63</v>
      </c>
      <c r="D23" s="103" t="s">
        <v>77</v>
      </c>
      <c r="E23" s="104" t="s">
        <v>78</v>
      </c>
      <c r="F23" s="105" t="s">
        <v>79</v>
      </c>
      <c r="G23" s="351" t="s">
        <v>30</v>
      </c>
      <c r="H23" s="352" t="s">
        <v>31</v>
      </c>
      <c r="I23" s="108" t="s">
        <v>80</v>
      </c>
      <c r="J23" s="33"/>
      <c r="K23" s="34"/>
      <c r="L23" s="1"/>
    </row>
    <row r="24" ht="14.25" customHeight="1" outlineLevel="1">
      <c r="A24" s="74">
        <f t="shared" si="6"/>
        <v>15</v>
      </c>
      <c r="B24" s="32" t="s">
        <v>72</v>
      </c>
      <c r="C24" s="39" t="s">
        <v>63</v>
      </c>
      <c r="D24" s="39" t="s">
        <v>81</v>
      </c>
      <c r="E24" s="198" t="s">
        <v>82</v>
      </c>
      <c r="F24" s="39" t="s">
        <v>83</v>
      </c>
      <c r="G24" s="351" t="s">
        <v>30</v>
      </c>
      <c r="H24" s="352" t="s">
        <v>31</v>
      </c>
      <c r="I24" s="32" t="s">
        <v>84</v>
      </c>
      <c r="J24" s="33"/>
      <c r="K24" s="34"/>
      <c r="L24" s="1"/>
    </row>
    <row r="25" ht="14.25" customHeight="1" outlineLevel="1">
      <c r="A25" s="74">
        <f t="shared" si="6"/>
        <v>16</v>
      </c>
      <c r="B25" s="298" t="s">
        <v>25</v>
      </c>
      <c r="C25" s="121" t="s">
        <v>91</v>
      </c>
      <c r="D25" s="122" t="s">
        <v>92</v>
      </c>
      <c r="E25" s="123" t="s">
        <v>93</v>
      </c>
      <c r="F25" s="124" t="s">
        <v>94</v>
      </c>
      <c r="G25" s="353" t="s">
        <v>30</v>
      </c>
      <c r="H25" s="352" t="s">
        <v>31</v>
      </c>
      <c r="I25" s="120" t="s">
        <v>95</v>
      </c>
      <c r="J25" s="33"/>
      <c r="K25" s="34"/>
      <c r="L25" s="1"/>
    </row>
    <row r="26" ht="14.25" customHeight="1" outlineLevel="1">
      <c r="A26" s="74">
        <f t="shared" si="6"/>
        <v>17</v>
      </c>
      <c r="B26" s="152" t="s">
        <v>25</v>
      </c>
      <c r="C26" s="137" t="s">
        <v>91</v>
      </c>
      <c r="D26" s="129" t="s">
        <v>97</v>
      </c>
      <c r="E26" s="130" t="s">
        <v>98</v>
      </c>
      <c r="F26" s="131" t="s">
        <v>99</v>
      </c>
      <c r="G26" s="353" t="s">
        <v>30</v>
      </c>
      <c r="H26" s="352" t="s">
        <v>31</v>
      </c>
      <c r="I26" s="133" t="s">
        <v>100</v>
      </c>
      <c r="J26" s="33"/>
      <c r="K26" s="34"/>
      <c r="L26" s="1"/>
    </row>
    <row r="27" ht="14.25" customHeight="1" outlineLevel="1">
      <c r="A27" s="74">
        <f t="shared" si="6"/>
        <v>18</v>
      </c>
      <c r="B27" s="127" t="s">
        <v>72</v>
      </c>
      <c r="C27" s="128" t="s">
        <v>101</v>
      </c>
      <c r="D27" s="129" t="s">
        <v>102</v>
      </c>
      <c r="E27" s="130" t="s">
        <v>103</v>
      </c>
      <c r="F27" s="131" t="s">
        <v>104</v>
      </c>
      <c r="G27" s="353" t="s">
        <v>30</v>
      </c>
      <c r="H27" s="352" t="s">
        <v>31</v>
      </c>
      <c r="I27" s="133" t="s">
        <v>105</v>
      </c>
      <c r="J27" s="33"/>
      <c r="K27" s="34"/>
      <c r="L27" s="1"/>
    </row>
    <row r="28" ht="14.25" customHeight="1" outlineLevel="1">
      <c r="A28" s="74">
        <f t="shared" si="6"/>
        <v>19</v>
      </c>
      <c r="B28" s="134" t="s">
        <v>72</v>
      </c>
      <c r="C28" s="128" t="s">
        <v>101</v>
      </c>
      <c r="D28" s="129" t="s">
        <v>106</v>
      </c>
      <c r="E28" s="130" t="s">
        <v>107</v>
      </c>
      <c r="F28" s="135" t="s">
        <v>104</v>
      </c>
      <c r="G28" s="353" t="s">
        <v>30</v>
      </c>
      <c r="H28" s="352" t="s">
        <v>31</v>
      </c>
      <c r="I28" s="133" t="s">
        <v>108</v>
      </c>
      <c r="J28" s="33"/>
      <c r="K28" s="34"/>
      <c r="L28" s="1"/>
    </row>
    <row r="29" ht="14.25" customHeight="1" outlineLevel="1">
      <c r="A29" s="74">
        <f t="shared" si="6"/>
        <v>20</v>
      </c>
      <c r="B29" s="136" t="s">
        <v>72</v>
      </c>
      <c r="C29" s="137" t="s">
        <v>101</v>
      </c>
      <c r="D29" s="129" t="s">
        <v>109</v>
      </c>
      <c r="E29" s="130" t="s">
        <v>107</v>
      </c>
      <c r="F29" s="135" t="s">
        <v>104</v>
      </c>
      <c r="G29" s="353" t="s">
        <v>30</v>
      </c>
      <c r="H29" s="352" t="s">
        <v>31</v>
      </c>
      <c r="I29" s="133" t="s">
        <v>110</v>
      </c>
      <c r="J29" s="33"/>
      <c r="K29" s="34"/>
      <c r="L29" s="1"/>
    </row>
    <row r="30" ht="14.25" customHeight="1" outlineLevel="1">
      <c r="A30" s="74">
        <f t="shared" si="6"/>
        <v>21</v>
      </c>
      <c r="B30" s="138" t="s">
        <v>72</v>
      </c>
      <c r="C30" s="139" t="s">
        <v>101</v>
      </c>
      <c r="D30" s="140" t="s">
        <v>111</v>
      </c>
      <c r="E30" s="141" t="s">
        <v>112</v>
      </c>
      <c r="F30" s="135" t="s">
        <v>104</v>
      </c>
      <c r="G30" s="353" t="s">
        <v>30</v>
      </c>
      <c r="H30" s="352" t="s">
        <v>31</v>
      </c>
      <c r="I30" s="133" t="s">
        <v>110</v>
      </c>
      <c r="J30" s="33"/>
      <c r="K30" s="34"/>
      <c r="L30" s="1"/>
    </row>
    <row r="31" ht="14.25" customHeight="1" outlineLevel="1">
      <c r="A31" s="74">
        <f t="shared" si="6"/>
        <v>22</v>
      </c>
      <c r="B31" s="143" t="s">
        <v>113</v>
      </c>
      <c r="C31" s="144" t="s">
        <v>114</v>
      </c>
      <c r="D31" s="145" t="s">
        <v>115</v>
      </c>
      <c r="E31" s="146" t="s">
        <v>116</v>
      </c>
      <c r="F31" s="147" t="s">
        <v>117</v>
      </c>
      <c r="G31" s="353" t="s">
        <v>30</v>
      </c>
      <c r="H31" s="352" t="s">
        <v>31</v>
      </c>
      <c r="I31" s="149" t="s">
        <v>118</v>
      </c>
      <c r="J31" s="33"/>
      <c r="K31" s="34"/>
      <c r="L31" s="1"/>
    </row>
    <row r="32" ht="14.25" customHeight="1" outlineLevel="1">
      <c r="A32" s="74">
        <f t="shared" si="6"/>
        <v>23</v>
      </c>
      <c r="B32" s="155" t="s">
        <v>113</v>
      </c>
      <c r="C32" s="156" t="s">
        <v>114</v>
      </c>
      <c r="D32" s="103" t="s">
        <v>127</v>
      </c>
      <c r="E32" s="157" t="s">
        <v>116</v>
      </c>
      <c r="F32" s="158" t="s">
        <v>128</v>
      </c>
      <c r="G32" s="353" t="s">
        <v>30</v>
      </c>
      <c r="H32" s="352" t="s">
        <v>31</v>
      </c>
      <c r="I32" s="160"/>
      <c r="J32" s="33"/>
      <c r="K32" s="34"/>
      <c r="L32" s="1"/>
    </row>
    <row r="33" ht="14.25" customHeight="1" outlineLevel="1">
      <c r="A33" s="74">
        <f t="shared" si="6"/>
        <v>24</v>
      </c>
      <c r="B33" s="81" t="s">
        <v>113</v>
      </c>
      <c r="C33" s="162" t="s">
        <v>114</v>
      </c>
      <c r="D33" s="103" t="s">
        <v>129</v>
      </c>
      <c r="E33" s="163" t="s">
        <v>130</v>
      </c>
      <c r="F33" s="158" t="s">
        <v>128</v>
      </c>
      <c r="G33" s="353" t="s">
        <v>30</v>
      </c>
      <c r="H33" s="352" t="s">
        <v>31</v>
      </c>
      <c r="I33" s="160" t="s">
        <v>17</v>
      </c>
      <c r="J33" s="33"/>
      <c r="K33" s="34"/>
      <c r="L33" s="1"/>
    </row>
    <row r="34" ht="14.25" customHeight="1" outlineLevel="1">
      <c r="A34" s="74">
        <f t="shared" si="6"/>
        <v>25</v>
      </c>
      <c r="B34" s="150" t="s">
        <v>25</v>
      </c>
      <c r="C34" s="137" t="s">
        <v>131</v>
      </c>
      <c r="D34" s="129" t="s">
        <v>132</v>
      </c>
      <c r="E34" s="130" t="s">
        <v>133</v>
      </c>
      <c r="F34" s="131" t="s">
        <v>134</v>
      </c>
      <c r="G34" s="353" t="s">
        <v>30</v>
      </c>
      <c r="H34" s="352" t="s">
        <v>31</v>
      </c>
      <c r="I34" s="133" t="s">
        <v>135</v>
      </c>
      <c r="J34" s="33"/>
      <c r="K34" s="34"/>
      <c r="L34" s="1"/>
    </row>
    <row r="35" ht="14.25" customHeight="1" outlineLevel="1">
      <c r="A35" s="74">
        <f t="shared" si="6"/>
        <v>26</v>
      </c>
      <c r="B35" s="150" t="s">
        <v>25</v>
      </c>
      <c r="C35" s="264" t="s">
        <v>136</v>
      </c>
      <c r="D35" s="126" t="s">
        <v>137</v>
      </c>
      <c r="E35" s="123" t="s">
        <v>138</v>
      </c>
      <c r="F35" s="124" t="s">
        <v>139</v>
      </c>
      <c r="G35" s="353" t="s">
        <v>30</v>
      </c>
      <c r="H35" s="352" t="s">
        <v>31</v>
      </c>
      <c r="I35" s="126" t="s">
        <v>140</v>
      </c>
      <c r="J35" s="33"/>
      <c r="K35" s="34"/>
      <c r="L35" s="1"/>
    </row>
    <row r="36" ht="14.25" customHeight="1" outlineLevel="1">
      <c r="A36" s="74">
        <f t="shared" si="6"/>
        <v>27</v>
      </c>
      <c r="B36" s="152" t="s">
        <v>25</v>
      </c>
      <c r="C36" s="265" t="s">
        <v>141</v>
      </c>
      <c r="D36" s="165" t="s">
        <v>142</v>
      </c>
      <c r="E36" s="123" t="s">
        <v>143</v>
      </c>
      <c r="F36" s="131" t="s">
        <v>144</v>
      </c>
      <c r="G36" s="353" t="s">
        <v>30</v>
      </c>
      <c r="H36" s="352" t="s">
        <v>31</v>
      </c>
      <c r="I36" s="133" t="s">
        <v>145</v>
      </c>
      <c r="J36" s="33"/>
      <c r="K36" s="34"/>
      <c r="L36" s="1"/>
    </row>
    <row r="37" ht="14.25" customHeight="1" outlineLevel="1">
      <c r="A37" s="74">
        <f t="shared" si="6"/>
        <v>28</v>
      </c>
      <c r="B37" s="166" t="s">
        <v>113</v>
      </c>
      <c r="C37" s="167" t="s">
        <v>146</v>
      </c>
      <c r="D37" s="140" t="s">
        <v>147</v>
      </c>
      <c r="E37" s="168" t="s">
        <v>148</v>
      </c>
      <c r="F37" s="169" t="s">
        <v>149</v>
      </c>
      <c r="G37" s="353" t="s">
        <v>30</v>
      </c>
      <c r="H37" s="352" t="s">
        <v>31</v>
      </c>
      <c r="I37" s="170" t="s">
        <v>150</v>
      </c>
      <c r="J37" s="33"/>
      <c r="K37" s="34"/>
      <c r="L37" s="1"/>
    </row>
    <row r="38" ht="14.25" customHeight="1" outlineLevel="1">
      <c r="A38" s="74">
        <f t="shared" si="6"/>
        <v>29</v>
      </c>
      <c r="B38" s="134" t="s">
        <v>151</v>
      </c>
      <c r="C38" s="144" t="s">
        <v>152</v>
      </c>
      <c r="D38" s="145" t="s">
        <v>153</v>
      </c>
      <c r="E38" s="171" t="s">
        <v>154</v>
      </c>
      <c r="F38" s="131" t="s">
        <v>155</v>
      </c>
      <c r="G38" s="353" t="s">
        <v>30</v>
      </c>
      <c r="H38" s="352" t="s">
        <v>31</v>
      </c>
      <c r="I38" s="120" t="s">
        <v>156</v>
      </c>
      <c r="J38" s="33"/>
      <c r="K38" s="34"/>
      <c r="L38" s="1"/>
    </row>
    <row r="39" ht="14.25" customHeight="1" outlineLevel="1">
      <c r="A39" s="74">
        <f t="shared" si="6"/>
        <v>30</v>
      </c>
      <c r="B39" s="138" t="s">
        <v>72</v>
      </c>
      <c r="C39" s="150" t="s">
        <v>157</v>
      </c>
      <c r="D39" s="91" t="s">
        <v>158</v>
      </c>
      <c r="E39" s="173" t="s">
        <v>159</v>
      </c>
      <c r="F39" s="174" t="s">
        <v>160</v>
      </c>
      <c r="G39" s="353" t="s">
        <v>30</v>
      </c>
      <c r="H39" s="118" t="s">
        <v>31</v>
      </c>
      <c r="I39" s="176" t="s">
        <v>161</v>
      </c>
      <c r="J39" s="177"/>
      <c r="K39" s="228"/>
      <c r="L39" s="1"/>
    </row>
    <row r="40" ht="14.25" customHeight="1" outlineLevel="1">
      <c r="A40" s="74">
        <f t="shared" si="6"/>
        <v>31</v>
      </c>
      <c r="B40" s="172" t="s">
        <v>72</v>
      </c>
      <c r="C40" s="229" t="s">
        <v>162</v>
      </c>
      <c r="D40" s="230" t="s">
        <v>163</v>
      </c>
      <c r="E40" s="231" t="s">
        <v>164</v>
      </c>
      <c r="F40" s="230" t="s">
        <v>165</v>
      </c>
      <c r="G40" s="232" t="s">
        <v>30</v>
      </c>
      <c r="H40" s="118" t="s">
        <v>31</v>
      </c>
      <c r="I40" s="234" t="s">
        <v>166</v>
      </c>
      <c r="J40" s="235"/>
      <c r="K40" s="235"/>
      <c r="L40" s="1"/>
    </row>
    <row r="41" ht="14.25" customHeight="1" outlineLevel="1">
      <c r="A41" s="74">
        <f t="shared" si="6"/>
        <v>32</v>
      </c>
      <c r="B41" s="237" t="s">
        <v>72</v>
      </c>
      <c r="C41" s="237" t="s">
        <v>167</v>
      </c>
      <c r="D41" s="238" t="s">
        <v>168</v>
      </c>
      <c r="E41" s="190" t="s">
        <v>169</v>
      </c>
      <c r="F41" s="238" t="s">
        <v>170</v>
      </c>
      <c r="G41" s="354"/>
      <c r="H41" s="352" t="s">
        <v>31</v>
      </c>
      <c r="I41" s="111"/>
      <c r="J41" s="177"/>
      <c r="K41" s="34"/>
      <c r="L41" s="1"/>
    </row>
    <row r="42" ht="14.25" customHeight="1" outlineLevel="1">
      <c r="A42" s="74">
        <f t="shared" si="6"/>
        <v>33</v>
      </c>
      <c r="B42" s="152" t="s">
        <v>25</v>
      </c>
      <c r="C42" s="152" t="s">
        <v>171</v>
      </c>
      <c r="D42" s="239" t="s">
        <v>172</v>
      </c>
      <c r="E42" s="240" t="s">
        <v>173</v>
      </c>
      <c r="F42" s="195" t="s">
        <v>174</v>
      </c>
      <c r="G42" s="84" t="s">
        <v>30</v>
      </c>
      <c r="H42" s="118" t="s">
        <v>31</v>
      </c>
      <c r="I42" s="196" t="s">
        <v>175</v>
      </c>
      <c r="J42" s="187"/>
      <c r="K42" s="197"/>
      <c r="L42" s="1"/>
    </row>
    <row r="43" ht="14.25" customHeight="1" outlineLevel="1">
      <c r="A43" s="74">
        <f t="shared" si="6"/>
        <v>34</v>
      </c>
      <c r="B43" s="36" t="s">
        <v>72</v>
      </c>
      <c r="C43" s="37" t="s">
        <v>181</v>
      </c>
      <c r="D43" s="37" t="s">
        <v>182</v>
      </c>
      <c r="E43" s="198" t="s">
        <v>183</v>
      </c>
      <c r="F43" s="37" t="s">
        <v>184</v>
      </c>
      <c r="G43" s="355"/>
      <c r="H43" s="352" t="s">
        <v>31</v>
      </c>
      <c r="I43" s="32" t="s">
        <v>185</v>
      </c>
      <c r="J43" s="33"/>
      <c r="K43" s="34"/>
      <c r="L43" s="1"/>
    </row>
    <row r="44" ht="14.25" customHeight="1" outlineLevel="1">
      <c r="A44" s="74">
        <f t="shared" si="6"/>
        <v>35</v>
      </c>
      <c r="B44" s="29" t="s">
        <v>72</v>
      </c>
      <c r="C44" s="30" t="s">
        <v>114</v>
      </c>
      <c r="D44" s="293" t="s">
        <v>225</v>
      </c>
      <c r="E44" s="190" t="s">
        <v>226</v>
      </c>
      <c r="F44" s="30" t="s">
        <v>227</v>
      </c>
      <c r="G44" s="356"/>
      <c r="H44" s="352" t="s">
        <v>31</v>
      </c>
      <c r="I44" s="32" t="s">
        <v>228</v>
      </c>
      <c r="J44" s="33"/>
      <c r="K44" s="34"/>
      <c r="L44" s="1"/>
    </row>
    <row r="45" ht="14.25" customHeight="1" outlineLevel="1">
      <c r="A45" s="74">
        <f t="shared" si="6"/>
        <v>36</v>
      </c>
      <c r="B45" s="300" t="s">
        <v>72</v>
      </c>
      <c r="C45" s="302" t="s">
        <v>238</v>
      </c>
      <c r="D45" s="302" t="s">
        <v>239</v>
      </c>
      <c r="E45" s="301" t="s">
        <v>240</v>
      </c>
      <c r="F45" s="302" t="s">
        <v>241</v>
      </c>
      <c r="G45" s="357"/>
      <c r="H45" s="352" t="s">
        <v>31</v>
      </c>
      <c r="I45" s="36" t="s">
        <v>242</v>
      </c>
      <c r="J45" s="218"/>
      <c r="K45" s="219"/>
      <c r="L45" s="2"/>
    </row>
    <row r="46" outlineLevel="1">
      <c r="A46" s="74">
        <f t="shared" si="6"/>
        <v>37</v>
      </c>
      <c r="B46" s="307" t="s">
        <v>72</v>
      </c>
      <c r="C46" s="322" t="s">
        <v>85</v>
      </c>
      <c r="D46" s="322" t="s">
        <v>259</v>
      </c>
      <c r="E46" s="323" t="s">
        <v>260</v>
      </c>
      <c r="F46" s="322" t="s">
        <v>261</v>
      </c>
      <c r="G46" s="307"/>
      <c r="H46" s="36" t="s">
        <v>31</v>
      </c>
      <c r="I46" s="32" t="s">
        <v>262</v>
      </c>
      <c r="J46" s="33"/>
      <c r="K46" s="34"/>
      <c r="L46" s="1"/>
    </row>
    <row r="47" ht="14.25" customHeight="1" outlineLevel="1">
      <c r="A47" s="74">
        <f t="shared" si="6"/>
        <v>38</v>
      </c>
      <c r="B47" s="40" t="s">
        <v>72</v>
      </c>
      <c r="C47" s="41" t="s">
        <v>85</v>
      </c>
      <c r="D47" s="41" t="s">
        <v>266</v>
      </c>
      <c r="E47" s="269" t="s">
        <v>267</v>
      </c>
      <c r="F47" s="41" t="s">
        <v>261</v>
      </c>
      <c r="G47" s="32"/>
      <c r="H47" s="36" t="s">
        <v>31</v>
      </c>
      <c r="I47" s="32" t="s">
        <v>262</v>
      </c>
      <c r="J47" s="33"/>
      <c r="K47" s="34"/>
      <c r="L47" s="1"/>
    </row>
    <row r="48" ht="14.25" customHeight="1" outlineLevel="1">
      <c r="A48" s="74">
        <f t="shared" si="6"/>
        <v>39</v>
      </c>
      <c r="B48" s="44" t="s">
        <v>72</v>
      </c>
      <c r="C48" s="45" t="s">
        <v>282</v>
      </c>
      <c r="D48" s="45" t="s">
        <v>283</v>
      </c>
      <c r="E48" s="269" t="s">
        <v>130</v>
      </c>
      <c r="F48" s="268" t="s">
        <v>284</v>
      </c>
      <c r="G48" s="32"/>
      <c r="H48" s="36"/>
      <c r="I48" s="32" t="s">
        <v>285</v>
      </c>
      <c r="J48" s="33"/>
      <c r="K48" s="34"/>
      <c r="L48" s="1"/>
    </row>
    <row r="49" ht="14.25" customHeight="1" outlineLevel="1">
      <c r="A49" s="74">
        <f t="shared" si="6"/>
        <v>40</v>
      </c>
      <c r="B49" s="44" t="s">
        <v>72</v>
      </c>
      <c r="C49" s="45" t="s">
        <v>286</v>
      </c>
      <c r="D49" s="45" t="s">
        <v>287</v>
      </c>
      <c r="E49" s="269" t="s">
        <v>288</v>
      </c>
      <c r="F49" s="45" t="s">
        <v>289</v>
      </c>
      <c r="G49" s="32"/>
      <c r="H49" s="36"/>
      <c r="I49" s="32" t="s">
        <v>290</v>
      </c>
      <c r="J49" s="33"/>
      <c r="K49" s="34"/>
      <c r="L49" s="1"/>
    </row>
    <row r="50" ht="14.25" customHeight="1" outlineLevel="1">
      <c r="A50" s="74">
        <f t="shared" si="6"/>
        <v>41</v>
      </c>
      <c r="B50" s="36" t="s">
        <v>72</v>
      </c>
      <c r="C50" s="37" t="s">
        <v>181</v>
      </c>
      <c r="D50" s="37" t="s">
        <v>291</v>
      </c>
      <c r="E50" s="198" t="s">
        <v>292</v>
      </c>
      <c r="F50" s="37" t="s">
        <v>293</v>
      </c>
      <c r="G50" s="36"/>
      <c r="H50" s="36"/>
      <c r="I50" s="32" t="s">
        <v>294</v>
      </c>
      <c r="J50" s="33"/>
      <c r="K50" s="34"/>
      <c r="L50" s="1"/>
    </row>
    <row r="51" ht="14.25" customHeight="1" outlineLevel="1">
      <c r="A51" s="74">
        <f t="shared" si="6"/>
        <v>42</v>
      </c>
      <c r="B51" s="36" t="s">
        <v>72</v>
      </c>
      <c r="C51" s="37" t="s">
        <v>146</v>
      </c>
      <c r="D51" s="37" t="s">
        <v>295</v>
      </c>
      <c r="E51" s="198" t="s">
        <v>296</v>
      </c>
      <c r="F51" s="37" t="s">
        <v>297</v>
      </c>
      <c r="G51" s="36"/>
      <c r="H51" s="36"/>
      <c r="I51" s="32" t="s">
        <v>298</v>
      </c>
      <c r="J51" s="33"/>
      <c r="K51" s="34"/>
      <c r="L51" s="1"/>
    </row>
    <row r="52" s="21" customFormat="1" ht="14.4" customHeight="1" outlineLevel="1">
      <c r="A52" s="74">
        <f t="shared" si="6"/>
        <v>43</v>
      </c>
      <c r="B52" s="358" t="s">
        <v>72</v>
      </c>
      <c r="C52" s="359" t="s">
        <v>302</v>
      </c>
      <c r="D52" s="359" t="s">
        <v>303</v>
      </c>
      <c r="E52" s="323" t="s">
        <v>304</v>
      </c>
      <c r="F52" s="359" t="s">
        <v>305</v>
      </c>
      <c r="G52" s="358"/>
      <c r="H52" s="358"/>
      <c r="I52" s="307" t="s">
        <v>242</v>
      </c>
      <c r="J52" s="33"/>
      <c r="K52" s="34"/>
      <c r="L52" s="1"/>
    </row>
    <row r="53" ht="14.25" customHeight="1" outlineLevel="1">
      <c r="A53" s="74">
        <f t="shared" si="6"/>
        <v>44</v>
      </c>
      <c r="B53" s="36" t="s">
        <v>72</v>
      </c>
      <c r="C53" s="37" t="s">
        <v>309</v>
      </c>
      <c r="D53" s="37" t="s">
        <v>310</v>
      </c>
      <c r="E53" s="198" t="s">
        <v>311</v>
      </c>
      <c r="F53" s="37" t="s">
        <v>312</v>
      </c>
      <c r="G53" s="36"/>
      <c r="H53" s="36"/>
      <c r="I53" s="32" t="s">
        <v>242</v>
      </c>
      <c r="J53" s="33"/>
      <c r="K53" s="34"/>
      <c r="L53" s="1"/>
    </row>
    <row r="54" ht="14.25" customHeight="1" outlineLevel="1">
      <c r="A54" s="74">
        <f t="shared" si="6"/>
        <v>45</v>
      </c>
      <c r="B54" s="36" t="s">
        <v>72</v>
      </c>
      <c r="C54" s="37" t="s">
        <v>181</v>
      </c>
      <c r="D54" s="37" t="s">
        <v>313</v>
      </c>
      <c r="E54" s="198" t="s">
        <v>314</v>
      </c>
      <c r="F54" s="37" t="s">
        <v>184</v>
      </c>
      <c r="G54" s="36"/>
      <c r="H54" s="36"/>
      <c r="I54" s="32" t="s">
        <v>315</v>
      </c>
      <c r="J54" s="33"/>
      <c r="K54" s="34"/>
      <c r="L54" s="1"/>
    </row>
    <row r="55" ht="14.25" customHeight="1" outlineLevel="1">
      <c r="A55" s="74">
        <f t="shared" si="6"/>
        <v>46</v>
      </c>
      <c r="B55" s="36" t="s">
        <v>72</v>
      </c>
      <c r="C55" s="37" t="s">
        <v>329</v>
      </c>
      <c r="D55" s="37" t="s">
        <v>330</v>
      </c>
      <c r="E55" s="198" t="s">
        <v>116</v>
      </c>
      <c r="F55" s="37" t="s">
        <v>331</v>
      </c>
      <c r="G55" s="36"/>
      <c r="H55" s="36"/>
      <c r="I55" s="32"/>
      <c r="J55" s="33"/>
      <c r="K55" s="34"/>
      <c r="L55" s="1"/>
    </row>
    <row r="56" ht="14.25" customHeight="1" outlineLevel="1">
      <c r="A56" s="74">
        <f t="shared" si="6"/>
        <v>47</v>
      </c>
      <c r="B56" s="36" t="s">
        <v>72</v>
      </c>
      <c r="C56" s="36" t="s">
        <v>167</v>
      </c>
      <c r="D56" s="36" t="s">
        <v>332</v>
      </c>
      <c r="E56" s="198" t="s">
        <v>169</v>
      </c>
      <c r="F56" s="37" t="s">
        <v>333</v>
      </c>
      <c r="G56" s="36"/>
      <c r="H56" s="36"/>
      <c r="I56" s="36"/>
      <c r="J56" s="33"/>
      <c r="K56" s="34"/>
      <c r="L56" s="1"/>
    </row>
    <row r="57" ht="14.25" customHeight="1" outlineLevel="1">
      <c r="A57" s="74">
        <f t="shared" si="6"/>
        <v>48</v>
      </c>
      <c r="B57" s="58" t="s">
        <v>272</v>
      </c>
      <c r="C57" s="58" t="s">
        <v>334</v>
      </c>
      <c r="D57" s="58" t="s">
        <v>335</v>
      </c>
      <c r="E57" s="297" t="s">
        <v>336</v>
      </c>
      <c r="F57" s="360" t="s">
        <v>337</v>
      </c>
      <c r="G57" s="58"/>
      <c r="H57" s="58"/>
      <c r="I57" s="58"/>
      <c r="J57" s="192"/>
      <c r="K57" s="178"/>
      <c r="L57" s="1"/>
    </row>
    <row r="58" ht="14.25" customHeight="1" outlineLevel="1">
      <c r="A58" s="74">
        <f t="shared" si="6"/>
        <v>49</v>
      </c>
      <c r="B58" s="58" t="s">
        <v>272</v>
      </c>
      <c r="C58" s="58" t="s">
        <v>338</v>
      </c>
      <c r="D58" s="58" t="s">
        <v>339</v>
      </c>
      <c r="E58" s="361">
        <v>241762.5</v>
      </c>
      <c r="F58" s="362" t="s">
        <v>340</v>
      </c>
      <c r="G58" s="84" t="s">
        <v>30</v>
      </c>
      <c r="H58" s="363" t="s">
        <v>31</v>
      </c>
      <c r="I58" s="58" t="s">
        <v>341</v>
      </c>
      <c r="J58" s="192" t="s">
        <v>189</v>
      </c>
      <c r="K58" s="178"/>
      <c r="L58" s="1"/>
    </row>
    <row r="59" ht="14.25" customHeight="1" outlineLevel="1">
      <c r="A59" s="74">
        <f t="shared" si="6"/>
        <v>50</v>
      </c>
      <c r="B59" s="58" t="s">
        <v>72</v>
      </c>
      <c r="C59" s="58" t="s">
        <v>152</v>
      </c>
      <c r="D59" s="58" t="s">
        <v>342</v>
      </c>
      <c r="E59" s="364">
        <v>220062</v>
      </c>
      <c r="F59" s="362" t="s">
        <v>343</v>
      </c>
      <c r="G59" s="84" t="s">
        <v>30</v>
      </c>
      <c r="H59" s="363" t="s">
        <v>31</v>
      </c>
      <c r="I59" s="58" t="s">
        <v>344</v>
      </c>
      <c r="J59" s="192" t="s">
        <v>189</v>
      </c>
      <c r="K59" s="178"/>
      <c r="L59" s="1"/>
    </row>
    <row r="60" ht="14.25" customHeight="1" outlineLevel="1">
      <c r="A60" s="74">
        <f t="shared" si="6"/>
        <v>51</v>
      </c>
      <c r="B60" s="58" t="s">
        <v>72</v>
      </c>
      <c r="C60" s="58" t="s">
        <v>345</v>
      </c>
      <c r="D60" s="58" t="s">
        <v>346</v>
      </c>
      <c r="E60" s="364">
        <v>290000</v>
      </c>
      <c r="F60" s="362" t="s">
        <v>347</v>
      </c>
      <c r="G60" s="84" t="s">
        <v>30</v>
      </c>
      <c r="H60" s="363" t="s">
        <v>31</v>
      </c>
      <c r="I60" s="58" t="s">
        <v>348</v>
      </c>
      <c r="J60" s="192" t="s">
        <v>189</v>
      </c>
      <c r="K60" s="178"/>
      <c r="L60" s="1"/>
    </row>
    <row r="61" ht="14.25" customHeight="1" outlineLevel="1">
      <c r="A61" s="74">
        <f t="shared" si="6"/>
        <v>52</v>
      </c>
      <c r="B61" s="150" t="s">
        <v>72</v>
      </c>
      <c r="C61" s="150" t="s">
        <v>119</v>
      </c>
      <c r="D61" s="91" t="s">
        <v>120</v>
      </c>
      <c r="E61" s="365">
        <v>16800</v>
      </c>
      <c r="F61" s="91" t="s">
        <v>122</v>
      </c>
      <c r="G61" s="84" t="s">
        <v>30</v>
      </c>
      <c r="H61" s="118" t="s">
        <v>31</v>
      </c>
      <c r="I61" s="88" t="s">
        <v>123</v>
      </c>
      <c r="J61" s="192" t="s">
        <v>189</v>
      </c>
      <c r="K61" s="178"/>
      <c r="L61" s="1"/>
    </row>
    <row r="62" ht="14.25" customHeight="1" outlineLevel="1">
      <c r="A62" s="74">
        <f t="shared" si="6"/>
        <v>53</v>
      </c>
      <c r="B62" s="152" t="s">
        <v>72</v>
      </c>
      <c r="C62" s="152" t="s">
        <v>114</v>
      </c>
      <c r="D62" s="98" t="s">
        <v>124</v>
      </c>
      <c r="E62" s="366">
        <v>8400</v>
      </c>
      <c r="F62" s="98" t="s">
        <v>122</v>
      </c>
      <c r="G62" s="84" t="s">
        <v>30</v>
      </c>
      <c r="H62" s="118" t="s">
        <v>31</v>
      </c>
      <c r="I62" s="154" t="s">
        <v>126</v>
      </c>
      <c r="J62" s="192" t="s">
        <v>189</v>
      </c>
      <c r="K62" s="178"/>
      <c r="L62" s="1"/>
    </row>
    <row r="63" ht="14.25" customHeight="1" outlineLevel="1">
      <c r="A63" s="74">
        <f t="shared" si="6"/>
        <v>54</v>
      </c>
      <c r="B63" s="40" t="s">
        <v>248</v>
      </c>
      <c r="C63" s="40" t="s">
        <v>249</v>
      </c>
      <c r="D63" s="268" t="s">
        <v>250</v>
      </c>
      <c r="E63" s="367">
        <v>60157.199999999997</v>
      </c>
      <c r="F63" s="368" t="s">
        <v>252</v>
      </c>
      <c r="G63" s="84" t="s">
        <v>30</v>
      </c>
      <c r="H63" s="369" t="s">
        <v>31</v>
      </c>
      <c r="I63" s="32" t="s">
        <v>247</v>
      </c>
      <c r="J63" s="192" t="s">
        <v>189</v>
      </c>
      <c r="K63" s="178"/>
      <c r="L63" s="1"/>
    </row>
    <row r="64" ht="14.25" customHeight="1" outlineLevel="1">
      <c r="A64" s="74">
        <f t="shared" si="6"/>
        <v>55</v>
      </c>
      <c r="B64" s="58" t="s">
        <v>72</v>
      </c>
      <c r="C64" s="58" t="s">
        <v>349</v>
      </c>
      <c r="D64" s="58" t="s">
        <v>350</v>
      </c>
      <c r="E64" s="297" t="s">
        <v>351</v>
      </c>
      <c r="F64" s="362" t="s">
        <v>352</v>
      </c>
      <c r="G64" s="84" t="s">
        <v>30</v>
      </c>
      <c r="H64" s="363" t="s">
        <v>89</v>
      </c>
      <c r="I64" s="58" t="s">
        <v>353</v>
      </c>
      <c r="J64" s="192"/>
      <c r="K64" s="178"/>
    </row>
    <row r="65" ht="14.25" customHeight="1" outlineLevel="1">
      <c r="A65" s="96">
        <f t="shared" si="6"/>
        <v>56</v>
      </c>
      <c r="B65" s="58" t="s">
        <v>72</v>
      </c>
      <c r="C65" s="58" t="s">
        <v>349</v>
      </c>
      <c r="D65" s="58" t="s">
        <v>350</v>
      </c>
      <c r="E65" s="364">
        <v>15000</v>
      </c>
      <c r="F65" s="370" t="s">
        <v>352</v>
      </c>
      <c r="G65" s="84" t="s">
        <v>30</v>
      </c>
      <c r="H65" s="371" t="s">
        <v>89</v>
      </c>
      <c r="I65" s="58" t="s">
        <v>353</v>
      </c>
      <c r="J65" s="192" t="s">
        <v>189</v>
      </c>
      <c r="K65" s="178"/>
    </row>
    <row r="66" ht="14.25" customHeight="1" outlineLevel="1">
      <c r="A66" s="74">
        <f t="shared" si="6"/>
        <v>57</v>
      </c>
      <c r="B66" s="58"/>
      <c r="C66" s="58"/>
      <c r="D66" s="58"/>
      <c r="E66" s="364"/>
      <c r="F66" s="360"/>
      <c r="G66" s="372"/>
      <c r="H66" s="58"/>
      <c r="I66" s="58"/>
      <c r="J66" s="192"/>
      <c r="K66" s="178"/>
    </row>
    <row r="67" ht="14.25" customHeight="1" outlineLevel="1">
      <c r="A67" s="74">
        <f t="shared" si="6"/>
        <v>58</v>
      </c>
      <c r="B67" s="58"/>
      <c r="C67" s="58"/>
      <c r="D67" s="58"/>
      <c r="E67" s="364"/>
      <c r="F67" s="360"/>
      <c r="G67" s="58"/>
      <c r="H67" s="58"/>
      <c r="I67" s="58"/>
      <c r="J67" s="192"/>
      <c r="K67" s="178"/>
    </row>
    <row r="68" ht="14.25" customHeight="1" outlineLevel="1">
      <c r="A68" s="74">
        <f t="shared" si="6"/>
        <v>59</v>
      </c>
      <c r="B68" s="58"/>
      <c r="C68" s="58"/>
      <c r="D68" s="58"/>
      <c r="E68" s="364"/>
      <c r="F68" s="360"/>
      <c r="G68" s="58"/>
      <c r="H68" s="58"/>
      <c r="I68" s="58"/>
      <c r="J68" s="192"/>
      <c r="K68" s="178"/>
    </row>
    <row r="69" ht="14.25" customHeight="1" outlineLevel="1">
      <c r="A69" s="74">
        <f t="shared" si="6"/>
        <v>60</v>
      </c>
      <c r="B69" s="53"/>
      <c r="C69" s="53"/>
      <c r="D69" s="53"/>
      <c r="E69" s="54"/>
      <c r="F69" s="55"/>
      <c r="G69" s="53"/>
      <c r="H69" s="53"/>
      <c r="I69" s="53"/>
      <c r="J69" s="56"/>
      <c r="K69" s="57"/>
    </row>
    <row r="70" s="21" customFormat="1" ht="20.25" customHeight="1" outlineLevel="1">
      <c r="A70" s="69"/>
      <c r="B70" s="70" t="s">
        <v>19</v>
      </c>
      <c r="C70" s="71"/>
      <c r="D70" s="25"/>
      <c r="E70" s="26"/>
      <c r="F70" s="70"/>
      <c r="G70" s="70"/>
      <c r="H70" s="70"/>
      <c r="I70" s="70"/>
      <c r="J70" s="70"/>
      <c r="K70" s="203"/>
    </row>
    <row r="71" ht="14.25" customHeight="1" outlineLevel="1">
      <c r="A71" s="28">
        <v>1</v>
      </c>
      <c r="B71" s="112" t="s">
        <v>190</v>
      </c>
      <c r="C71" s="58" t="s">
        <v>191</v>
      </c>
      <c r="D71" s="36" t="s">
        <v>198</v>
      </c>
      <c r="E71" s="257" t="s">
        <v>223</v>
      </c>
      <c r="F71" s="293" t="s">
        <v>224</v>
      </c>
      <c r="G71" s="58"/>
      <c r="H71" s="58"/>
      <c r="I71" s="58"/>
      <c r="J71" s="33"/>
      <c r="K71" s="34"/>
    </row>
    <row r="72" ht="14.25" customHeight="1" outlineLevel="1">
      <c r="A72" s="74">
        <v>2</v>
      </c>
      <c r="B72" s="79" t="s">
        <v>190</v>
      </c>
      <c r="C72" s="348" t="s">
        <v>191</v>
      </c>
      <c r="D72" s="215" t="s">
        <v>192</v>
      </c>
      <c r="E72" s="257" t="s">
        <v>325</v>
      </c>
      <c r="F72" s="217" t="s">
        <v>326</v>
      </c>
      <c r="G72" s="36"/>
      <c r="H72" s="36"/>
      <c r="I72" s="29" t="s">
        <v>327</v>
      </c>
      <c r="J72" s="33"/>
      <c r="K72" s="34"/>
    </row>
    <row r="73" ht="14.25" customHeight="1" outlineLevel="1">
      <c r="A73" s="28">
        <v>3</v>
      </c>
      <c r="B73" s="199"/>
      <c r="C73" s="36"/>
      <c r="D73" s="36"/>
      <c r="E73" s="38"/>
      <c r="F73" s="37"/>
      <c r="G73" s="36"/>
      <c r="H73" s="36"/>
      <c r="I73" s="36"/>
      <c r="J73" s="33"/>
      <c r="K73" s="34"/>
    </row>
    <row r="74" ht="14.25" customHeight="1" outlineLevel="1">
      <c r="A74" s="28">
        <v>4</v>
      </c>
      <c r="B74" s="36"/>
      <c r="C74" s="36"/>
      <c r="D74" s="36"/>
      <c r="E74" s="38"/>
      <c r="F74" s="37"/>
      <c r="G74" s="36"/>
      <c r="H74" s="36"/>
      <c r="I74" s="36"/>
      <c r="J74" s="33"/>
      <c r="K74" s="34"/>
    </row>
    <row r="75" ht="14.25" customHeight="1" outlineLevel="1">
      <c r="A75" s="52">
        <v>5</v>
      </c>
      <c r="B75" s="53"/>
      <c r="C75" s="53"/>
      <c r="D75" s="53"/>
      <c r="E75" s="54"/>
      <c r="F75" s="55"/>
      <c r="G75" s="53"/>
      <c r="H75" s="53"/>
      <c r="I75" s="53"/>
      <c r="J75" s="56"/>
      <c r="K75" s="57"/>
    </row>
    <row r="76" s="21" customFormat="1" ht="23.25" customHeight="1">
      <c r="A76" s="63" t="s">
        <v>20</v>
      </c>
      <c r="B76" s="64"/>
      <c r="C76" s="64"/>
      <c r="D76" s="65"/>
      <c r="E76" s="66">
        <f>SUM(E9:E75)</f>
        <v>852181.69999999995</v>
      </c>
    </row>
    <row r="77" s="21" customFormat="1" ht="23.25" customHeight="1">
      <c r="A77" s="63" t="s">
        <v>21</v>
      </c>
      <c r="B77" s="64"/>
      <c r="C77" s="64"/>
      <c r="D77" s="65"/>
      <c r="E77" s="66">
        <f>E4-E76</f>
        <v>7680.1700000000419</v>
      </c>
      <c r="F77" s="67"/>
    </row>
    <row r="78" ht="14.25">
      <c r="E78" s="1"/>
    </row>
    <row r="79" ht="14.25">
      <c r="E79" s="1"/>
    </row>
    <row r="80" ht="14.25">
      <c r="E80" s="1"/>
    </row>
    <row r="81" ht="14.25">
      <c r="E81" s="1"/>
    </row>
  </sheetData>
  <mergeCells count="6">
    <mergeCell ref="E1:F1"/>
    <mergeCell ref="A4:D4"/>
    <mergeCell ref="A5:D5"/>
    <mergeCell ref="A6:D6"/>
    <mergeCell ref="A76:D76"/>
    <mergeCell ref="A77:D77"/>
  </mergeCells>
  <printOptions headings="0" gridLines="0"/>
  <pageMargins left="0" right="0" top="0" bottom="0" header="0.29999999999999999" footer="0.29999999999999999"/>
  <pageSetup paperSize="9" scale="49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6800CF-0080-4834-B6AD-002C009200E0}" type="list" allowBlank="1" errorStyle="stop" imeMode="noControl" operator="between" showDropDown="0" showErrorMessage="1" showInputMessage="1">
          <x14:formula1>
            <xm:f>ДаНет</xm:f>
          </x14:formula1>
          <xm:sqref>H68 H55:H56</xm:sqref>
        </x14:dataValidation>
        <x14:dataValidation xr:uid="{000D0075-00ED-4531-BB2D-008A008F0064}" type="list" allowBlank="1" errorStyle="stop" imeMode="noControl" operator="between" showDropDown="0" showErrorMessage="1" showInputMessage="1">
          <x14:formula1>
            <xm:f>ДаНет</xm:f>
          </x14:formula1>
          <xm:sqref>H48:H51 H53:H54</xm:sqref>
        </x14:dataValidation>
        <x14:dataValidation xr:uid="{00B60039-008C-4AB7-BDCE-006600EF001D}" type="list" allowBlank="1" errorStyle="stop" imeMode="noControl" operator="between" showDropDown="0" showErrorMessage="1" showInputMessage="1">
          <x14:formula1>
            <xm:f>ДаНет</xm:f>
          </x14:formula1>
          <xm:sqref>H46:H47 H48</xm:sqref>
        </x14:dataValidation>
        <x14:dataValidation xr:uid="{00F50047-00AF-4E14-A877-00A8001400D4}" type="list" allowBlank="1" errorStyle="stop" imeMode="noControl" operator="between" showDropDown="0" showErrorMessage="1" showInputMessage="1">
          <x14:formula1>
            <xm:f>ДаНет</xm:f>
          </x14:formula1>
          <xm:sqref>H58 H59 H60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7">
    <tabColor theme="3"/>
    <outlinePr applyStyles="0" summaryBelow="1" summaryRight="1" showOutlineSymbols="1"/>
    <pageSetUpPr autoPageBreaks="1" fitToPage="1"/>
  </sheetPr>
  <sheetViews>
    <sheetView showGridLines="0" showRuler="1" topLeftCell="A53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'26'!C2+1</f>
        <v>46108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3200.1700000000001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993.52999999999997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2206.6399999999999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70" t="s">
        <v>19</v>
      </c>
      <c r="C66" s="71"/>
      <c r="D66" s="72"/>
      <c r="E66" s="26"/>
      <c r="F66" s="23"/>
      <c r="G66" s="23"/>
      <c r="H66" s="23"/>
      <c r="I66" s="23"/>
      <c r="J66" s="23"/>
      <c r="K66" s="27"/>
    </row>
    <row r="67" ht="14.25" customHeight="1" outlineLevel="1">
      <c r="A67" s="255">
        <v>1</v>
      </c>
      <c r="B67" s="213" t="s">
        <v>190</v>
      </c>
      <c r="C67" s="180" t="s">
        <v>219</v>
      </c>
      <c r="D67" s="229" t="s">
        <v>220</v>
      </c>
      <c r="E67" s="373">
        <v>17242.169999999998</v>
      </c>
      <c r="F67" s="59" t="s">
        <v>354</v>
      </c>
      <c r="G67" s="47"/>
      <c r="H67" s="47"/>
      <c r="I67" s="47"/>
      <c r="J67" s="50" t="s">
        <v>189</v>
      </c>
      <c r="K67" s="51"/>
    </row>
    <row r="68" s="1" customFormat="1" ht="14.25" customHeight="1" outlineLevel="1">
      <c r="A68" s="28">
        <v>2</v>
      </c>
      <c r="B68" s="44"/>
      <c r="C68" s="44"/>
      <c r="D68" s="36"/>
      <c r="E68" s="38"/>
      <c r="F68" s="374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17242.169999999998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-14041.999999999998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" right="0" top="0" bottom="0" header="0.29999999999999999" footer="0.29999999999999999"/>
  <pageSetup paperSize="9" scale="52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800DE-006A-40F4-893B-009B00740041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8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F33" activeCellId="0" sqref="F3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'27'!C2+1</f>
        <v>46109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30038-0064-4E56-BFE6-00EF006800F9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9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7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'28'!C2+1</f>
        <v>46110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0</v>
      </c>
      <c r="F4" s="13"/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/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0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F00C1-0064-4B2B-B88C-002B009F0053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0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E37" activeCellId="0" sqref="E3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'29'!C2+1</f>
        <v>46111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20558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18351.360000000001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2206.6399999999999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22"/>
      <c r="B9" s="23" t="s">
        <v>16</v>
      </c>
      <c r="C9" s="24"/>
      <c r="D9" s="25"/>
      <c r="E9" s="26"/>
      <c r="F9" s="23"/>
      <c r="G9" s="23"/>
      <c r="H9" s="23"/>
      <c r="I9" s="23"/>
      <c r="J9" s="23"/>
      <c r="K9" s="27"/>
    </row>
    <row r="10" outlineLevel="1">
      <c r="A10" s="28">
        <v>1</v>
      </c>
      <c r="B10" s="29"/>
      <c r="C10" s="29"/>
      <c r="D10" s="30"/>
      <c r="E10" s="31"/>
      <c r="F10" s="30"/>
      <c r="G10" s="32"/>
      <c r="H10" s="32"/>
      <c r="I10" s="32" t="s">
        <v>17</v>
      </c>
      <c r="J10" s="33"/>
      <c r="K10" s="34"/>
    </row>
    <row r="11" ht="14.25" customHeight="1" outlineLevel="1">
      <c r="A11" s="28">
        <v>2</v>
      </c>
      <c r="B11" s="29"/>
      <c r="C11" s="29"/>
      <c r="D11" s="30"/>
      <c r="E11" s="35"/>
      <c r="F11" s="30"/>
      <c r="G11" s="36"/>
      <c r="H11" s="36"/>
      <c r="I11" s="32"/>
      <c r="J11" s="33"/>
      <c r="K11" s="34"/>
    </row>
    <row r="12" ht="14.25" customHeight="1" outlineLevel="1">
      <c r="A12" s="28">
        <v>3</v>
      </c>
      <c r="B12" s="36"/>
      <c r="C12" s="36"/>
      <c r="D12" s="36"/>
      <c r="E12" s="35"/>
      <c r="F12" s="37"/>
      <c r="G12" s="36"/>
      <c r="H12" s="36"/>
      <c r="I12" s="32"/>
      <c r="J12" s="33"/>
      <c r="K12" s="34"/>
    </row>
    <row r="13" ht="14.25" customHeight="1" outlineLevel="1">
      <c r="A13" s="28">
        <v>4</v>
      </c>
      <c r="B13" s="36"/>
      <c r="C13" s="36"/>
      <c r="D13" s="36"/>
      <c r="E13" s="35"/>
      <c r="F13" s="37"/>
      <c r="G13" s="36"/>
      <c r="H13" s="36"/>
      <c r="I13" s="32"/>
      <c r="J13" s="33"/>
      <c r="K13" s="34"/>
    </row>
    <row r="14" ht="14.25" customHeight="1" outlineLevel="1">
      <c r="A14" s="28">
        <v>5</v>
      </c>
      <c r="B14" s="36"/>
      <c r="C14" s="36"/>
      <c r="D14" s="36"/>
      <c r="E14" s="35"/>
      <c r="F14" s="37"/>
      <c r="G14" s="36"/>
      <c r="H14" s="36"/>
      <c r="I14" s="32"/>
      <c r="J14" s="33"/>
      <c r="K14" s="34"/>
    </row>
    <row r="15" ht="14.25" customHeight="1" outlineLevel="1">
      <c r="A15" s="28">
        <v>6</v>
      </c>
      <c r="B15" s="36"/>
      <c r="C15" s="36"/>
      <c r="D15" s="36"/>
      <c r="E15" s="35"/>
      <c r="F15" s="37"/>
      <c r="G15" s="36"/>
      <c r="H15" s="36"/>
      <c r="I15" s="32"/>
      <c r="J15" s="33"/>
      <c r="K15" s="34"/>
    </row>
    <row r="16" ht="14.25" customHeight="1" outlineLevel="1">
      <c r="A16" s="28">
        <v>7</v>
      </c>
      <c r="B16" s="36"/>
      <c r="C16" s="36"/>
      <c r="D16" s="36"/>
      <c r="E16" s="35"/>
      <c r="F16" s="37"/>
      <c r="G16" s="36"/>
      <c r="H16" s="36"/>
      <c r="I16" s="32"/>
      <c r="J16" s="33"/>
      <c r="K16" s="34"/>
    </row>
    <row r="17" ht="14.25" customHeight="1" outlineLevel="1">
      <c r="A17" s="28">
        <v>8</v>
      </c>
      <c r="B17" s="36"/>
      <c r="C17" s="36"/>
      <c r="D17" s="36"/>
      <c r="E17" s="35"/>
      <c r="F17" s="37"/>
      <c r="G17" s="36"/>
      <c r="H17" s="36"/>
      <c r="I17" s="32"/>
      <c r="J17" s="33"/>
      <c r="K17" s="34"/>
    </row>
    <row r="18" ht="14.25" customHeight="1" outlineLevel="1">
      <c r="A18" s="28">
        <v>9</v>
      </c>
      <c r="B18" s="36"/>
      <c r="C18" s="36"/>
      <c r="D18" s="36"/>
      <c r="E18" s="35"/>
      <c r="F18" s="37"/>
      <c r="G18" s="36"/>
      <c r="H18" s="36"/>
      <c r="I18" s="32"/>
      <c r="J18" s="33"/>
      <c r="K18" s="34"/>
    </row>
    <row r="19" ht="14.25" customHeight="1" outlineLevel="1">
      <c r="A19" s="28">
        <v>10</v>
      </c>
      <c r="B19" s="36"/>
      <c r="C19" s="36"/>
      <c r="D19" s="36"/>
      <c r="E19" s="35"/>
      <c r="F19" s="37"/>
      <c r="G19" s="36"/>
      <c r="H19" s="36"/>
      <c r="I19" s="32"/>
      <c r="J19" s="33"/>
      <c r="K19" s="34"/>
    </row>
    <row r="20" ht="14.25" customHeight="1" outlineLevel="1">
      <c r="A20" s="28">
        <v>11</v>
      </c>
      <c r="B20" s="36"/>
      <c r="C20" s="36"/>
      <c r="D20" s="36"/>
      <c r="E20" s="35"/>
      <c r="F20" s="37"/>
      <c r="G20" s="36"/>
      <c r="H20" s="36"/>
      <c r="I20" s="32"/>
      <c r="J20" s="33"/>
      <c r="K20" s="34"/>
    </row>
    <row r="21" ht="14.25" customHeight="1" outlineLevel="1">
      <c r="A21" s="28">
        <v>12</v>
      </c>
      <c r="B21" s="36"/>
      <c r="C21" s="36"/>
      <c r="D21" s="36"/>
      <c r="E21" s="35"/>
      <c r="F21" s="37"/>
      <c r="G21" s="36"/>
      <c r="H21" s="36"/>
      <c r="I21" s="32"/>
      <c r="J21" s="33"/>
      <c r="K21" s="34"/>
    </row>
    <row r="22" ht="14.25" customHeight="1" outlineLevel="1">
      <c r="A22" s="28">
        <v>13</v>
      </c>
      <c r="B22" s="36"/>
      <c r="C22" s="36"/>
      <c r="D22" s="36"/>
      <c r="E22" s="35"/>
      <c r="F22" s="37"/>
      <c r="G22" s="36"/>
      <c r="H22" s="36"/>
      <c r="I22" s="32"/>
      <c r="J22" s="33"/>
      <c r="K22" s="34"/>
    </row>
    <row r="23" ht="14.25" customHeight="1" outlineLevel="1">
      <c r="A23" s="28">
        <v>14</v>
      </c>
      <c r="B23" s="36"/>
      <c r="C23" s="36"/>
      <c r="D23" s="36"/>
      <c r="E23" s="35"/>
      <c r="F23" s="37"/>
      <c r="G23" s="36"/>
      <c r="H23" s="36"/>
      <c r="I23" s="32"/>
      <c r="J23" s="33"/>
      <c r="K23" s="34"/>
    </row>
    <row r="24" ht="14.25" customHeight="1" outlineLevel="1">
      <c r="A24" s="28">
        <v>15</v>
      </c>
      <c r="B24" s="36"/>
      <c r="C24" s="36"/>
      <c r="D24" s="36"/>
      <c r="E24" s="35"/>
      <c r="F24" s="37"/>
      <c r="G24" s="36"/>
      <c r="H24" s="36"/>
      <c r="I24" s="32"/>
      <c r="J24" s="33"/>
      <c r="K24" s="34"/>
    </row>
    <row r="25" ht="14.25" customHeight="1" outlineLevel="1">
      <c r="A25" s="28">
        <v>16</v>
      </c>
      <c r="B25" s="36"/>
      <c r="C25" s="36"/>
      <c r="D25" s="36"/>
      <c r="E25" s="35"/>
      <c r="F25" s="37"/>
      <c r="G25" s="36"/>
      <c r="H25" s="36"/>
      <c r="I25" s="32"/>
      <c r="J25" s="33"/>
      <c r="K25" s="34"/>
    </row>
    <row r="26" ht="14.25" customHeight="1" outlineLevel="1">
      <c r="A26" s="28">
        <v>17</v>
      </c>
      <c r="B26" s="36"/>
      <c r="C26" s="36"/>
      <c r="D26" s="36"/>
      <c r="E26" s="35"/>
      <c r="F26" s="37"/>
      <c r="G26" s="36"/>
      <c r="H26" s="36"/>
      <c r="I26" s="32"/>
      <c r="J26" s="33"/>
      <c r="K26" s="34"/>
    </row>
    <row r="27" ht="14.25" customHeight="1" outlineLevel="1">
      <c r="A27" s="28">
        <v>18</v>
      </c>
      <c r="B27" s="36"/>
      <c r="C27" s="36"/>
      <c r="D27" s="36"/>
      <c r="E27" s="35"/>
      <c r="F27" s="37"/>
      <c r="G27" s="36"/>
      <c r="H27" s="36"/>
      <c r="I27" s="32"/>
      <c r="J27" s="33"/>
      <c r="K27" s="34"/>
    </row>
    <row r="28" ht="14.25" customHeight="1" outlineLevel="1">
      <c r="A28" s="28">
        <v>19</v>
      </c>
      <c r="B28" s="36"/>
      <c r="C28" s="36"/>
      <c r="D28" s="36"/>
      <c r="E28" s="35"/>
      <c r="F28" s="37"/>
      <c r="G28" s="36"/>
      <c r="H28" s="36"/>
      <c r="I28" s="32"/>
      <c r="J28" s="33"/>
      <c r="K28" s="34"/>
    </row>
    <row r="29" ht="14.25" customHeight="1" outlineLevel="1">
      <c r="A29" s="28">
        <v>20</v>
      </c>
      <c r="B29" s="36"/>
      <c r="C29" s="36"/>
      <c r="D29" s="36"/>
      <c r="E29" s="35"/>
      <c r="F29" s="37"/>
      <c r="G29" s="36"/>
      <c r="H29" s="36"/>
      <c r="I29" s="32"/>
      <c r="J29" s="33"/>
      <c r="K29" s="34"/>
    </row>
    <row r="30" ht="14.25" customHeight="1" outlineLevel="1">
      <c r="A30" s="28">
        <v>21</v>
      </c>
      <c r="B30" s="36"/>
      <c r="C30" s="36"/>
      <c r="D30" s="36"/>
      <c r="E30" s="35"/>
      <c r="F30" s="37"/>
      <c r="G30" s="36"/>
      <c r="H30" s="36"/>
      <c r="I30" s="32"/>
      <c r="J30" s="33"/>
      <c r="K30" s="34"/>
    </row>
    <row r="31" ht="14.25" customHeight="1" outlineLevel="1">
      <c r="A31" s="28">
        <v>22</v>
      </c>
      <c r="B31" s="36"/>
      <c r="C31" s="36"/>
      <c r="D31" s="36"/>
      <c r="E31" s="35"/>
      <c r="F31" s="37"/>
      <c r="G31" s="36"/>
      <c r="H31" s="36"/>
      <c r="I31" s="32"/>
      <c r="J31" s="33"/>
      <c r="K31" s="34"/>
    </row>
    <row r="32" ht="14.25" customHeight="1" outlineLevel="1">
      <c r="A32" s="28">
        <v>23</v>
      </c>
      <c r="B32" s="36"/>
      <c r="C32" s="36"/>
      <c r="D32" s="36"/>
      <c r="E32" s="35"/>
      <c r="F32" s="37"/>
      <c r="G32" s="36"/>
      <c r="H32" s="36"/>
      <c r="I32" s="32"/>
      <c r="J32" s="33"/>
      <c r="K32" s="34"/>
    </row>
    <row r="33" ht="14.25" customHeight="1" outlineLevel="1">
      <c r="A33" s="28">
        <v>24</v>
      </c>
      <c r="B33" s="36"/>
      <c r="C33" s="36"/>
      <c r="D33" s="36"/>
      <c r="E33" s="35"/>
      <c r="F33" s="37"/>
      <c r="G33" s="36"/>
      <c r="H33" s="36"/>
      <c r="I33" s="32"/>
      <c r="J33" s="33"/>
      <c r="K33" s="34"/>
    </row>
    <row r="34" ht="14.25" customHeight="1" outlineLevel="1">
      <c r="A34" s="28">
        <v>25</v>
      </c>
      <c r="B34" s="36"/>
      <c r="C34" s="36"/>
      <c r="D34" s="36"/>
      <c r="E34" s="35"/>
      <c r="F34" s="37"/>
      <c r="G34" s="36"/>
      <c r="H34" s="36"/>
      <c r="I34" s="32"/>
      <c r="J34" s="33"/>
      <c r="K34" s="34"/>
    </row>
    <row r="35" ht="14.25" customHeight="1" outlineLevel="1">
      <c r="A35" s="28">
        <v>26</v>
      </c>
      <c r="B35" s="36"/>
      <c r="C35" s="36"/>
      <c r="D35" s="36"/>
      <c r="E35" s="35"/>
      <c r="F35" s="37"/>
      <c r="G35" s="36"/>
      <c r="H35" s="36"/>
      <c r="I35" s="32"/>
      <c r="J35" s="33"/>
      <c r="K35" s="34"/>
    </row>
    <row r="36" ht="14.25" customHeight="1" outlineLevel="1">
      <c r="A36" s="28">
        <v>27</v>
      </c>
      <c r="B36" s="36"/>
      <c r="C36" s="36"/>
      <c r="D36" s="36"/>
      <c r="E36" s="35"/>
      <c r="F36" s="37"/>
      <c r="G36" s="36"/>
      <c r="H36" s="36"/>
      <c r="I36" s="32"/>
      <c r="J36" s="33"/>
      <c r="K36" s="34"/>
    </row>
    <row r="37" ht="14.25" customHeight="1" outlineLevel="1">
      <c r="A37" s="28">
        <v>28</v>
      </c>
      <c r="B37" s="36"/>
      <c r="C37" s="36"/>
      <c r="D37" s="36"/>
      <c r="E37" s="35"/>
      <c r="F37" s="37"/>
      <c r="G37" s="36"/>
      <c r="H37" s="36"/>
      <c r="I37" s="32"/>
      <c r="J37" s="33"/>
      <c r="K37" s="34"/>
    </row>
    <row r="38" ht="14.25" customHeight="1" outlineLevel="1">
      <c r="A38" s="28">
        <v>29</v>
      </c>
      <c r="B38" s="36"/>
      <c r="C38" s="36"/>
      <c r="D38" s="36"/>
      <c r="E38" s="35"/>
      <c r="F38" s="37"/>
      <c r="G38" s="36"/>
      <c r="H38" s="36"/>
      <c r="I38" s="32"/>
      <c r="J38" s="33"/>
      <c r="K38" s="34"/>
    </row>
    <row r="39" ht="14.25" customHeight="1" outlineLevel="1">
      <c r="A39" s="28">
        <v>30</v>
      </c>
      <c r="B39" s="36"/>
      <c r="C39" s="36"/>
      <c r="D39" s="36"/>
      <c r="E39" s="35"/>
      <c r="F39" s="37"/>
      <c r="G39" s="36"/>
      <c r="H39" s="36"/>
      <c r="I39" s="32"/>
      <c r="J39" s="33"/>
      <c r="K39" s="34"/>
    </row>
    <row r="40" ht="14.25" customHeight="1" outlineLevel="1">
      <c r="A40" s="28">
        <v>31</v>
      </c>
      <c r="B40" s="36"/>
      <c r="C40" s="36"/>
      <c r="D40" s="36"/>
      <c r="E40" s="35"/>
      <c r="F40" s="37"/>
      <c r="G40" s="36"/>
      <c r="H40" s="36"/>
      <c r="I40" s="32"/>
      <c r="J40" s="33"/>
      <c r="K40" s="34"/>
    </row>
    <row r="41" ht="14.25" customHeight="1" outlineLevel="1">
      <c r="A41" s="28">
        <v>32</v>
      </c>
      <c r="B41" s="36"/>
      <c r="C41" s="36"/>
      <c r="D41" s="36"/>
      <c r="E41" s="35"/>
      <c r="F41" s="37"/>
      <c r="G41" s="36"/>
      <c r="H41" s="36"/>
      <c r="I41" s="32"/>
      <c r="J41" s="33"/>
      <c r="K41" s="34"/>
    </row>
    <row r="42" ht="14.25" customHeight="1" outlineLevel="1">
      <c r="A42" s="28">
        <v>33</v>
      </c>
      <c r="B42" s="36"/>
      <c r="C42" s="36"/>
      <c r="D42" s="36"/>
      <c r="E42" s="35"/>
      <c r="F42" s="37"/>
      <c r="G42" s="36"/>
      <c r="H42" s="36"/>
      <c r="I42" s="32"/>
      <c r="J42" s="33"/>
      <c r="K42" s="34"/>
    </row>
    <row r="43" ht="14.25" customHeight="1" outlineLevel="1">
      <c r="A43" s="28">
        <v>34</v>
      </c>
      <c r="B43" s="36"/>
      <c r="C43" s="36"/>
      <c r="D43" s="36"/>
      <c r="E43" s="35"/>
      <c r="F43" s="37"/>
      <c r="G43" s="36"/>
      <c r="H43" s="36"/>
      <c r="I43" s="32"/>
      <c r="J43" s="33"/>
      <c r="K43" s="34"/>
    </row>
    <row r="44" ht="14.25" customHeight="1" outlineLevel="1">
      <c r="A44" s="28">
        <v>35</v>
      </c>
      <c r="B44" s="36"/>
      <c r="C44" s="36"/>
      <c r="D44" s="36"/>
      <c r="E44" s="35"/>
      <c r="F44" s="37"/>
      <c r="G44" s="36"/>
      <c r="H44" s="36"/>
      <c r="I44" s="32"/>
      <c r="J44" s="33"/>
      <c r="K44" s="34"/>
    </row>
    <row r="45" ht="14.25" customHeight="1" outlineLevel="1">
      <c r="A45" s="28">
        <v>36</v>
      </c>
      <c r="B45" s="36"/>
      <c r="C45" s="36"/>
      <c r="D45" s="36"/>
      <c r="E45" s="35"/>
      <c r="F45" s="37"/>
      <c r="G45" s="36"/>
      <c r="H45" s="36"/>
      <c r="I45" s="32"/>
      <c r="J45" s="33"/>
      <c r="K45" s="34"/>
    </row>
    <row r="46" ht="14.25" customHeight="1" outlineLevel="1">
      <c r="A46" s="28">
        <v>37</v>
      </c>
      <c r="B46" s="36"/>
      <c r="C46" s="36"/>
      <c r="D46" s="36"/>
      <c r="E46" s="35"/>
      <c r="F46" s="37"/>
      <c r="G46" s="36"/>
      <c r="H46" s="36"/>
      <c r="I46" s="32"/>
      <c r="J46" s="33"/>
      <c r="K46" s="34"/>
    </row>
    <row r="47" ht="14.25" customHeight="1" outlineLevel="1">
      <c r="A47" s="28">
        <v>38</v>
      </c>
      <c r="B47" s="36"/>
      <c r="C47" s="36"/>
      <c r="D47" s="36"/>
      <c r="E47" s="35"/>
      <c r="F47" s="37"/>
      <c r="G47" s="36"/>
      <c r="H47" s="36"/>
      <c r="I47" s="32"/>
      <c r="J47" s="33"/>
      <c r="K47" s="34"/>
    </row>
    <row r="48" ht="14.25" customHeight="1" outlineLevel="1">
      <c r="A48" s="28">
        <v>39</v>
      </c>
      <c r="B48" s="36"/>
      <c r="C48" s="37"/>
      <c r="D48" s="37"/>
      <c r="E48" s="35"/>
      <c r="F48" s="37"/>
      <c r="G48" s="36"/>
      <c r="H48" s="36"/>
      <c r="I48" s="32"/>
      <c r="J48" s="33"/>
      <c r="K48" s="34"/>
    </row>
    <row r="49" ht="14.25" customHeight="1" outlineLevel="1">
      <c r="A49" s="28">
        <v>40</v>
      </c>
      <c r="B49" s="36"/>
      <c r="C49" s="36"/>
      <c r="D49" s="36"/>
      <c r="E49" s="38"/>
      <c r="F49" s="37"/>
      <c r="G49" s="36"/>
      <c r="H49" s="36"/>
      <c r="I49" s="32"/>
      <c r="J49" s="33"/>
      <c r="K49" s="34"/>
    </row>
    <row r="50" outlineLevel="1">
      <c r="A50" s="28">
        <v>41</v>
      </c>
      <c r="B50" s="33"/>
      <c r="C50" s="33"/>
      <c r="D50" s="33"/>
      <c r="E50" s="33"/>
      <c r="F50" s="33"/>
      <c r="G50" s="33"/>
      <c r="H50" s="36"/>
      <c r="I50" s="32"/>
      <c r="J50" s="33"/>
      <c r="K50" s="34"/>
    </row>
    <row r="51" ht="14.25" customHeight="1" outlineLevel="1">
      <c r="A51" s="28">
        <v>42</v>
      </c>
      <c r="B51" s="33"/>
      <c r="C51" s="33"/>
      <c r="D51" s="33"/>
      <c r="E51" s="33"/>
      <c r="F51" s="33"/>
      <c r="G51" s="33"/>
      <c r="H51" s="36"/>
      <c r="I51" s="36"/>
      <c r="J51" s="33"/>
      <c r="K51" s="34"/>
    </row>
    <row r="52" ht="14.25" customHeight="1" outlineLevel="1">
      <c r="A52" s="28">
        <v>43</v>
      </c>
      <c r="B52" s="32"/>
      <c r="C52" s="39"/>
      <c r="D52" s="39"/>
      <c r="E52" s="35"/>
      <c r="F52" s="39"/>
      <c r="G52" s="32"/>
      <c r="H52" s="36"/>
      <c r="I52" s="32"/>
      <c r="J52" s="33"/>
      <c r="K52" s="34"/>
    </row>
    <row r="53" ht="14.25" customHeight="1" outlineLevel="1">
      <c r="A53" s="28">
        <v>44</v>
      </c>
      <c r="B53" s="40"/>
      <c r="C53" s="40"/>
      <c r="D53" s="41"/>
      <c r="E53" s="42"/>
      <c r="F53" s="41"/>
      <c r="G53" s="32"/>
      <c r="H53" s="36"/>
      <c r="I53" s="32"/>
      <c r="J53" s="33"/>
      <c r="K53" s="34"/>
    </row>
    <row r="54" ht="14.25" customHeight="1" outlineLevel="1">
      <c r="A54" s="28">
        <v>45</v>
      </c>
      <c r="B54" s="40"/>
      <c r="C54" s="40"/>
      <c r="D54" s="41"/>
      <c r="E54" s="43"/>
      <c r="F54" s="41"/>
      <c r="G54" s="32"/>
      <c r="H54" s="36"/>
      <c r="I54" s="32"/>
      <c r="J54" s="33"/>
      <c r="K54" s="34"/>
    </row>
    <row r="55" ht="14.25" customHeight="1" outlineLevel="1">
      <c r="A55" s="28">
        <v>46</v>
      </c>
      <c r="B55" s="44"/>
      <c r="C55" s="45"/>
      <c r="D55" s="45"/>
      <c r="E55" s="43"/>
      <c r="F55" s="45"/>
      <c r="G55" s="32"/>
      <c r="H55" s="36"/>
      <c r="I55" s="32"/>
      <c r="J55" s="33"/>
      <c r="K55" s="34"/>
    </row>
    <row r="56" ht="14.25" customHeight="1" outlineLevel="1">
      <c r="A56" s="28">
        <v>47</v>
      </c>
      <c r="B56" s="44"/>
      <c r="C56" s="45"/>
      <c r="D56" s="45"/>
      <c r="E56" s="43"/>
      <c r="F56" s="45"/>
      <c r="G56" s="32"/>
      <c r="H56" s="36"/>
      <c r="I56" s="32"/>
      <c r="J56" s="33"/>
      <c r="K56" s="34"/>
    </row>
    <row r="57" ht="14.25" customHeight="1" outlineLevel="1">
      <c r="A57" s="28">
        <v>48</v>
      </c>
      <c r="B57" s="36"/>
      <c r="C57" s="37"/>
      <c r="D57" s="37"/>
      <c r="E57" s="35"/>
      <c r="F57" s="37"/>
      <c r="G57" s="36"/>
      <c r="H57" s="36"/>
      <c r="I57" s="32"/>
      <c r="J57" s="33"/>
      <c r="K57" s="34"/>
    </row>
    <row r="58" ht="14.25" customHeight="1" outlineLevel="1">
      <c r="A58" s="28">
        <v>49</v>
      </c>
      <c r="B58" s="36"/>
      <c r="C58" s="37"/>
      <c r="D58" s="37"/>
      <c r="E58" s="35"/>
      <c r="F58" s="37"/>
      <c r="G58" s="36"/>
      <c r="H58" s="36"/>
      <c r="I58" s="32"/>
      <c r="J58" s="33"/>
      <c r="K58" s="34"/>
    </row>
    <row r="59" ht="14.25" customHeight="1" outlineLevel="1">
      <c r="A59" s="28">
        <v>50</v>
      </c>
      <c r="B59" s="36"/>
      <c r="C59" s="37"/>
      <c r="D59" s="37"/>
      <c r="E59" s="35"/>
      <c r="F59" s="37"/>
      <c r="G59" s="36"/>
      <c r="H59" s="36"/>
      <c r="I59" s="32"/>
      <c r="J59" s="33"/>
      <c r="K59" s="34"/>
    </row>
    <row r="60" s="21" customFormat="1" ht="20.25" customHeight="1" outlineLevel="1">
      <c r="A60" s="22"/>
      <c r="B60" s="23" t="s">
        <v>18</v>
      </c>
      <c r="C60" s="24"/>
      <c r="D60" s="25"/>
      <c r="E60" s="26"/>
      <c r="F60" s="23"/>
      <c r="G60" s="23"/>
      <c r="H60" s="23"/>
      <c r="I60" s="23"/>
      <c r="J60" s="23"/>
      <c r="K60" s="27"/>
    </row>
    <row r="61" ht="14.25" customHeight="1" outlineLevel="1">
      <c r="A61" s="46">
        <v>1</v>
      </c>
      <c r="B61" s="47"/>
      <c r="C61" s="47"/>
      <c r="D61" s="47"/>
      <c r="E61" s="48"/>
      <c r="F61" s="49"/>
      <c r="G61" s="47"/>
      <c r="H61" s="47"/>
      <c r="I61" s="47"/>
      <c r="J61" s="50"/>
      <c r="K61" s="51"/>
    </row>
    <row r="62" ht="14.25" customHeight="1" outlineLevel="1">
      <c r="A62" s="28">
        <v>2</v>
      </c>
      <c r="B62" s="36"/>
      <c r="C62" s="36"/>
      <c r="D62" s="36"/>
      <c r="E62" s="38"/>
      <c r="F62" s="37"/>
      <c r="G62" s="36"/>
      <c r="H62" s="36"/>
      <c r="I62" s="36"/>
      <c r="J62" s="33"/>
      <c r="K62" s="34"/>
    </row>
    <row r="63" ht="14.25" customHeight="1" outlineLevel="1">
      <c r="A63" s="28">
        <v>3</v>
      </c>
      <c r="B63" s="36"/>
      <c r="C63" s="36"/>
      <c r="D63" s="36"/>
      <c r="E63" s="38"/>
      <c r="F63" s="37"/>
      <c r="G63" s="36"/>
      <c r="H63" s="36"/>
      <c r="I63" s="36"/>
      <c r="J63" s="33"/>
      <c r="K63" s="34"/>
    </row>
    <row r="64" ht="14.25" customHeight="1" outlineLevel="1">
      <c r="A64" s="28">
        <v>4</v>
      </c>
      <c r="B64" s="36"/>
      <c r="C64" s="36"/>
      <c r="D64" s="36"/>
      <c r="E64" s="38"/>
      <c r="F64" s="37"/>
      <c r="G64" s="36"/>
      <c r="H64" s="36"/>
      <c r="I64" s="36"/>
      <c r="J64" s="33"/>
      <c r="K64" s="34"/>
    </row>
    <row r="65" ht="14.25" customHeight="1" outlineLevel="1">
      <c r="A65" s="52">
        <v>5</v>
      </c>
      <c r="B65" s="53"/>
      <c r="C65" s="53"/>
      <c r="D65" s="53"/>
      <c r="E65" s="54"/>
      <c r="F65" s="55"/>
      <c r="G65" s="53"/>
      <c r="H65" s="53"/>
      <c r="I65" s="53"/>
      <c r="J65" s="56"/>
      <c r="K65" s="57"/>
    </row>
    <row r="66" s="21" customFormat="1" ht="20.25" customHeight="1" outlineLevel="1">
      <c r="A66" s="22"/>
      <c r="B66" s="23" t="s">
        <v>19</v>
      </c>
      <c r="C66" s="24"/>
      <c r="D66" s="25"/>
      <c r="E66" s="26"/>
      <c r="F66" s="23"/>
      <c r="G66" s="23"/>
      <c r="H66" s="23"/>
      <c r="I66" s="23"/>
      <c r="J66" s="23"/>
      <c r="K66" s="27"/>
    </row>
    <row r="67" ht="14.25" customHeight="1" outlineLevel="1">
      <c r="A67" s="46">
        <v>1</v>
      </c>
      <c r="B67" s="44"/>
      <c r="C67" s="58"/>
      <c r="D67" s="36"/>
      <c r="E67" s="38"/>
      <c r="F67" s="59"/>
      <c r="G67" s="47"/>
      <c r="H67" s="47"/>
      <c r="I67" s="47"/>
      <c r="J67" s="50"/>
      <c r="K67" s="51"/>
    </row>
    <row r="68" ht="14.25" customHeight="1" outlineLevel="1">
      <c r="A68" s="28">
        <v>2</v>
      </c>
      <c r="B68" s="60"/>
      <c r="C68" s="60"/>
      <c r="D68" s="61"/>
      <c r="E68" s="38"/>
      <c r="F68" s="62"/>
      <c r="G68" s="36"/>
      <c r="H68" s="36"/>
      <c r="I68" s="36"/>
      <c r="J68" s="33"/>
      <c r="K68" s="34"/>
    </row>
    <row r="69" ht="14.25" customHeight="1" outlineLevel="1">
      <c r="A69" s="28">
        <v>3</v>
      </c>
      <c r="B69" s="36"/>
      <c r="C69" s="36"/>
      <c r="D69" s="36"/>
      <c r="E69" s="38"/>
      <c r="F69" s="37"/>
      <c r="G69" s="36"/>
      <c r="H69" s="36"/>
      <c r="I69" s="36"/>
      <c r="J69" s="33"/>
      <c r="K69" s="34"/>
    </row>
    <row r="70" ht="14.25" customHeight="1" outlineLevel="1">
      <c r="A70" s="28">
        <v>4</v>
      </c>
      <c r="B70" s="36"/>
      <c r="C70" s="36"/>
      <c r="D70" s="36"/>
      <c r="E70" s="38"/>
      <c r="F70" s="37"/>
      <c r="G70" s="36"/>
      <c r="H70" s="36"/>
      <c r="I70" s="36"/>
      <c r="J70" s="33"/>
      <c r="K70" s="34"/>
    </row>
    <row r="71" ht="14.25" customHeight="1" outlineLevel="1">
      <c r="A71" s="52">
        <v>5</v>
      </c>
      <c r="B71" s="53"/>
      <c r="C71" s="53"/>
      <c r="D71" s="53"/>
      <c r="E71" s="54"/>
      <c r="F71" s="55"/>
      <c r="G71" s="53"/>
      <c r="H71" s="53"/>
      <c r="I71" s="53"/>
      <c r="J71" s="56"/>
      <c r="K71" s="57"/>
    </row>
    <row r="72" s="21" customFormat="1" ht="23.25" customHeight="1">
      <c r="A72" s="63" t="s">
        <v>20</v>
      </c>
      <c r="B72" s="64"/>
      <c r="C72" s="64"/>
      <c r="D72" s="65"/>
      <c r="E72" s="66">
        <f>SUM(E9:E71)</f>
        <v>0</v>
      </c>
    </row>
    <row r="73" s="21" customFormat="1" ht="23.25" customHeight="1">
      <c r="A73" s="63" t="s">
        <v>21</v>
      </c>
      <c r="B73" s="64"/>
      <c r="C73" s="64"/>
      <c r="D73" s="65"/>
      <c r="E73" s="66">
        <f>E4-E72</f>
        <v>20558</v>
      </c>
      <c r="F73" s="67"/>
    </row>
  </sheetData>
  <mergeCells count="6">
    <mergeCell ref="E1:F1"/>
    <mergeCell ref="A4:D4"/>
    <mergeCell ref="A5:D5"/>
    <mergeCell ref="A6:D6"/>
    <mergeCell ref="A72:D72"/>
    <mergeCell ref="A73:D7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90082-000E-4018-9FE0-00C700690078}" type="list" allowBlank="1" errorStyle="stop" imeMode="noControl" operator="between" showDropDown="0" showErrorMessage="1" showInputMessage="1">
          <x14:formula1>
            <xm:f>ДаНет</xm:f>
          </x14:formula1>
          <xm:sqref>H67:H71 H10:H59 H61:H65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44" zoomScale="85" workbookViewId="0">
      <selection activeCell="I40" activeCellId="0" sqref="I40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'30'!C2+1</f>
        <v>46112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9.25" customHeight="1">
      <c r="A4" s="9" t="s">
        <v>2</v>
      </c>
      <c r="B4" s="10"/>
      <c r="C4" s="10"/>
      <c r="D4" s="11"/>
      <c r="E4" s="12">
        <f>SUM(E5:E6)</f>
        <v>1533021.78</v>
      </c>
      <c r="F4" s="68" t="s">
        <v>22</v>
      </c>
      <c r="G4" s="13"/>
      <c r="H4" s="13"/>
      <c r="I4" s="13"/>
    </row>
    <row r="5" ht="15" customHeight="1">
      <c r="A5" s="14" t="s">
        <v>3</v>
      </c>
      <c r="B5" s="15"/>
      <c r="C5" s="15"/>
      <c r="D5" s="16"/>
      <c r="E5" s="17">
        <v>750351.35999999999</v>
      </c>
      <c r="F5" s="13"/>
      <c r="G5" s="13"/>
      <c r="H5" s="13"/>
      <c r="I5" s="13"/>
    </row>
    <row r="6" ht="15" customHeight="1">
      <c r="A6" s="14" t="s">
        <v>4</v>
      </c>
      <c r="B6" s="15"/>
      <c r="C6" s="15"/>
      <c r="D6" s="16"/>
      <c r="E6" s="17">
        <v>782670.42000000004</v>
      </c>
      <c r="F6" s="13"/>
      <c r="G6" s="13"/>
      <c r="H6" s="13"/>
      <c r="I6" s="13"/>
    </row>
    <row r="7" ht="6" customHeight="1">
      <c r="A7" s="13"/>
      <c r="B7" s="13"/>
      <c r="C7" s="13"/>
      <c r="D7" s="13"/>
      <c r="E7" s="13"/>
      <c r="F7" s="13"/>
      <c r="G7" s="13"/>
      <c r="H7" s="13"/>
      <c r="I7" s="13"/>
    </row>
    <row r="8" ht="26.25" customHeight="1" outlineLevel="1">
      <c r="A8" s="18" t="s">
        <v>5</v>
      </c>
      <c r="B8" s="18" t="s">
        <v>6</v>
      </c>
      <c r="C8" s="18" t="s">
        <v>7</v>
      </c>
      <c r="D8" s="18" t="s">
        <v>8</v>
      </c>
      <c r="E8" s="19" t="s">
        <v>9</v>
      </c>
      <c r="F8" s="18" t="s">
        <v>10</v>
      </c>
      <c r="G8" s="18" t="s">
        <v>11</v>
      </c>
      <c r="H8" s="20" t="s">
        <v>12</v>
      </c>
      <c r="I8" s="18" t="s">
        <v>13</v>
      </c>
      <c r="J8" s="18" t="s">
        <v>14</v>
      </c>
      <c r="K8" s="18" t="s">
        <v>15</v>
      </c>
    </row>
    <row r="9" s="21" customFormat="1" ht="20.25" customHeight="1" outlineLevel="1">
      <c r="A9" s="69"/>
      <c r="B9" s="70" t="s">
        <v>16</v>
      </c>
      <c r="C9" s="71"/>
      <c r="D9" s="72"/>
      <c r="E9" s="73"/>
      <c r="F9" s="70"/>
      <c r="G9" s="70"/>
      <c r="H9" s="70"/>
      <c r="I9" s="70"/>
      <c r="J9" s="23"/>
      <c r="K9" s="27"/>
    </row>
    <row r="10" ht="15" customHeight="1" outlineLevel="1">
      <c r="A10" s="74">
        <v>1</v>
      </c>
      <c r="B10" s="75" t="s">
        <v>25</v>
      </c>
      <c r="C10" s="76" t="s">
        <v>26</v>
      </c>
      <c r="D10" s="77" t="s">
        <v>27</v>
      </c>
      <c r="E10" s="78" t="s">
        <v>28</v>
      </c>
      <c r="F10" s="79" t="s">
        <v>29</v>
      </c>
      <c r="G10" s="80" t="s">
        <v>30</v>
      </c>
      <c r="H10" s="81" t="s">
        <v>31</v>
      </c>
      <c r="I10" s="75" t="s">
        <v>32</v>
      </c>
      <c r="J10" s="82"/>
      <c r="K10" s="34"/>
      <c r="L10" s="1"/>
    </row>
    <row r="11" ht="14.25" customHeight="1" outlineLevel="1">
      <c r="A11" s="74">
        <f t="shared" ref="A11:A60" si="7">A10+1</f>
        <v>2</v>
      </c>
      <c r="B11" s="75" t="s">
        <v>25</v>
      </c>
      <c r="C11" s="79" t="s">
        <v>33</v>
      </c>
      <c r="D11" s="77" t="s">
        <v>34</v>
      </c>
      <c r="E11" s="83" t="s">
        <v>35</v>
      </c>
      <c r="F11" s="77" t="s">
        <v>36</v>
      </c>
      <c r="G11" s="84" t="s">
        <v>30</v>
      </c>
      <c r="H11" s="85" t="s">
        <v>31</v>
      </c>
      <c r="I11" s="85" t="s">
        <v>37</v>
      </c>
      <c r="J11" s="82"/>
      <c r="K11" s="34"/>
      <c r="L11" s="1"/>
    </row>
    <row r="12" ht="14.25" customHeight="1" outlineLevel="1">
      <c r="A12" s="74">
        <f t="shared" si="7"/>
        <v>3</v>
      </c>
      <c r="B12" s="75" t="s">
        <v>25</v>
      </c>
      <c r="C12" s="79" t="s">
        <v>33</v>
      </c>
      <c r="D12" s="85" t="s">
        <v>38</v>
      </c>
      <c r="E12" s="83" t="s">
        <v>39</v>
      </c>
      <c r="F12" s="77" t="s">
        <v>40</v>
      </c>
      <c r="G12" s="84" t="s">
        <v>30</v>
      </c>
      <c r="H12" s="85" t="s">
        <v>31</v>
      </c>
      <c r="I12" s="85" t="s">
        <v>41</v>
      </c>
      <c r="J12" s="82"/>
      <c r="K12" s="34"/>
      <c r="L12" s="1"/>
    </row>
    <row r="13" ht="14.25" customHeight="1" outlineLevel="1">
      <c r="A13" s="74">
        <f t="shared" si="7"/>
        <v>4</v>
      </c>
      <c r="B13" s="75" t="s">
        <v>25</v>
      </c>
      <c r="C13" s="86" t="s">
        <v>33</v>
      </c>
      <c r="D13" s="85" t="s">
        <v>42</v>
      </c>
      <c r="E13" s="83" t="s">
        <v>43</v>
      </c>
      <c r="F13" s="77" t="s">
        <v>36</v>
      </c>
      <c r="G13" s="84" t="s">
        <v>30</v>
      </c>
      <c r="H13" s="85" t="s">
        <v>31</v>
      </c>
      <c r="I13" s="85" t="s">
        <v>44</v>
      </c>
      <c r="J13" s="82"/>
      <c r="K13" s="34"/>
      <c r="L13" s="1"/>
    </row>
    <row r="14" ht="14.25" customHeight="1" outlineLevel="1">
      <c r="A14" s="74">
        <f t="shared" si="7"/>
        <v>5</v>
      </c>
      <c r="B14" s="75" t="s">
        <v>25</v>
      </c>
      <c r="C14" s="86" t="s">
        <v>33</v>
      </c>
      <c r="D14" s="85" t="s">
        <v>45</v>
      </c>
      <c r="E14" s="87" t="s">
        <v>46</v>
      </c>
      <c r="F14" s="88" t="s">
        <v>40</v>
      </c>
      <c r="G14" s="84" t="s">
        <v>30</v>
      </c>
      <c r="H14" s="84" t="s">
        <v>31</v>
      </c>
      <c r="I14" s="89" t="s">
        <v>47</v>
      </c>
      <c r="J14" s="82"/>
      <c r="K14" s="34"/>
      <c r="L14" s="1"/>
    </row>
    <row r="15" ht="14.25" customHeight="1" outlineLevel="1">
      <c r="A15" s="74">
        <f t="shared" si="7"/>
        <v>6</v>
      </c>
      <c r="B15" s="75" t="s">
        <v>25</v>
      </c>
      <c r="C15" s="86" t="s">
        <v>33</v>
      </c>
      <c r="D15" s="85" t="s">
        <v>48</v>
      </c>
      <c r="E15" s="87" t="s">
        <v>49</v>
      </c>
      <c r="F15" s="88" t="s">
        <v>40</v>
      </c>
      <c r="G15" s="84" t="s">
        <v>30</v>
      </c>
      <c r="H15" s="84" t="s">
        <v>31</v>
      </c>
      <c r="I15" s="89" t="s">
        <v>50</v>
      </c>
      <c r="J15" s="82"/>
      <c r="K15" s="34"/>
      <c r="L15" s="1"/>
    </row>
    <row r="16" ht="14.25" customHeight="1" outlineLevel="1">
      <c r="A16" s="74">
        <f t="shared" si="7"/>
        <v>7</v>
      </c>
      <c r="B16" s="75" t="s">
        <v>25</v>
      </c>
      <c r="C16" s="86" t="s">
        <v>33</v>
      </c>
      <c r="D16" s="85" t="s">
        <v>51</v>
      </c>
      <c r="E16" s="87" t="s">
        <v>52</v>
      </c>
      <c r="F16" s="88" t="s">
        <v>40</v>
      </c>
      <c r="G16" s="84" t="s">
        <v>30</v>
      </c>
      <c r="H16" s="84" t="s">
        <v>31</v>
      </c>
      <c r="I16" s="89" t="s">
        <v>53</v>
      </c>
      <c r="J16" s="82"/>
      <c r="K16" s="34"/>
      <c r="L16" s="1"/>
    </row>
    <row r="17" ht="14.25" customHeight="1" outlineLevel="1">
      <c r="A17" s="74">
        <f t="shared" si="7"/>
        <v>8</v>
      </c>
      <c r="B17" s="75" t="s">
        <v>25</v>
      </c>
      <c r="C17" s="79" t="s">
        <v>33</v>
      </c>
      <c r="D17" s="77" t="s">
        <v>54</v>
      </c>
      <c r="E17" s="87" t="s">
        <v>55</v>
      </c>
      <c r="F17" s="88" t="s">
        <v>40</v>
      </c>
      <c r="G17" s="84" t="s">
        <v>30</v>
      </c>
      <c r="H17" s="84" t="s">
        <v>31</v>
      </c>
      <c r="I17" s="89" t="s">
        <v>56</v>
      </c>
      <c r="J17" s="82"/>
      <c r="K17" s="34"/>
      <c r="L17" s="1"/>
    </row>
    <row r="18" ht="14.25" customHeight="1" outlineLevel="1">
      <c r="A18" s="74">
        <f t="shared" si="7"/>
        <v>9</v>
      </c>
      <c r="B18" s="75" t="s">
        <v>25</v>
      </c>
      <c r="C18" s="79" t="s">
        <v>33</v>
      </c>
      <c r="D18" s="77" t="s">
        <v>57</v>
      </c>
      <c r="E18" s="87" t="s">
        <v>58</v>
      </c>
      <c r="F18" s="88" t="s">
        <v>40</v>
      </c>
      <c r="G18" s="84" t="s">
        <v>30</v>
      </c>
      <c r="H18" s="84" t="s">
        <v>31</v>
      </c>
      <c r="I18" s="89" t="s">
        <v>59</v>
      </c>
      <c r="J18" s="82"/>
      <c r="K18" s="34"/>
      <c r="L18" s="1"/>
    </row>
    <row r="19" ht="14.25" customHeight="1" outlineLevel="1">
      <c r="A19" s="74">
        <f t="shared" si="7"/>
        <v>10</v>
      </c>
      <c r="B19" s="75" t="s">
        <v>25</v>
      </c>
      <c r="C19" s="79" t="s">
        <v>33</v>
      </c>
      <c r="D19" s="77" t="s">
        <v>60</v>
      </c>
      <c r="E19" s="87" t="s">
        <v>61</v>
      </c>
      <c r="F19" s="88" t="s">
        <v>40</v>
      </c>
      <c r="G19" s="84" t="s">
        <v>30</v>
      </c>
      <c r="H19" s="84" t="s">
        <v>31</v>
      </c>
      <c r="I19" s="89" t="s">
        <v>62</v>
      </c>
      <c r="J19" s="82"/>
      <c r="K19" s="34"/>
      <c r="L19" s="1"/>
    </row>
    <row r="20" ht="14.25" customHeight="1" outlineLevel="1">
      <c r="A20" s="74">
        <f t="shared" si="7"/>
        <v>11</v>
      </c>
      <c r="B20" s="75" t="s">
        <v>25</v>
      </c>
      <c r="C20" s="90" t="s">
        <v>63</v>
      </c>
      <c r="D20" s="91" t="s">
        <v>64</v>
      </c>
      <c r="E20" s="92" t="s">
        <v>65</v>
      </c>
      <c r="F20" s="77" t="s">
        <v>66</v>
      </c>
      <c r="G20" s="84" t="s">
        <v>30</v>
      </c>
      <c r="H20" s="93" t="s">
        <v>31</v>
      </c>
      <c r="I20" s="89" t="s">
        <v>67</v>
      </c>
      <c r="J20" s="82"/>
      <c r="K20" s="34"/>
      <c r="L20" s="1"/>
    </row>
    <row r="21" ht="14.25" customHeight="1" outlineLevel="1">
      <c r="A21" s="74">
        <f t="shared" si="7"/>
        <v>12</v>
      </c>
      <c r="B21" s="97" t="s">
        <v>72</v>
      </c>
      <c r="C21" s="90" t="s">
        <v>63</v>
      </c>
      <c r="D21" s="98" t="s">
        <v>73</v>
      </c>
      <c r="E21" s="99" t="s">
        <v>74</v>
      </c>
      <c r="F21" s="98" t="s">
        <v>75</v>
      </c>
      <c r="G21" s="84" t="s">
        <v>30</v>
      </c>
      <c r="H21" s="93" t="s">
        <v>31</v>
      </c>
      <c r="I21" s="101" t="s">
        <v>76</v>
      </c>
      <c r="J21" s="82"/>
      <c r="K21" s="34"/>
      <c r="L21" s="1"/>
    </row>
    <row r="22" ht="14.25" customHeight="1" outlineLevel="1">
      <c r="A22" s="74">
        <f t="shared" si="7"/>
        <v>13</v>
      </c>
      <c r="B22" s="97" t="s">
        <v>72</v>
      </c>
      <c r="C22" s="102" t="s">
        <v>63</v>
      </c>
      <c r="D22" s="103" t="s">
        <v>77</v>
      </c>
      <c r="E22" s="104" t="s">
        <v>78</v>
      </c>
      <c r="F22" s="105" t="s">
        <v>79</v>
      </c>
      <c r="G22" s="232" t="s">
        <v>30</v>
      </c>
      <c r="H22" s="375" t="s">
        <v>31</v>
      </c>
      <c r="I22" s="108" t="s">
        <v>80</v>
      </c>
      <c r="J22" s="33"/>
      <c r="K22" s="34"/>
      <c r="L22" s="1"/>
    </row>
    <row r="23" ht="14.25" customHeight="1" outlineLevel="1">
      <c r="A23" s="74">
        <f t="shared" si="7"/>
        <v>14</v>
      </c>
      <c r="B23" s="32" t="s">
        <v>72</v>
      </c>
      <c r="C23" s="39" t="s">
        <v>63</v>
      </c>
      <c r="D23" s="39" t="s">
        <v>81</v>
      </c>
      <c r="E23" s="198" t="s">
        <v>82</v>
      </c>
      <c r="F23" s="39" t="s">
        <v>83</v>
      </c>
      <c r="G23" s="376" t="s">
        <v>30</v>
      </c>
      <c r="H23" s="375" t="s">
        <v>31</v>
      </c>
      <c r="I23" s="32" t="s">
        <v>84</v>
      </c>
      <c r="J23" s="33"/>
      <c r="K23" s="34"/>
      <c r="L23" s="1"/>
    </row>
    <row r="24" ht="14.25" customHeight="1" outlineLevel="1">
      <c r="A24" s="74">
        <f t="shared" si="7"/>
        <v>15</v>
      </c>
      <c r="B24" s="298" t="s">
        <v>25</v>
      </c>
      <c r="C24" s="121" t="s">
        <v>91</v>
      </c>
      <c r="D24" s="122" t="s">
        <v>92</v>
      </c>
      <c r="E24" s="123" t="s">
        <v>93</v>
      </c>
      <c r="F24" s="124" t="s">
        <v>94</v>
      </c>
      <c r="G24" s="84" t="s">
        <v>30</v>
      </c>
      <c r="H24" s="375" t="s">
        <v>31</v>
      </c>
      <c r="I24" s="120" t="s">
        <v>95</v>
      </c>
      <c r="J24" s="33"/>
      <c r="K24" s="34"/>
      <c r="L24" s="1"/>
    </row>
    <row r="25" ht="14.25" customHeight="1" outlineLevel="1">
      <c r="A25" s="74">
        <f t="shared" si="7"/>
        <v>16</v>
      </c>
      <c r="B25" s="152" t="s">
        <v>25</v>
      </c>
      <c r="C25" s="137" t="s">
        <v>91</v>
      </c>
      <c r="D25" s="129" t="s">
        <v>97</v>
      </c>
      <c r="E25" s="130" t="s">
        <v>98</v>
      </c>
      <c r="F25" s="131" t="s">
        <v>99</v>
      </c>
      <c r="G25" s="84" t="s">
        <v>30</v>
      </c>
      <c r="H25" s="375" t="s">
        <v>31</v>
      </c>
      <c r="I25" s="133" t="s">
        <v>100</v>
      </c>
      <c r="J25" s="33"/>
      <c r="K25" s="34"/>
      <c r="L25" s="1"/>
    </row>
    <row r="26" ht="14.25" customHeight="1" outlineLevel="1">
      <c r="A26" s="74">
        <f t="shared" si="7"/>
        <v>17</v>
      </c>
      <c r="B26" s="127" t="s">
        <v>72</v>
      </c>
      <c r="C26" s="128" t="s">
        <v>101</v>
      </c>
      <c r="D26" s="129" t="s">
        <v>102</v>
      </c>
      <c r="E26" s="130" t="s">
        <v>103</v>
      </c>
      <c r="F26" s="131" t="s">
        <v>104</v>
      </c>
      <c r="G26" s="84" t="s">
        <v>30</v>
      </c>
      <c r="H26" s="375" t="s">
        <v>31</v>
      </c>
      <c r="I26" s="133" t="s">
        <v>105</v>
      </c>
      <c r="J26" s="33"/>
      <c r="K26" s="34"/>
      <c r="L26" s="1"/>
    </row>
    <row r="27" ht="14.25" customHeight="1" outlineLevel="1">
      <c r="A27" s="74">
        <f t="shared" si="7"/>
        <v>18</v>
      </c>
      <c r="B27" s="134" t="s">
        <v>72</v>
      </c>
      <c r="C27" s="128" t="s">
        <v>101</v>
      </c>
      <c r="D27" s="129" t="s">
        <v>106</v>
      </c>
      <c r="E27" s="130" t="s">
        <v>107</v>
      </c>
      <c r="F27" s="135" t="s">
        <v>104</v>
      </c>
      <c r="G27" s="84" t="s">
        <v>30</v>
      </c>
      <c r="H27" s="375" t="s">
        <v>31</v>
      </c>
      <c r="I27" s="133" t="s">
        <v>108</v>
      </c>
      <c r="J27" s="33"/>
      <c r="K27" s="34"/>
      <c r="L27" s="1"/>
    </row>
    <row r="28" ht="14.25" customHeight="1" outlineLevel="1">
      <c r="A28" s="74">
        <f t="shared" si="7"/>
        <v>19</v>
      </c>
      <c r="B28" s="136" t="s">
        <v>72</v>
      </c>
      <c r="C28" s="137" t="s">
        <v>101</v>
      </c>
      <c r="D28" s="129" t="s">
        <v>109</v>
      </c>
      <c r="E28" s="130" t="s">
        <v>107</v>
      </c>
      <c r="F28" s="135" t="s">
        <v>104</v>
      </c>
      <c r="G28" s="84" t="s">
        <v>30</v>
      </c>
      <c r="H28" s="375" t="s">
        <v>31</v>
      </c>
      <c r="I28" s="133" t="s">
        <v>110</v>
      </c>
      <c r="J28" s="33"/>
      <c r="K28" s="34"/>
      <c r="L28" s="1"/>
    </row>
    <row r="29" ht="14.25" customHeight="1" outlineLevel="1">
      <c r="A29" s="74">
        <f t="shared" si="7"/>
        <v>20</v>
      </c>
      <c r="B29" s="138" t="s">
        <v>72</v>
      </c>
      <c r="C29" s="139" t="s">
        <v>101</v>
      </c>
      <c r="D29" s="140" t="s">
        <v>111</v>
      </c>
      <c r="E29" s="141" t="s">
        <v>112</v>
      </c>
      <c r="F29" s="135" t="s">
        <v>104</v>
      </c>
      <c r="G29" s="84" t="s">
        <v>30</v>
      </c>
      <c r="H29" s="375" t="s">
        <v>31</v>
      </c>
      <c r="I29" s="133" t="s">
        <v>110</v>
      </c>
      <c r="J29" s="33"/>
      <c r="K29" s="34"/>
      <c r="L29" s="1"/>
    </row>
    <row r="30" ht="14.25" customHeight="1" outlineLevel="1">
      <c r="A30" s="74">
        <f t="shared" si="7"/>
        <v>21</v>
      </c>
      <c r="B30" s="155" t="s">
        <v>113</v>
      </c>
      <c r="C30" s="156" t="s">
        <v>114</v>
      </c>
      <c r="D30" s="103" t="s">
        <v>127</v>
      </c>
      <c r="E30" s="157" t="s">
        <v>116</v>
      </c>
      <c r="F30" s="158" t="s">
        <v>128</v>
      </c>
      <c r="G30" s="84" t="s">
        <v>30</v>
      </c>
      <c r="H30" s="375" t="s">
        <v>31</v>
      </c>
      <c r="I30" s="160"/>
      <c r="J30" s="33"/>
      <c r="K30" s="34"/>
      <c r="L30" s="1"/>
    </row>
    <row r="31" ht="14.25" customHeight="1" outlineLevel="1">
      <c r="A31" s="74">
        <f t="shared" si="7"/>
        <v>22</v>
      </c>
      <c r="B31" s="81" t="s">
        <v>113</v>
      </c>
      <c r="C31" s="162" t="s">
        <v>114</v>
      </c>
      <c r="D31" s="103" t="s">
        <v>129</v>
      </c>
      <c r="E31" s="163" t="s">
        <v>130</v>
      </c>
      <c r="F31" s="158" t="s">
        <v>128</v>
      </c>
      <c r="G31" s="84" t="s">
        <v>30</v>
      </c>
      <c r="H31" s="375" t="s">
        <v>31</v>
      </c>
      <c r="I31" s="160" t="s">
        <v>17</v>
      </c>
      <c r="J31" s="33"/>
      <c r="K31" s="34"/>
      <c r="L31" s="1"/>
    </row>
    <row r="32" ht="14.25" customHeight="1" outlineLevel="1">
      <c r="A32" s="74">
        <f t="shared" si="7"/>
        <v>23</v>
      </c>
      <c r="B32" s="150" t="s">
        <v>25</v>
      </c>
      <c r="C32" s="137" t="s">
        <v>131</v>
      </c>
      <c r="D32" s="129" t="s">
        <v>132</v>
      </c>
      <c r="E32" s="130" t="s">
        <v>133</v>
      </c>
      <c r="F32" s="131" t="s">
        <v>134</v>
      </c>
      <c r="G32" s="84" t="s">
        <v>30</v>
      </c>
      <c r="H32" s="375" t="s">
        <v>31</v>
      </c>
      <c r="I32" s="133" t="s">
        <v>135</v>
      </c>
      <c r="J32" s="33"/>
      <c r="K32" s="34"/>
      <c r="L32" s="1"/>
    </row>
    <row r="33" ht="14.25" customHeight="1" outlineLevel="1">
      <c r="A33" s="74">
        <f t="shared" si="7"/>
        <v>24</v>
      </c>
      <c r="B33" s="150" t="s">
        <v>25</v>
      </c>
      <c r="C33" s="264" t="s">
        <v>136</v>
      </c>
      <c r="D33" s="126" t="s">
        <v>137</v>
      </c>
      <c r="E33" s="123" t="s">
        <v>138</v>
      </c>
      <c r="F33" s="124" t="s">
        <v>139</v>
      </c>
      <c r="G33" s="84" t="s">
        <v>30</v>
      </c>
      <c r="H33" s="375" t="s">
        <v>31</v>
      </c>
      <c r="I33" s="126" t="s">
        <v>140</v>
      </c>
      <c r="J33" s="33"/>
      <c r="K33" s="34"/>
      <c r="L33" s="1"/>
    </row>
    <row r="34" ht="14.25" customHeight="1" outlineLevel="1">
      <c r="A34" s="74">
        <f t="shared" si="7"/>
        <v>25</v>
      </c>
      <c r="B34" s="152" t="s">
        <v>25</v>
      </c>
      <c r="C34" s="265" t="s">
        <v>141</v>
      </c>
      <c r="D34" s="165" t="s">
        <v>142</v>
      </c>
      <c r="E34" s="123" t="s">
        <v>143</v>
      </c>
      <c r="F34" s="131" t="s">
        <v>144</v>
      </c>
      <c r="G34" s="84" t="s">
        <v>30</v>
      </c>
      <c r="H34" s="375" t="s">
        <v>31</v>
      </c>
      <c r="I34" s="133" t="s">
        <v>145</v>
      </c>
      <c r="J34" s="33"/>
      <c r="K34" s="34"/>
      <c r="L34" s="1"/>
    </row>
    <row r="35" ht="14.25" customHeight="1" outlineLevel="1">
      <c r="A35" s="74">
        <f t="shared" si="7"/>
        <v>26</v>
      </c>
      <c r="B35" s="166" t="s">
        <v>113</v>
      </c>
      <c r="C35" s="167" t="s">
        <v>146</v>
      </c>
      <c r="D35" s="140" t="s">
        <v>147</v>
      </c>
      <c r="E35" s="168" t="s">
        <v>148</v>
      </c>
      <c r="F35" s="169" t="s">
        <v>149</v>
      </c>
      <c r="G35" s="84" t="s">
        <v>30</v>
      </c>
      <c r="H35" s="375" t="s">
        <v>31</v>
      </c>
      <c r="I35" s="170" t="s">
        <v>150</v>
      </c>
      <c r="J35" s="33"/>
      <c r="K35" s="34"/>
      <c r="L35" s="1"/>
    </row>
    <row r="36" ht="14.25" customHeight="1" outlineLevel="1">
      <c r="A36" s="74">
        <f t="shared" si="7"/>
        <v>27</v>
      </c>
      <c r="B36" s="134" t="s">
        <v>151</v>
      </c>
      <c r="C36" s="144" t="s">
        <v>152</v>
      </c>
      <c r="D36" s="145" t="s">
        <v>153</v>
      </c>
      <c r="E36" s="171" t="s">
        <v>154</v>
      </c>
      <c r="F36" s="131" t="s">
        <v>155</v>
      </c>
      <c r="G36" s="84" t="s">
        <v>30</v>
      </c>
      <c r="H36" s="375" t="s">
        <v>31</v>
      </c>
      <c r="I36" s="120" t="s">
        <v>156</v>
      </c>
      <c r="J36" s="33"/>
      <c r="K36" s="34"/>
      <c r="L36" s="1"/>
    </row>
    <row r="37" ht="14.25" customHeight="1" outlineLevel="1">
      <c r="A37" s="74">
        <f t="shared" si="7"/>
        <v>28</v>
      </c>
      <c r="B37" s="138" t="s">
        <v>72</v>
      </c>
      <c r="C37" s="150" t="s">
        <v>157</v>
      </c>
      <c r="D37" s="91" t="s">
        <v>158</v>
      </c>
      <c r="E37" s="173" t="s">
        <v>159</v>
      </c>
      <c r="F37" s="174" t="s">
        <v>160</v>
      </c>
      <c r="G37" s="84" t="s">
        <v>30</v>
      </c>
      <c r="H37" s="93" t="s">
        <v>31</v>
      </c>
      <c r="I37" s="176" t="s">
        <v>161</v>
      </c>
      <c r="J37" s="177"/>
      <c r="K37" s="228"/>
      <c r="L37" s="1"/>
    </row>
    <row r="38" ht="14.25" customHeight="1" outlineLevel="1">
      <c r="A38" s="74">
        <f t="shared" si="7"/>
        <v>29</v>
      </c>
      <c r="B38" s="172" t="s">
        <v>72</v>
      </c>
      <c r="C38" s="229" t="s">
        <v>162</v>
      </c>
      <c r="D38" s="230" t="s">
        <v>163</v>
      </c>
      <c r="E38" s="231" t="s">
        <v>164</v>
      </c>
      <c r="F38" s="230" t="s">
        <v>165</v>
      </c>
      <c r="G38" s="232" t="s">
        <v>30</v>
      </c>
      <c r="H38" s="93" t="s">
        <v>31</v>
      </c>
      <c r="I38" s="234" t="s">
        <v>166</v>
      </c>
      <c r="J38" s="235"/>
      <c r="K38" s="235"/>
      <c r="L38" s="1"/>
    </row>
    <row r="39" ht="14.25" customHeight="1" outlineLevel="1">
      <c r="A39" s="74">
        <f t="shared" si="7"/>
        <v>30</v>
      </c>
      <c r="B39" s="36" t="s">
        <v>72</v>
      </c>
      <c r="C39" s="37" t="s">
        <v>181</v>
      </c>
      <c r="D39" s="37" t="s">
        <v>182</v>
      </c>
      <c r="E39" s="198" t="s">
        <v>183</v>
      </c>
      <c r="F39" s="37" t="s">
        <v>184</v>
      </c>
      <c r="G39" s="377"/>
      <c r="H39" s="375" t="s">
        <v>31</v>
      </c>
      <c r="I39" s="32" t="s">
        <v>185</v>
      </c>
      <c r="J39" s="33"/>
      <c r="K39" s="34"/>
      <c r="L39" s="1"/>
    </row>
    <row r="40" ht="14.25" customHeight="1" outlineLevel="1">
      <c r="A40" s="74">
        <f t="shared" si="7"/>
        <v>31</v>
      </c>
      <c r="B40" s="29" t="s">
        <v>72</v>
      </c>
      <c r="C40" s="30" t="s">
        <v>114</v>
      </c>
      <c r="D40" s="293" t="s">
        <v>225</v>
      </c>
      <c r="E40" s="190" t="s">
        <v>226</v>
      </c>
      <c r="F40" s="30" t="s">
        <v>227</v>
      </c>
      <c r="G40" s="378"/>
      <c r="H40" s="375" t="s">
        <v>31</v>
      </c>
      <c r="I40" s="32" t="s">
        <v>228</v>
      </c>
      <c r="J40" s="33"/>
      <c r="K40" s="34"/>
      <c r="L40" s="1"/>
    </row>
    <row r="41" ht="14.25" customHeight="1" outlineLevel="1">
      <c r="A41" s="74">
        <f t="shared" si="7"/>
        <v>32</v>
      </c>
      <c r="B41" s="300" t="s">
        <v>72</v>
      </c>
      <c r="C41" s="302" t="s">
        <v>238</v>
      </c>
      <c r="D41" s="302" t="s">
        <v>239</v>
      </c>
      <c r="E41" s="301" t="s">
        <v>240</v>
      </c>
      <c r="F41" s="302" t="s">
        <v>241</v>
      </c>
      <c r="G41" s="379"/>
      <c r="H41" s="380" t="s">
        <v>31</v>
      </c>
      <c r="I41" s="36" t="s">
        <v>242</v>
      </c>
      <c r="J41" s="218"/>
      <c r="K41" s="219"/>
      <c r="L41" s="2"/>
    </row>
    <row r="42" ht="14.25" customHeight="1" outlineLevel="1">
      <c r="A42" s="74">
        <f t="shared" si="7"/>
        <v>33</v>
      </c>
      <c r="B42" s="44" t="s">
        <v>72</v>
      </c>
      <c r="C42" s="45" t="s">
        <v>282</v>
      </c>
      <c r="D42" s="45" t="s">
        <v>283</v>
      </c>
      <c r="E42" s="269" t="s">
        <v>130</v>
      </c>
      <c r="F42" s="268" t="s">
        <v>284</v>
      </c>
      <c r="G42" s="32"/>
      <c r="H42" s="36" t="s">
        <v>31</v>
      </c>
      <c r="I42" s="32" t="s">
        <v>285</v>
      </c>
      <c r="J42" s="33"/>
      <c r="K42" s="34"/>
      <c r="L42" s="1"/>
    </row>
    <row r="43" ht="14.25" customHeight="1" outlineLevel="1">
      <c r="A43" s="74">
        <f t="shared" si="7"/>
        <v>34</v>
      </c>
      <c r="B43" s="358" t="s">
        <v>72</v>
      </c>
      <c r="C43" s="359" t="s">
        <v>146</v>
      </c>
      <c r="D43" s="359" t="s">
        <v>295</v>
      </c>
      <c r="E43" s="323" t="s">
        <v>296</v>
      </c>
      <c r="F43" s="359" t="s">
        <v>297</v>
      </c>
      <c r="G43" s="358"/>
      <c r="H43" s="36" t="s">
        <v>31</v>
      </c>
      <c r="I43" s="32" t="s">
        <v>298</v>
      </c>
      <c r="J43" s="33"/>
      <c r="K43" s="34"/>
      <c r="L43" s="1"/>
    </row>
    <row r="44" ht="14.25" customHeight="1" outlineLevel="1">
      <c r="A44" s="74">
        <f t="shared" si="7"/>
        <v>35</v>
      </c>
      <c r="B44" s="36" t="s">
        <v>72</v>
      </c>
      <c r="C44" s="37" t="s">
        <v>302</v>
      </c>
      <c r="D44" s="37" t="s">
        <v>303</v>
      </c>
      <c r="E44" s="198" t="s">
        <v>304</v>
      </c>
      <c r="F44" s="37" t="s">
        <v>305</v>
      </c>
      <c r="G44" s="36"/>
      <c r="H44" s="36" t="s">
        <v>31</v>
      </c>
      <c r="I44" s="32" t="s">
        <v>242</v>
      </c>
      <c r="J44" s="33"/>
      <c r="K44" s="34"/>
      <c r="L44" s="1"/>
    </row>
    <row r="45" ht="14.25" customHeight="1" outlineLevel="1">
      <c r="A45" s="74">
        <f t="shared" si="7"/>
        <v>36</v>
      </c>
      <c r="B45" s="36" t="s">
        <v>72</v>
      </c>
      <c r="C45" s="37" t="s">
        <v>309</v>
      </c>
      <c r="D45" s="37" t="s">
        <v>310</v>
      </c>
      <c r="E45" s="198" t="s">
        <v>311</v>
      </c>
      <c r="F45" s="37" t="s">
        <v>312</v>
      </c>
      <c r="G45" s="36"/>
      <c r="H45" s="36" t="s">
        <v>31</v>
      </c>
      <c r="I45" s="32" t="s">
        <v>242</v>
      </c>
      <c r="J45" s="33"/>
      <c r="K45" s="34"/>
      <c r="L45" s="1"/>
    </row>
    <row r="46" ht="14.25" customHeight="1" outlineLevel="1">
      <c r="A46" s="74">
        <f t="shared" si="7"/>
        <v>37</v>
      </c>
      <c r="B46" s="36" t="s">
        <v>72</v>
      </c>
      <c r="C46" s="37" t="s">
        <v>181</v>
      </c>
      <c r="D46" s="37" t="s">
        <v>313</v>
      </c>
      <c r="E46" s="198" t="s">
        <v>314</v>
      </c>
      <c r="F46" s="37" t="s">
        <v>184</v>
      </c>
      <c r="G46" s="36"/>
      <c r="H46" s="36" t="s">
        <v>31</v>
      </c>
      <c r="I46" s="32" t="s">
        <v>315</v>
      </c>
      <c r="J46" s="33"/>
      <c r="K46" s="34"/>
      <c r="L46" s="1"/>
    </row>
    <row r="47" ht="14.25" customHeight="1" outlineLevel="1">
      <c r="A47" s="74">
        <f t="shared" si="7"/>
        <v>38</v>
      </c>
      <c r="B47" s="36" t="s">
        <v>72</v>
      </c>
      <c r="C47" s="37" t="s">
        <v>329</v>
      </c>
      <c r="D47" s="37" t="s">
        <v>330</v>
      </c>
      <c r="E47" s="198" t="s">
        <v>116</v>
      </c>
      <c r="F47" s="37" t="s">
        <v>331</v>
      </c>
      <c r="G47" s="36"/>
      <c r="H47" s="36" t="s">
        <v>31</v>
      </c>
      <c r="I47" s="32"/>
      <c r="J47" s="33"/>
      <c r="K47" s="34"/>
      <c r="L47" s="1"/>
    </row>
    <row r="48" ht="14.25" customHeight="1" outlineLevel="1">
      <c r="A48" s="74">
        <f t="shared" si="7"/>
        <v>39</v>
      </c>
      <c r="B48" s="36" t="s">
        <v>72</v>
      </c>
      <c r="C48" s="37" t="s">
        <v>167</v>
      </c>
      <c r="D48" s="37" t="s">
        <v>332</v>
      </c>
      <c r="E48" s="198" t="s">
        <v>169</v>
      </c>
      <c r="F48" s="37" t="s">
        <v>355</v>
      </c>
      <c r="G48" s="58"/>
      <c r="H48" s="36" t="s">
        <v>31</v>
      </c>
      <c r="I48" s="36"/>
      <c r="J48" s="33"/>
      <c r="K48" s="34"/>
      <c r="L48" s="1"/>
    </row>
    <row r="49" ht="14.25" customHeight="1" outlineLevel="1">
      <c r="A49" s="74">
        <f t="shared" si="7"/>
        <v>40</v>
      </c>
      <c r="B49" s="44" t="s">
        <v>72</v>
      </c>
      <c r="C49" s="45" t="s">
        <v>286</v>
      </c>
      <c r="D49" s="45" t="s">
        <v>287</v>
      </c>
      <c r="E49" s="381">
        <v>105400</v>
      </c>
      <c r="F49" s="382" t="s">
        <v>289</v>
      </c>
      <c r="G49" s="183" t="s">
        <v>30</v>
      </c>
      <c r="H49" s="276" t="s">
        <v>31</v>
      </c>
      <c r="I49" s="32" t="s">
        <v>290</v>
      </c>
      <c r="J49" s="33" t="s">
        <v>189</v>
      </c>
      <c r="K49" s="34"/>
      <c r="L49" s="1"/>
    </row>
    <row r="50" ht="14.25" customHeight="1" outlineLevel="1">
      <c r="A50" s="74">
        <f t="shared" si="7"/>
        <v>41</v>
      </c>
      <c r="B50" s="358" t="s">
        <v>72</v>
      </c>
      <c r="C50" s="359" t="s">
        <v>181</v>
      </c>
      <c r="D50" s="359" t="s">
        <v>291</v>
      </c>
      <c r="E50" s="383">
        <v>21400</v>
      </c>
      <c r="F50" s="384" t="s">
        <v>293</v>
      </c>
      <c r="G50" s="385" t="s">
        <v>30</v>
      </c>
      <c r="H50" s="276" t="s">
        <v>31</v>
      </c>
      <c r="I50" s="32" t="s">
        <v>294</v>
      </c>
      <c r="J50" s="33" t="s">
        <v>189</v>
      </c>
      <c r="K50" s="34"/>
      <c r="L50" s="1"/>
    </row>
    <row r="51" ht="14.25" customHeight="1" outlineLevel="1">
      <c r="A51" s="74">
        <f t="shared" si="7"/>
        <v>42</v>
      </c>
      <c r="B51" s="32" t="s">
        <v>72</v>
      </c>
      <c r="C51" s="39" t="s">
        <v>85</v>
      </c>
      <c r="D51" s="39" t="s">
        <v>259</v>
      </c>
      <c r="E51" s="386">
        <v>116000</v>
      </c>
      <c r="F51" s="278" t="s">
        <v>261</v>
      </c>
      <c r="G51" s="183" t="s">
        <v>30</v>
      </c>
      <c r="H51" s="276" t="s">
        <v>31</v>
      </c>
      <c r="I51" s="32" t="s">
        <v>262</v>
      </c>
      <c r="J51" s="33" t="s">
        <v>189</v>
      </c>
      <c r="K51" s="34"/>
      <c r="L51" s="1"/>
    </row>
    <row r="52" ht="14.25" customHeight="1" outlineLevel="1">
      <c r="A52" s="74">
        <f t="shared" si="7"/>
        <v>43</v>
      </c>
      <c r="B52" s="40" t="s">
        <v>72</v>
      </c>
      <c r="C52" s="41" t="s">
        <v>85</v>
      </c>
      <c r="D52" s="41" t="s">
        <v>266</v>
      </c>
      <c r="E52" s="381">
        <v>247720</v>
      </c>
      <c r="F52" s="368" t="s">
        <v>261</v>
      </c>
      <c r="G52" s="183" t="s">
        <v>30</v>
      </c>
      <c r="H52" s="276" t="s">
        <v>31</v>
      </c>
      <c r="I52" s="32" t="s">
        <v>262</v>
      </c>
      <c r="J52" s="33" t="s">
        <v>189</v>
      </c>
      <c r="K52" s="34"/>
      <c r="L52" s="1"/>
    </row>
    <row r="53" ht="14.25" customHeight="1" outlineLevel="1">
      <c r="A53" s="74">
        <f t="shared" si="7"/>
        <v>44</v>
      </c>
      <c r="B53" s="237" t="s">
        <v>72</v>
      </c>
      <c r="C53" s="237" t="s">
        <v>167</v>
      </c>
      <c r="D53" s="238" t="s">
        <v>168</v>
      </c>
      <c r="E53" s="387">
        <v>18400</v>
      </c>
      <c r="F53" s="388" t="s">
        <v>356</v>
      </c>
      <c r="G53" s="232" t="s">
        <v>30</v>
      </c>
      <c r="H53" s="375" t="s">
        <v>31</v>
      </c>
      <c r="I53" s="111"/>
      <c r="J53" s="177" t="s">
        <v>189</v>
      </c>
      <c r="K53" s="34"/>
      <c r="L53" s="1"/>
    </row>
    <row r="54" ht="14.25" customHeight="1" outlineLevel="1">
      <c r="A54" s="74">
        <f t="shared" si="7"/>
        <v>45</v>
      </c>
      <c r="B54" s="152" t="s">
        <v>25</v>
      </c>
      <c r="C54" s="152" t="s">
        <v>171</v>
      </c>
      <c r="D54" s="239" t="s">
        <v>172</v>
      </c>
      <c r="E54" s="389">
        <f>414800-114800-130000</f>
        <v>170000</v>
      </c>
      <c r="F54" s="195" t="s">
        <v>174</v>
      </c>
      <c r="G54" s="390" t="s">
        <v>30</v>
      </c>
      <c r="H54" s="93" t="s">
        <v>31</v>
      </c>
      <c r="I54" s="196" t="s">
        <v>175</v>
      </c>
      <c r="J54" s="236" t="s">
        <v>189</v>
      </c>
      <c r="K54" s="197"/>
      <c r="L54" s="1"/>
    </row>
    <row r="55" ht="14.25" customHeight="1" outlineLevel="1">
      <c r="A55" s="74">
        <f t="shared" si="7"/>
        <v>46</v>
      </c>
      <c r="B55" s="391" t="s">
        <v>113</v>
      </c>
      <c r="C55" s="392" t="s">
        <v>114</v>
      </c>
      <c r="D55" s="393" t="s">
        <v>115</v>
      </c>
      <c r="E55" s="394">
        <v>42000</v>
      </c>
      <c r="F55" s="395" t="s">
        <v>117</v>
      </c>
      <c r="G55" s="84" t="s">
        <v>30</v>
      </c>
      <c r="H55" s="375" t="s">
        <v>31</v>
      </c>
      <c r="I55" s="396" t="s">
        <v>118</v>
      </c>
      <c r="J55" s="33" t="s">
        <v>189</v>
      </c>
      <c r="K55" s="34"/>
      <c r="L55" s="1"/>
    </row>
    <row r="56" ht="14.25" customHeight="1" outlineLevel="1">
      <c r="A56" s="74">
        <f t="shared" si="7"/>
        <v>47</v>
      </c>
      <c r="B56" s="94" t="s">
        <v>25</v>
      </c>
      <c r="C56" s="90" t="s">
        <v>63</v>
      </c>
      <c r="D56" s="95" t="s">
        <v>68</v>
      </c>
      <c r="E56" s="365">
        <v>313500</v>
      </c>
      <c r="F56" s="91" t="s">
        <v>70</v>
      </c>
      <c r="G56" s="84" t="s">
        <v>30</v>
      </c>
      <c r="H56" s="93" t="s">
        <v>31</v>
      </c>
      <c r="I56" s="89" t="s">
        <v>71</v>
      </c>
      <c r="J56" s="82" t="s">
        <v>189</v>
      </c>
      <c r="K56" s="34"/>
      <c r="L56" s="1"/>
    </row>
    <row r="57" ht="14.25" customHeight="1" outlineLevel="1">
      <c r="A57" s="74">
        <f t="shared" si="7"/>
        <v>48</v>
      </c>
      <c r="B57" s="36" t="s">
        <v>72</v>
      </c>
      <c r="C57" s="37" t="s">
        <v>334</v>
      </c>
      <c r="D57" s="293" t="s">
        <v>335</v>
      </c>
      <c r="E57" s="397">
        <v>156000</v>
      </c>
      <c r="F57" s="202" t="s">
        <v>337</v>
      </c>
      <c r="G57" s="84" t="s">
        <v>30</v>
      </c>
      <c r="H57" s="276" t="s">
        <v>31</v>
      </c>
      <c r="I57" s="36"/>
      <c r="J57" s="33" t="s">
        <v>189</v>
      </c>
      <c r="K57" s="34"/>
      <c r="L57" s="1"/>
    </row>
    <row r="58" ht="14.25" customHeight="1" outlineLevel="1">
      <c r="A58" s="74">
        <f t="shared" si="7"/>
        <v>49</v>
      </c>
      <c r="B58" s="36" t="s">
        <v>72</v>
      </c>
      <c r="C58" s="37" t="s">
        <v>349</v>
      </c>
      <c r="D58" s="293" t="s">
        <v>350</v>
      </c>
      <c r="E58" s="386">
        <v>3700</v>
      </c>
      <c r="F58" s="398" t="s">
        <v>352</v>
      </c>
      <c r="G58" s="84" t="s">
        <v>30</v>
      </c>
      <c r="H58" s="371" t="s">
        <v>89</v>
      </c>
      <c r="I58" s="36" t="s">
        <v>353</v>
      </c>
      <c r="J58" s="33" t="s">
        <v>189</v>
      </c>
      <c r="K58" s="34"/>
    </row>
    <row r="59" ht="14.25" customHeight="1" outlineLevel="1">
      <c r="A59" s="74">
        <f t="shared" si="7"/>
        <v>50</v>
      </c>
      <c r="B59" s="399" t="s">
        <v>248</v>
      </c>
      <c r="C59" s="400" t="s">
        <v>249</v>
      </c>
      <c r="D59" s="401" t="s">
        <v>357</v>
      </c>
      <c r="E59" s="402">
        <v>682.91999999999996</v>
      </c>
      <c r="F59" s="403" t="s">
        <v>358</v>
      </c>
      <c r="G59" s="183" t="s">
        <v>30</v>
      </c>
      <c r="H59" s="404" t="s">
        <v>31</v>
      </c>
      <c r="I59" s="191" t="s">
        <v>247</v>
      </c>
      <c r="J59" s="192" t="s">
        <v>189</v>
      </c>
      <c r="K59" s="178"/>
      <c r="L59" s="1"/>
    </row>
    <row r="60" ht="14.25" customHeight="1" outlineLevel="1">
      <c r="A60" s="74">
        <f t="shared" si="7"/>
        <v>51</v>
      </c>
      <c r="B60" s="405" t="s">
        <v>72</v>
      </c>
      <c r="C60" s="405" t="s">
        <v>345</v>
      </c>
      <c r="D60" s="405" t="s">
        <v>346</v>
      </c>
      <c r="E60" s="406">
        <v>310000</v>
      </c>
      <c r="F60" s="407" t="s">
        <v>347</v>
      </c>
      <c r="G60" s="385" t="s">
        <v>30</v>
      </c>
      <c r="H60" s="408" t="s">
        <v>31</v>
      </c>
      <c r="I60" s="405" t="s">
        <v>348</v>
      </c>
      <c r="J60" s="192" t="s">
        <v>189</v>
      </c>
      <c r="K60" s="178"/>
      <c r="L60" s="1"/>
    </row>
    <row r="61" ht="14.25" customHeight="1" outlineLevel="1">
      <c r="A61" s="294">
        <f>A60+1</f>
        <v>52</v>
      </c>
      <c r="B61" s="409" t="s">
        <v>72</v>
      </c>
      <c r="C61" s="409" t="s">
        <v>276</v>
      </c>
      <c r="D61" s="410"/>
      <c r="E61" s="411">
        <v>10000</v>
      </c>
      <c r="F61" s="410" t="s">
        <v>277</v>
      </c>
      <c r="G61" s="275" t="s">
        <v>30</v>
      </c>
      <c r="H61" s="408" t="s">
        <v>31</v>
      </c>
      <c r="I61" s="412" t="s">
        <v>247</v>
      </c>
      <c r="J61" s="187" t="s">
        <v>189</v>
      </c>
      <c r="K61" s="187"/>
      <c r="L61" s="1"/>
    </row>
    <row r="62" s="2" customFormat="1" ht="14.25" customHeight="1" outlineLevel="1">
      <c r="A62" s="294">
        <f>A61+1</f>
        <v>53</v>
      </c>
      <c r="B62" s="409" t="s">
        <v>72</v>
      </c>
      <c r="C62" s="413" t="s">
        <v>359</v>
      </c>
      <c r="D62" s="413" t="s">
        <v>360</v>
      </c>
      <c r="E62" s="414">
        <v>3476.98</v>
      </c>
      <c r="F62" s="413" t="s">
        <v>361</v>
      </c>
      <c r="G62" s="413"/>
      <c r="H62" s="413"/>
      <c r="I62" s="413"/>
      <c r="J62" s="413" t="s">
        <v>189</v>
      </c>
      <c r="K62" s="413"/>
    </row>
    <row r="63" s="21" customFormat="1" ht="20.25" customHeight="1" outlineLevel="1">
      <c r="A63" s="415"/>
      <c r="B63" s="416" t="s">
        <v>18</v>
      </c>
      <c r="C63" s="417"/>
      <c r="D63" s="418"/>
      <c r="E63" s="419"/>
      <c r="F63" s="416"/>
      <c r="G63" s="420"/>
      <c r="H63" s="420"/>
      <c r="I63" s="416"/>
      <c r="J63" s="416"/>
      <c r="K63" s="421"/>
    </row>
    <row r="64" ht="14.25" customHeight="1" outlineLevel="1">
      <c r="A64" s="46">
        <v>1</v>
      </c>
      <c r="B64" s="422" t="s">
        <v>205</v>
      </c>
      <c r="C64" s="422" t="s">
        <v>209</v>
      </c>
      <c r="D64" s="422" t="s">
        <v>278</v>
      </c>
      <c r="E64" s="423">
        <v>5000</v>
      </c>
      <c r="F64" s="424" t="s">
        <v>280</v>
      </c>
      <c r="G64" s="425" t="s">
        <v>30</v>
      </c>
      <c r="H64" s="426" t="s">
        <v>31</v>
      </c>
      <c r="I64" s="427"/>
      <c r="J64" s="50" t="s">
        <v>189</v>
      </c>
      <c r="K64" s="51"/>
    </row>
    <row r="65" ht="15.75" customHeight="1" outlineLevel="1">
      <c r="A65" s="28">
        <v>2</v>
      </c>
      <c r="B65" s="428" t="s">
        <v>205</v>
      </c>
      <c r="C65" s="428" t="s">
        <v>316</v>
      </c>
      <c r="D65" s="428" t="s">
        <v>317</v>
      </c>
      <c r="E65" s="429">
        <v>2200</v>
      </c>
      <c r="F65" s="430" t="s">
        <v>319</v>
      </c>
      <c r="G65" s="425" t="s">
        <v>30</v>
      </c>
      <c r="H65" s="431" t="s">
        <v>31</v>
      </c>
      <c r="I65" s="428" t="s">
        <v>320</v>
      </c>
      <c r="J65" s="33" t="s">
        <v>189</v>
      </c>
      <c r="K65" s="34"/>
    </row>
    <row r="66" s="248" customFormat="1" ht="15" customHeight="1" outlineLevel="1">
      <c r="A66" s="249">
        <v>3</v>
      </c>
      <c r="B66" s="30" t="s">
        <v>205</v>
      </c>
      <c r="C66" s="30" t="s">
        <v>362</v>
      </c>
      <c r="D66" s="293" t="s">
        <v>363</v>
      </c>
      <c r="E66" s="333" t="s">
        <v>169</v>
      </c>
      <c r="F66" s="293" t="s">
        <v>364</v>
      </c>
      <c r="G66" s="334"/>
      <c r="H66" s="30"/>
      <c r="I66" s="30"/>
      <c r="J66" s="251"/>
      <c r="K66" s="252"/>
    </row>
    <row r="67" ht="14.25" customHeight="1" outlineLevel="1">
      <c r="A67" s="28">
        <v>4</v>
      </c>
      <c r="B67" s="36"/>
      <c r="C67" s="36"/>
      <c r="D67" s="36"/>
      <c r="E67" s="38"/>
      <c r="F67" s="37"/>
      <c r="G67" s="36"/>
      <c r="H67" s="36"/>
      <c r="I67" s="36"/>
      <c r="J67" s="33"/>
      <c r="K67" s="34"/>
    </row>
    <row r="68" ht="14.25" customHeight="1" outlineLevel="1">
      <c r="A68" s="52">
        <v>5</v>
      </c>
      <c r="B68" s="53"/>
      <c r="C68" s="53"/>
      <c r="D68" s="53"/>
      <c r="E68" s="54"/>
      <c r="F68" s="55"/>
      <c r="G68" s="53"/>
      <c r="H68" s="53"/>
      <c r="I68" s="53"/>
      <c r="J68" s="56"/>
      <c r="K68" s="57"/>
    </row>
    <row r="69" s="21" customFormat="1" ht="20.25" customHeight="1" outlineLevel="1">
      <c r="A69" s="69"/>
      <c r="B69" s="70" t="s">
        <v>19</v>
      </c>
      <c r="C69" s="24"/>
      <c r="D69" s="25"/>
      <c r="E69" s="26"/>
      <c r="F69" s="70"/>
      <c r="G69" s="70"/>
      <c r="H69" s="70"/>
      <c r="I69" s="70"/>
      <c r="J69" s="70"/>
      <c r="K69" s="203"/>
    </row>
    <row r="70" ht="14.25" customHeight="1" outlineLevel="1">
      <c r="A70" s="28">
        <v>1</v>
      </c>
      <c r="B70" s="112" t="s">
        <v>190</v>
      </c>
      <c r="C70" s="58" t="s">
        <v>191</v>
      </c>
      <c r="D70" s="36" t="s">
        <v>198</v>
      </c>
      <c r="E70" s="257" t="s">
        <v>223</v>
      </c>
      <c r="F70" s="293" t="s">
        <v>224</v>
      </c>
      <c r="G70" s="36"/>
      <c r="H70" s="36"/>
      <c r="I70" s="36" t="s">
        <v>365</v>
      </c>
      <c r="J70" s="33"/>
      <c r="K70" s="34"/>
    </row>
    <row r="71" ht="14.25" customHeight="1" outlineLevel="1">
      <c r="A71" s="74">
        <v>2</v>
      </c>
      <c r="B71" s="243" t="s">
        <v>190</v>
      </c>
      <c r="C71" s="348" t="s">
        <v>191</v>
      </c>
      <c r="D71" s="215" t="s">
        <v>192</v>
      </c>
      <c r="E71" s="257" t="s">
        <v>325</v>
      </c>
      <c r="F71" s="217" t="s">
        <v>326</v>
      </c>
      <c r="G71" s="58"/>
      <c r="H71" s="36"/>
      <c r="I71" s="29" t="s">
        <v>365</v>
      </c>
      <c r="J71" s="33"/>
      <c r="K71" s="34"/>
    </row>
    <row r="72" ht="14.25" customHeight="1" outlineLevel="1">
      <c r="A72" s="28">
        <v>3</v>
      </c>
      <c r="B72" s="44" t="s">
        <v>256</v>
      </c>
      <c r="C72" s="44" t="s">
        <v>366</v>
      </c>
      <c r="D72" s="36" t="s">
        <v>367</v>
      </c>
      <c r="E72" s="386">
        <v>1036</v>
      </c>
      <c r="F72" s="432" t="s">
        <v>368</v>
      </c>
      <c r="G72" s="84" t="s">
        <v>30</v>
      </c>
      <c r="H72" s="276" t="s">
        <v>31</v>
      </c>
      <c r="I72" s="36"/>
      <c r="J72" s="33" t="s">
        <v>189</v>
      </c>
      <c r="K72" s="34"/>
    </row>
    <row r="73" ht="14.25" customHeight="1" outlineLevel="1">
      <c r="A73" s="28">
        <v>4</v>
      </c>
      <c r="B73" s="36"/>
      <c r="C73" s="36"/>
      <c r="D73" s="36"/>
      <c r="E73" s="38"/>
      <c r="F73" s="37"/>
      <c r="G73" s="199"/>
      <c r="H73" s="36"/>
      <c r="I73" s="36"/>
      <c r="J73" s="33"/>
      <c r="K73" s="34"/>
    </row>
    <row r="74" ht="14.25" customHeight="1" outlineLevel="1">
      <c r="A74" s="52">
        <v>5</v>
      </c>
      <c r="B74" s="53"/>
      <c r="C74" s="53"/>
      <c r="D74" s="53"/>
      <c r="E74" s="54"/>
      <c r="F74" s="55"/>
      <c r="G74" s="53"/>
      <c r="H74" s="53"/>
      <c r="I74" s="53"/>
      <c r="J74" s="56"/>
      <c r="K74" s="57"/>
    </row>
    <row r="75" s="21" customFormat="1" ht="23.25" customHeight="1">
      <c r="A75" s="63" t="s">
        <v>20</v>
      </c>
      <c r="B75" s="64"/>
      <c r="C75" s="64"/>
      <c r="D75" s="65"/>
      <c r="E75" s="66">
        <f>SUM(E9:E74)</f>
        <v>1526515.8999999999</v>
      </c>
    </row>
    <row r="76" s="21" customFormat="1" ht="23.25" customHeight="1">
      <c r="A76" s="63" t="s">
        <v>21</v>
      </c>
      <c r="B76" s="64"/>
      <c r="C76" s="64"/>
      <c r="D76" s="65"/>
      <c r="E76" s="66">
        <f>E4-E75</f>
        <v>6505.8800000001211</v>
      </c>
      <c r="F76" s="67"/>
    </row>
    <row r="77" ht="14.25">
      <c r="E77" s="1"/>
    </row>
    <row r="78" ht="14.25">
      <c r="E78" s="1"/>
    </row>
  </sheetData>
  <mergeCells count="6">
    <mergeCell ref="E1:F1"/>
    <mergeCell ref="A4:D4"/>
    <mergeCell ref="A5:D5"/>
    <mergeCell ref="A6:D6"/>
    <mergeCell ref="A75:D75"/>
    <mergeCell ref="A76:D76"/>
  </mergeCells>
  <printOptions headings="0" gridLines="0"/>
  <pageMargins left="0" right="0" top="0" bottom="0" header="0.29999999999999999" footer="0.29999999999999999"/>
  <pageSetup paperSize="9" scale="67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8100CF-00AE-4688-A2E9-00CF001D0082}" type="list" allowBlank="1" errorStyle="stop" imeMode="noControl" operator="between" showDropDown="0" showErrorMessage="1" showInputMessage="1">
          <x14:formula1>
            <xm:f>ДаНет</xm:f>
          </x14:formula1>
          <xm:sqref>H73:H74 H66:H68</xm:sqref>
        </x14:dataValidation>
        <x14:dataValidation xr:uid="{007500E0-00E5-4422-B681-00AC00BE0016}" type="list" allowBlank="1" errorStyle="stop" imeMode="noControl" operator="between" showDropDown="0" showErrorMessage="1" showInputMessage="1">
          <x14:formula1>
            <xm:f>ДаНет</xm:f>
          </x14:formula1>
          <xm:sqref>H51:H52 H42 H49 H50 H43 H44 H45 H46 H47 H48 H57</xm:sqref>
        </x14:dataValidation>
        <x14:dataValidation xr:uid="{00E700AE-0041-4E6F-BDEB-0080000B0084}" type="list" allowBlank="1" errorStyle="stop" imeMode="noControl" operator="between" showDropDown="0" showErrorMessage="1" showInputMessage="1">
          <x14:formula1>
            <xm:f>ДаНет</xm:f>
          </x14:formula1>
          <xm:sqref>H65</xm:sqref>
        </x14:dataValidation>
        <x14:dataValidation xr:uid="{0006001C-00F6-4084-A438-0074007500AA}" type="list" allowBlank="1" errorStyle="stop" imeMode="noControl" operator="between" showDropDown="0" showErrorMessage="1" showInputMessage="1">
          <x14:formula1>
            <xm:f>ДаНет</xm:f>
          </x14:formula1>
          <xm:sqref>H72</xm:sqref>
        </x14:dataValidation>
        <x14:dataValidation xr:uid="{00B0001D-004C-4399-86C9-007D00EB0014}" type="list" allowBlank="1" errorStyle="stop" imeMode="noControl" operator="between" showDropDown="0" showErrorMessage="1" showInputMessage="1">
          <x14:formula1>
            <xm:f>ДаНет</xm:f>
          </x14:formula1>
          <xm:sqref>H60 H61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4" activeCellId="0" sqref="F24"/>
    </sheetView>
  </sheetViews>
  <sheetFormatPr defaultRowHeight="14.25"/>
  <sheetData>
    <row r="1">
      <c r="A1" t="s">
        <v>31</v>
      </c>
    </row>
    <row r="2">
      <c r="A2" t="s">
        <v>369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Кабенок Анна</cp:lastModifiedBy>
  <cp:revision>93</cp:revision>
  <dcterms:created xsi:type="dcterms:W3CDTF">2019-04-17T07:56:15Z</dcterms:created>
  <dcterms:modified xsi:type="dcterms:W3CDTF">2026-03-31T12:29:20Z</dcterms:modified>
</cp:coreProperties>
</file>
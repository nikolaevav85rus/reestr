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9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03FBB0AD_5353_49C6_B595_178BC13C96AE_.wvu.Rows" localSheetId="0" hidden="1">'01'!#REF!,'01'!#REF!,'01'!#REF!,'01'!#REF!,'01'!$9:$133,'01'!$144:$179,'01'!$186:$200</definedName>
    <definedName name="Z_070961C3_1DC2_4518_83D7_B3F54BC58AE2_.wvu.Rows" localSheetId="0" hidden="1">'01'!#REF!,'01'!#REF!,'01'!#REF!,'01'!#REF!,'01'!$9:$133,'01'!$144:$179,'01'!$186:$200</definedName>
    <definedName name="Z_0B87D63B_15AD_4587_A73B_CA4B62BDFA01_.wvu.Rows" localSheetId="0" hidden="1">'01'!#REF!,'01'!#REF!,'01'!#REF!,'01'!#REF!,'01'!$9:$133,'01'!$144:$179,'01'!$186:$200</definedName>
    <definedName name="Z_1B9AB2B5_0A50_46C3_981D_8BE75BF62E46_.wvu.Rows" localSheetId="0" hidden="1">'01'!#REF!,'01'!#REF!,'01'!#REF!,'01'!#REF!,'01'!$9:$133,'01'!$144:$179,'01'!$186:$200</definedName>
    <definedName name="Z_20A0B2F7_9F51_4E3D_A024_0877F1F98F8D_.wvu.Rows" localSheetId="0" hidden="1">'01'!#REF!,'01'!#REF!,'01'!#REF!,'01'!#REF!,'01'!$9:$133,'01'!$144:$179,'01'!$186:$200</definedName>
    <definedName name="Z_2C3A3C66_1522_4337_93AC_DFC422DC8462_.wvu.Rows" localSheetId="0" hidden="1">'01'!#REF!,'01'!#REF!,'01'!#REF!,'01'!#REF!,'01'!$9:$133,'01'!$144:$179,'01'!$186:$200</definedName>
    <definedName name="Z_2E074C0E_3584_4321_A729_0961B34312BF_.wvu.Rows" localSheetId="0" hidden="1">'01'!#REF!,'01'!#REF!,'01'!#REF!,'01'!#REF!,'01'!$9:$133,'01'!$144:$179,'01'!$186:$200</definedName>
    <definedName name="Z_2FFCC83E_A488_4450_9F9E_FF506EAEF5FC_.wvu.Rows" localSheetId="0" hidden="1">'01'!#REF!,'01'!#REF!,'01'!#REF!,'01'!#REF!,'01'!$9:$133,'01'!$144:$179,'01'!$186:$200</definedName>
    <definedName name="Z_3351A924_D23D_45D7_8354_55677D787CA4_.wvu.Rows" localSheetId="0" hidden="1">'01'!#REF!,'01'!#REF!,'01'!#REF!,'01'!#REF!,'01'!$9:$133,'01'!$144:$179,'01'!$186:$200</definedName>
    <definedName name="Z_51E3BC0E_B24A_447A_BC0A_03881122E44E_.wvu.Rows" localSheetId="0" hidden="1">'01'!#REF!,'01'!#REF!,'01'!#REF!,'01'!#REF!,'01'!$9:$133,'01'!$144:$179,'01'!$186:$200</definedName>
    <definedName name="Z_5C60C8F2_A96A_4286_AB69_6A192D48B52D_.wvu.Rows" localSheetId="0" hidden="1">'01'!#REF!,'01'!#REF!,'01'!#REF!,'01'!#REF!,'01'!$9:$133,'01'!$144:$179,'01'!$186:$200</definedName>
    <definedName name="Z_667B099C_8E79_4490_AC67_CFE2B9F8FC8D_.wvu.Rows" localSheetId="0" hidden="1">'01'!#REF!,'01'!#REF!,'01'!#REF!,'01'!#REF!,'01'!$9:$133,'01'!$144:$179,'01'!$186:$200</definedName>
    <definedName name="Z_696C5A08_6B5C_4B07_9B14_11E12159ACF3_.wvu.Rows" localSheetId="0" hidden="1">'01'!#REF!,'01'!#REF!,'01'!#REF!,'01'!#REF!,'01'!$144:$179,'01'!$186:$200</definedName>
    <definedName name="Z_743813BC_E137_480B_B63F_29E16C4A5D78_.wvu.Rows" localSheetId="0" hidden="1">'01'!#REF!,'01'!#REF!,'01'!#REF!,'01'!#REF!,'01'!$9:$133,'01'!$144:$179,'01'!$186:$200</definedName>
    <definedName name="Z_7CD6C56D_7191_499D_884D_23F062610490_.wvu.Rows" localSheetId="0" hidden="1">'01'!#REF!,'01'!#REF!,'01'!#REF!,'01'!#REF!,'01'!$9:$133,'01'!$144:$179,'01'!$186:$200</definedName>
    <definedName name="Z_8AB826A3_3F9F_46E8_8B3C_5D723650CD25_.wvu.Rows" localSheetId="0" hidden="1">'01'!#REF!,'01'!#REF!,'01'!#REF!,'01'!#REF!,'01'!$9:$133,'01'!$144:$179,'01'!$186:$200</definedName>
    <definedName name="Z_9231B71C_ABB0_4122_BB61_A0E14ED7FAC4_.wvu.Rows" localSheetId="0" hidden="1">'01'!#REF!,'01'!#REF!,'01'!#REF!,'01'!#REF!,'01'!$9:$133,'01'!$144:$179,'01'!$186:$200</definedName>
    <definedName name="Z_9CE42830_1BFE_4EEE_AD75_1C30A69A86B1_.wvu.Rows" localSheetId="0" hidden="1">'01'!#REF!,'01'!#REF!,'01'!#REF!,'01'!#REF!,'01'!$9:$133,'01'!$144:$179,'01'!$186:$200</definedName>
    <definedName name="Z_9EA36D12_6C5C_4BE0_9897_E6710354124D_.wvu.Rows" localSheetId="0" hidden="1">'01'!#REF!,'01'!#REF!,'01'!#REF!,'01'!#REF!,'01'!$9:$133,'01'!$144:$179,'01'!$186:$200</definedName>
    <definedName name="Z_A0F29F5B_FB6E_4C5E_B7A7_CDA651D38207_.wvu.Rows" localSheetId="0" hidden="1">'01'!#REF!,'01'!#REF!,'01'!#REF!,'01'!#REF!,'01'!$9:$133,'01'!$144:$179,'01'!$186:$200</definedName>
    <definedName name="Z_A567DF6A_4F50_45D4_A9C8_0879E17AFD34_.wvu.Rows" localSheetId="0" hidden="1">'01'!#REF!,'01'!#REF!,'01'!#REF!,'01'!#REF!,'01'!$9:$133,'01'!$144:$179,'01'!$186:$200</definedName>
    <definedName name="Z_B2CFD8C8_F8F8_47F1_9207_6BE81612C01C_.wvu.Rows" localSheetId="0" hidden="1">'01'!#REF!,'01'!#REF!,'01'!#REF!,'01'!#REF!,'01'!$9:$133,'01'!$144:$179,'01'!$186:$200</definedName>
    <definedName name="Z_BBF15C7D_3EAF_4D98_9096_5B67F6C46C47_.wvu.Rows" localSheetId="0" hidden="1">'01'!#REF!,'01'!#REF!,'01'!#REF!,'01'!#REF!,'01'!$144:$179,'01'!$186:$200</definedName>
    <definedName name="Z_C122BF8D_C115_42E1_B73A_F9B38D5EC060_.wvu.Rows" localSheetId="0" hidden="1">'01'!#REF!,'01'!#REF!,'01'!#REF!,'01'!#REF!,'01'!$9:$133,'01'!$144:$179,'01'!$186:$200</definedName>
    <definedName name="Z_C4D254D6_9D1C_4B3C_972D_15957FD05DD2_.wvu.Rows" localSheetId="0" hidden="1">'01'!#REF!,'01'!#REF!,'01'!#REF!,'01'!#REF!,'01'!$9:$133,'01'!$144:$179,'01'!$186:$200</definedName>
    <definedName name="Z_D4664C56_FB8A_499D_8E24_CCA12F97FAE9_.wvu.Rows" localSheetId="0" hidden="1">'01'!#REF!,'01'!#REF!,'01'!#REF!,'01'!#REF!,'01'!$9:$133,'01'!$144:$179,'01'!$186:$200</definedName>
    <definedName name="Z_DD995061_F552_4E13_8D40_A47EBB03245B_.wvu.Rows" localSheetId="0" hidden="1">'01'!#REF!,'01'!#REF!,'01'!#REF!,'01'!#REF!,'01'!$9:$133,'01'!$144:$179,'01'!$186:$200</definedName>
    <definedName name="Z_DE2F0B4F_79DE_40A0_A13B_9C7F63D3F970_.wvu.Rows" localSheetId="0" hidden="1">'01'!#REF!,'01'!#REF!,'01'!#REF!,'01'!#REF!,'01'!$9:$133,'01'!$144:$179,'01'!$186:$200</definedName>
    <definedName name="Z_E765F84B_EAF3_44AE_A058_C602C1E67401_.wvu.Rows" localSheetId="0" hidden="1">'01'!#REF!,'01'!#REF!,'01'!#REF!,'01'!#REF!,'01'!$9:$133,'01'!$144:$179,'01'!$186:$200</definedName>
    <definedName name="Z_F34DD4D3_7189_47AF_B853_F133E36CF124_.wvu.Rows" localSheetId="0" hidden="1">'01'!#REF!,'01'!#REF!,'01'!#REF!,'01'!#REF!,'01'!$9:$133,'01'!$144:$179,'01'!$186:$200</definedName>
    <definedName name="Z_F82F81AB_9C82_4E79_8CA3_CEB2B994FC06_.wvu.Rows" localSheetId="0" hidden="1">'01'!#REF!,'01'!#REF!,'01'!#REF!,'01'!#REF!,'01'!$9:$133,'01'!$144:$179,'01'!$186:$200</definedName>
    <definedName name="Z_F89CD5B0_594D_4248_B45D_59008422D599_.wvu.Rows" localSheetId="0" hidden="1">'01'!#REF!,'01'!#REF!,'01'!#REF!,'01'!#REF!,'01'!$9:$133,'01'!$144:$179,'01'!$186:$200</definedName>
    <definedName name="Z_03FBB0AD_5353_49C6_B595_178BC13C96AE_.wvu.Rows" localSheetId="1" hidden="1">'02'!#REF!,'02'!#REF!,'02'!#REF!,'02'!#REF!,'02'!$4:$22,'02'!$29:$53,'02'!$60:$76</definedName>
    <definedName name="Z_070961C3_1DC2_4518_83D7_B3F54BC58AE2_.wvu.Rows" localSheetId="1" hidden="1">'02'!#REF!,'02'!#REF!,'02'!#REF!,'02'!#REF!,'02'!$4:$22,'02'!$29:$53,'02'!$60:$76</definedName>
    <definedName name="Z_0B87D63B_15AD_4587_A73B_CA4B62BDFA01_.wvu.Rows" localSheetId="1" hidden="1">'02'!#REF!,'02'!#REF!,'02'!#REF!,'02'!#REF!,'02'!$4:$22,'02'!$29:$53,'02'!$60:$76</definedName>
    <definedName name="Z_1B9AB2B5_0A50_46C3_981D_8BE75BF62E46_.wvu.Rows" localSheetId="1" hidden="1">'02'!#REF!,'02'!#REF!,'02'!#REF!,'02'!#REF!,'02'!$4:$22,'02'!$29:$53,'02'!$60:$76</definedName>
    <definedName name="Z_20A0B2F7_9F51_4E3D_A024_0877F1F98F8D_.wvu.Rows" localSheetId="1" hidden="1">'02'!#REF!,'02'!#REF!,'02'!#REF!,'02'!#REF!,'02'!$4:$22,'02'!$29:$53,'02'!$60:$76</definedName>
    <definedName name="Z_2C3A3C66_1522_4337_93AC_DFC422DC8462_.wvu.Rows" localSheetId="1" hidden="1">'02'!#REF!,'02'!#REF!,'02'!#REF!,'02'!#REF!,'02'!$4:$22,'02'!$29:$53,'02'!$60:$76</definedName>
    <definedName name="Z_2E074C0E_3584_4321_A729_0961B34312BF_.wvu.Rows" localSheetId="1" hidden="1">'02'!#REF!,'02'!#REF!,'02'!#REF!,'02'!#REF!,'02'!$4:$22,'02'!$29:$53,'02'!$60:$76</definedName>
    <definedName name="Z_2FFCC83E_A488_4450_9F9E_FF506EAEF5FC_.wvu.Rows" localSheetId="1" hidden="1">'02'!#REF!,'02'!#REF!,'02'!#REF!,'02'!#REF!,'02'!$4:$22,'02'!$29:$53,'02'!$60:$76</definedName>
    <definedName name="Z_3351A924_D23D_45D7_8354_55677D787CA4_.wvu.Rows" localSheetId="1" hidden="1">'02'!#REF!,'02'!#REF!,'02'!#REF!,'02'!#REF!,'02'!$4:$22,'02'!$29:$53,'02'!$60:$76</definedName>
    <definedName name="Z_51E3BC0E_B24A_447A_BC0A_03881122E44E_.wvu.Rows" localSheetId="1" hidden="1">'02'!#REF!,'02'!#REF!,'02'!#REF!,'02'!#REF!,'02'!$4:$22,'02'!$29:$53,'02'!$60:$76</definedName>
    <definedName name="Z_5C60C8F2_A96A_4286_AB69_6A192D48B52D_.wvu.Rows" localSheetId="1" hidden="1">'02'!#REF!,'02'!#REF!,'02'!#REF!,'02'!#REF!,'02'!$4:$22,'02'!$29:$53,'02'!$60:$76</definedName>
    <definedName name="Z_667B099C_8E79_4490_AC67_CFE2B9F8FC8D_.wvu.Rows" localSheetId="1" hidden="1">'02'!#REF!,'02'!#REF!,'02'!#REF!,'02'!#REF!,'02'!$4:$22,'02'!$29:$53,'02'!$60:$76</definedName>
    <definedName name="Z_696C5A08_6B5C_4B07_9B14_11E12159ACF3_.wvu.Rows" localSheetId="1" hidden="1">'02'!#REF!,'02'!#REF!,'02'!#REF!,'02'!#REF!,'02'!$29:$53,'02'!$60:$76</definedName>
    <definedName name="Z_743813BC_E137_480B_B63F_29E16C4A5D78_.wvu.Rows" localSheetId="1" hidden="1">'02'!#REF!,'02'!#REF!,'02'!#REF!,'02'!#REF!,'02'!$4:$22,'02'!$29:$53,'02'!$60:$76</definedName>
    <definedName name="Z_7CD6C56D_7191_499D_884D_23F062610490_.wvu.Rows" localSheetId="1" hidden="1">'02'!#REF!,'02'!#REF!,'02'!#REF!,'02'!#REF!,'02'!$4:$22,'02'!$29:$53,'02'!$60:$76</definedName>
    <definedName name="Z_8AB826A3_3F9F_46E8_8B3C_5D723650CD25_.wvu.Rows" localSheetId="1" hidden="1">'02'!#REF!,'02'!#REF!,'02'!#REF!,'02'!#REF!,'02'!$4:$22,'02'!$29:$53,'02'!$60:$76</definedName>
    <definedName name="Z_9231B71C_ABB0_4122_BB61_A0E14ED7FAC4_.wvu.Rows" localSheetId="1" hidden="1">'02'!#REF!,'02'!#REF!,'02'!#REF!,'02'!#REF!,'02'!$4:$22,'02'!$29:$53,'02'!$60:$76</definedName>
    <definedName name="Z_9CE42830_1BFE_4EEE_AD75_1C30A69A86B1_.wvu.Rows" localSheetId="1" hidden="1">'02'!#REF!,'02'!#REF!,'02'!#REF!,'02'!#REF!,'02'!$4:$22,'02'!$29:$53,'02'!$60:$76</definedName>
    <definedName name="Z_9EA36D12_6C5C_4BE0_9897_E6710354124D_.wvu.Rows" localSheetId="1" hidden="1">'02'!#REF!,'02'!#REF!,'02'!#REF!,'02'!#REF!,'02'!$4:$22,'02'!$29:$53,'02'!$60:$76</definedName>
    <definedName name="Z_A0F29F5B_FB6E_4C5E_B7A7_CDA651D38207_.wvu.Rows" localSheetId="1" hidden="1">'02'!#REF!,'02'!#REF!,'02'!#REF!,'02'!#REF!,'02'!$4:$22,'02'!$29:$53,'02'!$60:$76</definedName>
    <definedName name="Z_A567DF6A_4F50_45D4_A9C8_0879E17AFD34_.wvu.Rows" localSheetId="1" hidden="1">'02'!#REF!,'02'!#REF!,'02'!#REF!,'02'!#REF!,'02'!$4:$22,'02'!$29:$53,'02'!$60:$76</definedName>
    <definedName name="Z_B2CFD8C8_F8F8_47F1_9207_6BE81612C01C_.wvu.Rows" localSheetId="1" hidden="1">'02'!#REF!,'02'!#REF!,'02'!#REF!,'02'!#REF!,'02'!$4:$22,'02'!$29:$53,'02'!$60:$76</definedName>
    <definedName name="Z_BBF15C7D_3EAF_4D98_9096_5B67F6C46C47_.wvu.Rows" localSheetId="1" hidden="1">'02'!#REF!,'02'!#REF!,'02'!#REF!,'02'!#REF!,'02'!$29:$53,'02'!$60:$76</definedName>
    <definedName name="Z_C122BF8D_C115_42E1_B73A_F9B38D5EC060_.wvu.Rows" localSheetId="1" hidden="1">'02'!#REF!,'02'!#REF!,'02'!#REF!,'02'!#REF!,'02'!$4:$22,'02'!$29:$53,'02'!$60:$76</definedName>
    <definedName name="Z_C4D254D6_9D1C_4B3C_972D_15957FD05DD2_.wvu.Rows" localSheetId="1" hidden="1">'02'!#REF!,'02'!#REF!,'02'!#REF!,'02'!#REF!,'02'!$4:$22,'02'!$29:$53,'02'!$60:$76</definedName>
    <definedName name="Z_D4664C56_FB8A_499D_8E24_CCA12F97FAE9_.wvu.Rows" localSheetId="1" hidden="1">'02'!#REF!,'02'!#REF!,'02'!#REF!,'02'!#REF!,'02'!$4:$22,'02'!$29:$53,'02'!$60:$76</definedName>
    <definedName name="Z_DD995061_F552_4E13_8D40_A47EBB03245B_.wvu.Rows" localSheetId="1" hidden="1">'02'!#REF!,'02'!#REF!,'02'!#REF!,'02'!#REF!,'02'!$4:$22,'02'!$29:$53,'02'!$60:$76</definedName>
    <definedName name="Z_DE2F0B4F_79DE_40A0_A13B_9C7F63D3F970_.wvu.Rows" localSheetId="1" hidden="1">'02'!#REF!,'02'!#REF!,'02'!#REF!,'02'!#REF!,'02'!$4:$22,'02'!$29:$53,'02'!$60:$76</definedName>
    <definedName name="Z_E765F84B_EAF3_44AE_A058_C602C1E67401_.wvu.Rows" localSheetId="1" hidden="1">'02'!#REF!,'02'!#REF!,'02'!#REF!,'02'!#REF!,'02'!$4:$22,'02'!$29:$53,'02'!$60:$76</definedName>
    <definedName name="Z_F34DD4D3_7189_47AF_B853_F133E36CF124_.wvu.Rows" localSheetId="1" hidden="1">'02'!#REF!,'02'!#REF!,'02'!#REF!,'02'!#REF!,'02'!$4:$22,'02'!$29:$53,'02'!$60:$76</definedName>
    <definedName name="Z_F82F81AB_9C82_4E79_8CA3_CEB2B994FC06_.wvu.Rows" localSheetId="1" hidden="1">'02'!#REF!,'02'!#REF!,'02'!#REF!,'02'!#REF!,'02'!$4:$22,'02'!$29:$53,'02'!$60:$76</definedName>
    <definedName name="Z_F89CD5B0_594D_4248_B45D_59008422D599_.wvu.Rows" localSheetId="1" hidden="1">'02'!#REF!,'02'!#REF!,'02'!#REF!,'02'!#REF!,'02'!$4:$22,'02'!$29:$53,'02'!$60:$76</definedName>
    <definedName name="Z_03FBB0AD_5353_49C6_B595_178BC13C96AE_.wvu.Rows" localSheetId="2" hidden="1">'03'!#REF!,'03'!#REF!,'03'!#REF!,'03'!#REF!,'03'!$4:$22,'03'!$29:$53,'03'!$60:$76</definedName>
    <definedName name="Z_070961C3_1DC2_4518_83D7_B3F54BC58AE2_.wvu.Rows" localSheetId="2" hidden="1">'03'!#REF!,'03'!#REF!,'03'!#REF!,'03'!#REF!,'03'!$4:$22,'03'!$29:$53,'03'!$60:$76</definedName>
    <definedName name="Z_0B87D63B_15AD_4587_A73B_CA4B62BDFA01_.wvu.Rows" localSheetId="2" hidden="1">'03'!#REF!,'03'!#REF!,'03'!#REF!,'03'!#REF!,'03'!$4:$22,'03'!$29:$53,'03'!$60:$76</definedName>
    <definedName name="Z_1B9AB2B5_0A50_46C3_981D_8BE75BF62E46_.wvu.Rows" localSheetId="2" hidden="1">'03'!#REF!,'03'!#REF!,'03'!#REF!,'03'!#REF!,'03'!$4:$22,'03'!$29:$53,'03'!$60:$76</definedName>
    <definedName name="Z_20A0B2F7_9F51_4E3D_A024_0877F1F98F8D_.wvu.Rows" localSheetId="2" hidden="1">'03'!#REF!,'03'!#REF!,'03'!#REF!,'03'!#REF!,'03'!$4:$22,'03'!$29:$53,'03'!$60:$76</definedName>
    <definedName name="Z_2C3A3C66_1522_4337_93AC_DFC422DC8462_.wvu.Rows" localSheetId="2" hidden="1">'03'!#REF!,'03'!#REF!,'03'!#REF!,'03'!#REF!,'03'!$4:$22,'03'!$29:$53,'03'!$60:$76</definedName>
    <definedName name="Z_2E074C0E_3584_4321_A729_0961B34312BF_.wvu.Rows" localSheetId="2" hidden="1">'03'!#REF!,'03'!#REF!,'03'!#REF!,'03'!#REF!,'03'!$4:$22,'03'!$29:$53,'03'!$60:$76</definedName>
    <definedName name="Z_2FFCC83E_A488_4450_9F9E_FF506EAEF5FC_.wvu.Rows" localSheetId="2" hidden="1">'03'!#REF!,'03'!#REF!,'03'!#REF!,'03'!#REF!,'03'!$4:$22,'03'!$29:$53,'03'!$60:$76</definedName>
    <definedName name="Z_3351A924_D23D_45D7_8354_55677D787CA4_.wvu.Rows" localSheetId="2" hidden="1">'03'!#REF!,'03'!#REF!,'03'!#REF!,'03'!#REF!,'03'!$4:$22,'03'!$29:$53,'03'!$60:$76</definedName>
    <definedName name="Z_51E3BC0E_B24A_447A_BC0A_03881122E44E_.wvu.Rows" localSheetId="2" hidden="1">'03'!#REF!,'03'!#REF!,'03'!#REF!,'03'!#REF!,'03'!$4:$22,'03'!$29:$53,'03'!$60:$76</definedName>
    <definedName name="Z_5C60C8F2_A96A_4286_AB69_6A192D48B52D_.wvu.Rows" localSheetId="2" hidden="1">'03'!#REF!,'03'!#REF!,'03'!#REF!,'03'!#REF!,'03'!$4:$22,'03'!$29:$53,'03'!$60:$76</definedName>
    <definedName name="Z_667B099C_8E79_4490_AC67_CFE2B9F8FC8D_.wvu.Rows" localSheetId="2" hidden="1">'03'!#REF!,'03'!#REF!,'03'!#REF!,'03'!#REF!,'03'!$4:$22,'03'!$29:$53,'03'!$60:$76</definedName>
    <definedName name="Z_696C5A08_6B5C_4B07_9B14_11E12159ACF3_.wvu.Rows" localSheetId="2" hidden="1">'03'!#REF!,'03'!#REF!,'03'!#REF!,'03'!#REF!,'03'!$29:$53,'03'!$60:$76</definedName>
    <definedName name="Z_743813BC_E137_480B_B63F_29E16C4A5D78_.wvu.Rows" localSheetId="2" hidden="1">'03'!#REF!,'03'!#REF!,'03'!#REF!,'03'!#REF!,'03'!$4:$22,'03'!$29:$53,'03'!$60:$76</definedName>
    <definedName name="Z_7CD6C56D_7191_499D_884D_23F062610490_.wvu.Rows" localSheetId="2" hidden="1">'03'!#REF!,'03'!#REF!,'03'!#REF!,'03'!#REF!,'03'!$4:$22,'03'!$29:$53,'03'!$60:$76</definedName>
    <definedName name="Z_8AB826A3_3F9F_46E8_8B3C_5D723650CD25_.wvu.Rows" localSheetId="2" hidden="1">'03'!#REF!,'03'!#REF!,'03'!#REF!,'03'!#REF!,'03'!$4:$22,'03'!$29:$53,'03'!$60:$76</definedName>
    <definedName name="Z_9231B71C_ABB0_4122_BB61_A0E14ED7FAC4_.wvu.Rows" localSheetId="2" hidden="1">'03'!#REF!,'03'!#REF!,'03'!#REF!,'03'!#REF!,'03'!$4:$22,'03'!$29:$53,'03'!$60:$76</definedName>
    <definedName name="Z_9CE42830_1BFE_4EEE_AD75_1C30A69A86B1_.wvu.Rows" localSheetId="2" hidden="1">'03'!#REF!,'03'!#REF!,'03'!#REF!,'03'!#REF!,'03'!$4:$22,'03'!$29:$53,'03'!$60:$76</definedName>
    <definedName name="Z_9EA36D12_6C5C_4BE0_9897_E6710354124D_.wvu.Rows" localSheetId="2" hidden="1">'03'!#REF!,'03'!#REF!,'03'!#REF!,'03'!#REF!,'03'!$4:$22,'03'!$29:$53,'03'!$60:$76</definedName>
    <definedName name="Z_A0F29F5B_FB6E_4C5E_B7A7_CDA651D38207_.wvu.Rows" localSheetId="2" hidden="1">'03'!#REF!,'03'!#REF!,'03'!#REF!,'03'!#REF!,'03'!$4:$22,'03'!$29:$53,'03'!$60:$76</definedName>
    <definedName name="Z_A567DF6A_4F50_45D4_A9C8_0879E17AFD34_.wvu.Rows" localSheetId="2" hidden="1">'03'!#REF!,'03'!#REF!,'03'!#REF!,'03'!#REF!,'03'!$4:$22,'03'!$29:$53,'03'!$60:$76</definedName>
    <definedName name="Z_B2CFD8C8_F8F8_47F1_9207_6BE81612C01C_.wvu.Rows" localSheetId="2" hidden="1">'03'!#REF!,'03'!#REF!,'03'!#REF!,'03'!#REF!,'03'!$4:$22,'03'!$29:$53,'03'!$60:$76</definedName>
    <definedName name="Z_BBF15C7D_3EAF_4D98_9096_5B67F6C46C47_.wvu.Rows" localSheetId="2" hidden="1">'03'!#REF!,'03'!#REF!,'03'!#REF!,'03'!#REF!,'03'!$29:$53,'03'!$60:$76</definedName>
    <definedName name="Z_C122BF8D_C115_42E1_B73A_F9B38D5EC060_.wvu.Rows" localSheetId="2" hidden="1">'03'!#REF!,'03'!#REF!,'03'!#REF!,'03'!#REF!,'03'!$4:$22,'03'!$29:$53,'03'!$60:$76</definedName>
    <definedName name="Z_C4D254D6_9D1C_4B3C_972D_15957FD05DD2_.wvu.Rows" localSheetId="2" hidden="1">'03'!#REF!,'03'!#REF!,'03'!#REF!,'03'!#REF!,'03'!$4:$22,'03'!$29:$53,'03'!$60:$76</definedName>
    <definedName name="Z_D4664C56_FB8A_499D_8E24_CCA12F97FAE9_.wvu.Rows" localSheetId="2" hidden="1">'03'!#REF!,'03'!#REF!,'03'!#REF!,'03'!#REF!,'03'!$4:$22,'03'!$29:$53,'03'!$60:$76</definedName>
    <definedName name="Z_DD995061_F552_4E13_8D40_A47EBB03245B_.wvu.Rows" localSheetId="2" hidden="1">'03'!#REF!,'03'!#REF!,'03'!#REF!,'03'!#REF!,'03'!$4:$22,'03'!$29:$53,'03'!$60:$76</definedName>
    <definedName name="Z_DE2F0B4F_79DE_40A0_A13B_9C7F63D3F970_.wvu.Rows" localSheetId="2" hidden="1">'03'!#REF!,'03'!#REF!,'03'!#REF!,'03'!#REF!,'03'!$4:$22,'03'!$29:$53,'03'!$60:$76</definedName>
    <definedName name="Z_E765F84B_EAF3_44AE_A058_C602C1E67401_.wvu.Rows" localSheetId="2" hidden="1">'03'!#REF!,'03'!#REF!,'03'!#REF!,'03'!#REF!,'03'!$4:$22,'03'!$29:$53,'03'!$60:$76</definedName>
    <definedName name="Z_F34DD4D3_7189_47AF_B853_F133E36CF124_.wvu.Rows" localSheetId="2" hidden="1">'03'!#REF!,'03'!#REF!,'03'!#REF!,'03'!#REF!,'03'!$4:$22,'03'!$29:$53,'03'!$60:$76</definedName>
    <definedName name="Z_F82F81AB_9C82_4E79_8CA3_CEB2B994FC06_.wvu.Rows" localSheetId="2" hidden="1">'03'!#REF!,'03'!#REF!,'03'!#REF!,'03'!#REF!,'03'!$4:$22,'03'!$29:$53,'03'!$60:$76</definedName>
    <definedName name="Z_F89CD5B0_594D_4248_B45D_59008422D599_.wvu.Rows" localSheetId="2" hidden="1">'03'!#REF!,'03'!#REF!,'03'!#REF!,'03'!#REF!,'03'!$4:$22,'03'!$29:$53,'03'!$60:$76</definedName>
    <definedName name="Z_03FBB0AD_5353_49C6_B595_178BC13C96AE_.wvu.Rows" localSheetId="3" hidden="1">'04'!#REF!,'04'!#REF!,'04'!#REF!,'04'!#REF!,'04'!$4:$28,'04'!$34:$53,'04'!$59:$72</definedName>
    <definedName name="Z_070961C3_1DC2_4518_83D7_B3F54BC58AE2_.wvu.Rows" localSheetId="3" hidden="1">'04'!#REF!,'04'!#REF!,'04'!#REF!,'04'!#REF!,'04'!$4:$28,'04'!$34:$53,'04'!$59:$72</definedName>
    <definedName name="Z_0B87D63B_15AD_4587_A73B_CA4B62BDFA01_.wvu.Rows" localSheetId="3" hidden="1">'04'!#REF!,'04'!#REF!,'04'!#REF!,'04'!#REF!,'04'!$4:$28,'04'!$34:$53,'04'!$59:$72</definedName>
    <definedName name="Z_1B9AB2B5_0A50_46C3_981D_8BE75BF62E46_.wvu.Rows" localSheetId="3" hidden="1">'04'!#REF!,'04'!#REF!,'04'!#REF!,'04'!#REF!,'04'!$4:$28,'04'!$34:$53,'04'!$59:$72</definedName>
    <definedName name="Z_20A0B2F7_9F51_4E3D_A024_0877F1F98F8D_.wvu.Rows" localSheetId="3" hidden="1">'04'!#REF!,'04'!#REF!,'04'!#REF!,'04'!#REF!,'04'!$4:$28,'04'!$34:$53,'04'!$59:$72</definedName>
    <definedName name="Z_2C3A3C66_1522_4337_93AC_DFC422DC8462_.wvu.Rows" localSheetId="3" hidden="1">'04'!#REF!,'04'!#REF!,'04'!#REF!,'04'!#REF!,'04'!$4:$28,'04'!$34:$53,'04'!$59:$72</definedName>
    <definedName name="Z_2E074C0E_3584_4321_A729_0961B34312BF_.wvu.Rows" localSheetId="3" hidden="1">'04'!#REF!,'04'!#REF!,'04'!#REF!,'04'!#REF!,'04'!$4:$28,'04'!$34:$53,'04'!$59:$72</definedName>
    <definedName name="Z_2FFCC83E_A488_4450_9F9E_FF506EAEF5FC_.wvu.Rows" localSheetId="3" hidden="1">'04'!#REF!,'04'!#REF!,'04'!#REF!,'04'!#REF!,'04'!$4:$28,'04'!$34:$53,'04'!$59:$72</definedName>
    <definedName name="Z_3351A924_D23D_45D7_8354_55677D787CA4_.wvu.Rows" localSheetId="3" hidden="1">'04'!#REF!,'04'!#REF!,'04'!#REF!,'04'!#REF!,'04'!$4:$28,'04'!$34:$53,'04'!$59:$72</definedName>
    <definedName name="Z_51E3BC0E_B24A_447A_BC0A_03881122E44E_.wvu.Rows" localSheetId="3" hidden="1">'04'!#REF!,'04'!#REF!,'04'!#REF!,'04'!#REF!,'04'!$4:$28,'04'!$34:$53,'04'!$59:$72</definedName>
    <definedName name="Z_5C60C8F2_A96A_4286_AB69_6A192D48B52D_.wvu.Rows" localSheetId="3" hidden="1">'04'!#REF!,'04'!#REF!,'04'!#REF!,'04'!#REF!,'04'!$4:$28,'04'!$34:$53,'04'!$59:$72</definedName>
    <definedName name="Z_667B099C_8E79_4490_AC67_CFE2B9F8FC8D_.wvu.Rows" localSheetId="3" hidden="1">'04'!#REF!,'04'!#REF!,'04'!#REF!,'04'!#REF!,'04'!$4:$28,'04'!$34:$53,'04'!$59:$72</definedName>
    <definedName name="Z_696C5A08_6B5C_4B07_9B14_11E12159ACF3_.wvu.Rows" localSheetId="3" hidden="1">'04'!#REF!,'04'!#REF!,'04'!#REF!,'04'!#REF!,'04'!$34:$53,'04'!$59:$72</definedName>
    <definedName name="Z_743813BC_E137_480B_B63F_29E16C4A5D78_.wvu.Rows" localSheetId="3" hidden="1">'04'!#REF!,'04'!#REF!,'04'!#REF!,'04'!#REF!,'04'!$4:$28,'04'!$34:$53,'04'!$59:$72</definedName>
    <definedName name="Z_7CD6C56D_7191_499D_884D_23F062610490_.wvu.Rows" localSheetId="3" hidden="1">'04'!#REF!,'04'!#REF!,'04'!#REF!,'04'!#REF!,'04'!$4:$28,'04'!$34:$53,'04'!$59:$72</definedName>
    <definedName name="Z_8AB826A3_3F9F_46E8_8B3C_5D723650CD25_.wvu.Rows" localSheetId="3" hidden="1">'04'!#REF!,'04'!#REF!,'04'!#REF!,'04'!#REF!,'04'!$4:$28,'04'!$34:$53,'04'!$59:$72</definedName>
    <definedName name="Z_9231B71C_ABB0_4122_BB61_A0E14ED7FAC4_.wvu.Rows" localSheetId="3" hidden="1">'04'!#REF!,'04'!#REF!,'04'!#REF!,'04'!#REF!,'04'!$4:$28,'04'!$34:$53,'04'!$59:$72</definedName>
    <definedName name="Z_9CE42830_1BFE_4EEE_AD75_1C30A69A86B1_.wvu.Rows" localSheetId="3" hidden="1">'04'!#REF!,'04'!#REF!,'04'!#REF!,'04'!#REF!,'04'!$4:$28,'04'!$34:$53,'04'!$59:$72</definedName>
    <definedName name="Z_9EA36D12_6C5C_4BE0_9897_E6710354124D_.wvu.Rows" localSheetId="3" hidden="1">'04'!#REF!,'04'!#REF!,'04'!#REF!,'04'!#REF!,'04'!$4:$28,'04'!$34:$53,'04'!$59:$72</definedName>
    <definedName name="Z_A0F29F5B_FB6E_4C5E_B7A7_CDA651D38207_.wvu.Rows" localSheetId="3" hidden="1">'04'!#REF!,'04'!#REF!,'04'!#REF!,'04'!#REF!,'04'!$4:$28,'04'!$34:$53,'04'!$59:$72</definedName>
    <definedName name="Z_A567DF6A_4F50_45D4_A9C8_0879E17AFD34_.wvu.Rows" localSheetId="3" hidden="1">'04'!#REF!,'04'!#REF!,'04'!#REF!,'04'!#REF!,'04'!$4:$28,'04'!$34:$53,'04'!$59:$72</definedName>
    <definedName name="Z_B2CFD8C8_F8F8_47F1_9207_6BE81612C01C_.wvu.Rows" localSheetId="3" hidden="1">'04'!#REF!,'04'!#REF!,'04'!#REF!,'04'!#REF!,'04'!$4:$28,'04'!$34:$53,'04'!$59:$72</definedName>
    <definedName name="Z_BBF15C7D_3EAF_4D98_9096_5B67F6C46C47_.wvu.Rows" localSheetId="3" hidden="1">'04'!#REF!,'04'!#REF!,'04'!#REF!,'04'!#REF!,'04'!$34:$53,'04'!$59:$72</definedName>
    <definedName name="Z_C122BF8D_C115_42E1_B73A_F9B38D5EC060_.wvu.Rows" localSheetId="3" hidden="1">'04'!#REF!,'04'!#REF!,'04'!#REF!,'04'!#REF!,'04'!$4:$28,'04'!$34:$53,'04'!$59:$72</definedName>
    <definedName name="Z_C4D254D6_9D1C_4B3C_972D_15957FD05DD2_.wvu.Rows" localSheetId="3" hidden="1">'04'!#REF!,'04'!#REF!,'04'!#REF!,'04'!#REF!,'04'!$4:$28,'04'!$34:$53,'04'!$59:$72</definedName>
    <definedName name="Z_D4664C56_FB8A_499D_8E24_CCA12F97FAE9_.wvu.Rows" localSheetId="3" hidden="1">'04'!#REF!,'04'!#REF!,'04'!#REF!,'04'!#REF!,'04'!$4:$28,'04'!$34:$53,'04'!$59:$72</definedName>
    <definedName name="Z_DD995061_F552_4E13_8D40_A47EBB03245B_.wvu.Rows" localSheetId="3" hidden="1">'04'!#REF!,'04'!#REF!,'04'!#REF!,'04'!#REF!,'04'!$4:$28,'04'!$34:$53,'04'!$59:$72</definedName>
    <definedName name="Z_DE2F0B4F_79DE_40A0_A13B_9C7F63D3F970_.wvu.Rows" localSheetId="3" hidden="1">'04'!#REF!,'04'!#REF!,'04'!#REF!,'04'!#REF!,'04'!$4:$28,'04'!$34:$53,'04'!$59:$72</definedName>
    <definedName name="Z_E765F84B_EAF3_44AE_A058_C602C1E67401_.wvu.Rows" localSheetId="3" hidden="1">'04'!#REF!,'04'!#REF!,'04'!#REF!,'04'!#REF!,'04'!$4:$28,'04'!$34:$53,'04'!$59:$72</definedName>
    <definedName name="Z_F34DD4D3_7189_47AF_B853_F133E36CF124_.wvu.Rows" localSheetId="3" hidden="1">'04'!#REF!,'04'!#REF!,'04'!#REF!,'04'!#REF!,'04'!$4:$28,'04'!$34:$53,'04'!$59:$72</definedName>
    <definedName name="Z_F82F81AB_9C82_4E79_8CA3_CEB2B994FC06_.wvu.Rows" localSheetId="3" hidden="1">'04'!#REF!,'04'!#REF!,'04'!#REF!,'04'!#REF!,'04'!$4:$28,'04'!$34:$53,'04'!$59:$72</definedName>
    <definedName name="Z_F89CD5B0_594D_4248_B45D_59008422D599_.wvu.Rows" localSheetId="3" hidden="1">'04'!#REF!,'04'!#REF!,'04'!#REF!,'04'!#REF!,'04'!$4:$28,'04'!$34:$53,'04'!$59:$72</definedName>
    <definedName name="Z_03FBB0AD_5353_49C6_B595_178BC13C96AE_.wvu.Rows" localSheetId="4" hidden="1">'05'!#REF!,'05'!#REF!,'05'!#REF!,'05'!#REF!,'05'!$4:$22,'05'!$29:$53,'05'!$60:$76</definedName>
    <definedName name="Z_070961C3_1DC2_4518_83D7_B3F54BC58AE2_.wvu.Rows" localSheetId="4" hidden="1">'05'!#REF!,'05'!#REF!,'05'!#REF!,'05'!#REF!,'05'!$4:$22,'05'!$29:$53,'05'!$60:$76</definedName>
    <definedName name="Z_0B87D63B_15AD_4587_A73B_CA4B62BDFA01_.wvu.Rows" localSheetId="4" hidden="1">'05'!#REF!,'05'!#REF!,'05'!#REF!,'05'!#REF!,'05'!$4:$22,'05'!$29:$53,'05'!$60:$76</definedName>
    <definedName name="Z_1B9AB2B5_0A50_46C3_981D_8BE75BF62E46_.wvu.Rows" localSheetId="4" hidden="1">'05'!#REF!,'05'!#REF!,'05'!#REF!,'05'!#REF!,'05'!$4:$22,'05'!$29:$53,'05'!$60:$76</definedName>
    <definedName name="Z_20A0B2F7_9F51_4E3D_A024_0877F1F98F8D_.wvu.Rows" localSheetId="4" hidden="1">'05'!#REF!,'05'!#REF!,'05'!#REF!,'05'!#REF!,'05'!$4:$22,'05'!$29:$53,'05'!$60:$76</definedName>
    <definedName name="Z_2C3A3C66_1522_4337_93AC_DFC422DC8462_.wvu.Rows" localSheetId="4" hidden="1">'05'!#REF!,'05'!#REF!,'05'!#REF!,'05'!#REF!,'05'!$4:$22,'05'!$29:$53,'05'!$60:$76</definedName>
    <definedName name="Z_2E074C0E_3584_4321_A729_0961B34312BF_.wvu.Rows" localSheetId="4" hidden="1">'05'!#REF!,'05'!#REF!,'05'!#REF!,'05'!#REF!,'05'!$4:$22,'05'!$29:$53,'05'!$60:$76</definedName>
    <definedName name="Z_2FFCC83E_A488_4450_9F9E_FF506EAEF5FC_.wvu.Rows" localSheetId="4" hidden="1">'05'!#REF!,'05'!#REF!,'05'!#REF!,'05'!#REF!,'05'!$4:$22,'05'!$29:$53,'05'!$60:$76</definedName>
    <definedName name="Z_3351A924_D23D_45D7_8354_55677D787CA4_.wvu.Rows" localSheetId="4" hidden="1">'05'!#REF!,'05'!#REF!,'05'!#REF!,'05'!#REF!,'05'!$4:$22,'05'!$29:$53,'05'!$60:$76</definedName>
    <definedName name="Z_51E3BC0E_B24A_447A_BC0A_03881122E44E_.wvu.Rows" localSheetId="4" hidden="1">'05'!#REF!,'05'!#REF!,'05'!#REF!,'05'!#REF!,'05'!$4:$22,'05'!$29:$53,'05'!$60:$76</definedName>
    <definedName name="Z_5C60C8F2_A96A_4286_AB69_6A192D48B52D_.wvu.Rows" localSheetId="4" hidden="1">'05'!#REF!,'05'!#REF!,'05'!#REF!,'05'!#REF!,'05'!$4:$22,'05'!$29:$53,'05'!$60:$76</definedName>
    <definedName name="Z_667B099C_8E79_4490_AC67_CFE2B9F8FC8D_.wvu.Rows" localSheetId="4" hidden="1">'05'!#REF!,'05'!#REF!,'05'!#REF!,'05'!#REF!,'05'!$4:$22,'05'!$29:$53,'05'!$60:$76</definedName>
    <definedName name="Z_696C5A08_6B5C_4B07_9B14_11E12159ACF3_.wvu.Rows" localSheetId="4" hidden="1">'05'!#REF!,'05'!#REF!,'05'!#REF!,'05'!#REF!,'05'!$29:$53,'05'!$60:$76</definedName>
    <definedName name="Z_743813BC_E137_480B_B63F_29E16C4A5D78_.wvu.Rows" localSheetId="4" hidden="1">'05'!#REF!,'05'!#REF!,'05'!#REF!,'05'!#REF!,'05'!$4:$22,'05'!$29:$53,'05'!$60:$76</definedName>
    <definedName name="Z_7CD6C56D_7191_499D_884D_23F062610490_.wvu.Rows" localSheetId="4" hidden="1">'05'!#REF!,'05'!#REF!,'05'!#REF!,'05'!#REF!,'05'!$4:$22,'05'!$29:$53,'05'!$60:$76</definedName>
    <definedName name="Z_8AB826A3_3F9F_46E8_8B3C_5D723650CD25_.wvu.Rows" localSheetId="4" hidden="1">'05'!#REF!,'05'!#REF!,'05'!#REF!,'05'!#REF!,'05'!$4:$22,'05'!$29:$53,'05'!$60:$76</definedName>
    <definedName name="Z_9231B71C_ABB0_4122_BB61_A0E14ED7FAC4_.wvu.Rows" localSheetId="4" hidden="1">'05'!#REF!,'05'!#REF!,'05'!#REF!,'05'!#REF!,'05'!$4:$22,'05'!$29:$53,'05'!$60:$76</definedName>
    <definedName name="Z_9CE42830_1BFE_4EEE_AD75_1C30A69A86B1_.wvu.Rows" localSheetId="4" hidden="1">'05'!#REF!,'05'!#REF!,'05'!#REF!,'05'!#REF!,'05'!$4:$22,'05'!$29:$53,'05'!$60:$76</definedName>
    <definedName name="Z_9EA36D12_6C5C_4BE0_9897_E6710354124D_.wvu.Rows" localSheetId="4" hidden="1">'05'!#REF!,'05'!#REF!,'05'!#REF!,'05'!#REF!,'05'!$4:$22,'05'!$29:$53,'05'!$60:$76</definedName>
    <definedName name="Z_A0F29F5B_FB6E_4C5E_B7A7_CDA651D38207_.wvu.Rows" localSheetId="4" hidden="1">'05'!#REF!,'05'!#REF!,'05'!#REF!,'05'!#REF!,'05'!$4:$22,'05'!$29:$53,'05'!$60:$76</definedName>
    <definedName name="Z_A567DF6A_4F50_45D4_A9C8_0879E17AFD34_.wvu.Rows" localSheetId="4" hidden="1">'05'!#REF!,'05'!#REF!,'05'!#REF!,'05'!#REF!,'05'!$4:$22,'05'!$29:$53,'05'!$60:$76</definedName>
    <definedName name="Z_B2CFD8C8_F8F8_47F1_9207_6BE81612C01C_.wvu.Rows" localSheetId="4" hidden="1">'05'!#REF!,'05'!#REF!,'05'!#REF!,'05'!#REF!,'05'!$4:$22,'05'!$29:$53,'05'!$60:$76</definedName>
    <definedName name="Z_BBF15C7D_3EAF_4D98_9096_5B67F6C46C47_.wvu.Rows" localSheetId="4" hidden="1">'05'!#REF!,'05'!#REF!,'05'!#REF!,'05'!#REF!,'05'!$29:$53,'05'!$60:$76</definedName>
    <definedName name="Z_C122BF8D_C115_42E1_B73A_F9B38D5EC060_.wvu.Rows" localSheetId="4" hidden="1">'05'!#REF!,'05'!#REF!,'05'!#REF!,'05'!#REF!,'05'!$4:$22,'05'!$29:$53,'05'!$60:$76</definedName>
    <definedName name="Z_C4D254D6_9D1C_4B3C_972D_15957FD05DD2_.wvu.Rows" localSheetId="4" hidden="1">'05'!#REF!,'05'!#REF!,'05'!#REF!,'05'!#REF!,'05'!$4:$22,'05'!$29:$53,'05'!$60:$76</definedName>
    <definedName name="Z_D4664C56_FB8A_499D_8E24_CCA12F97FAE9_.wvu.Rows" localSheetId="4" hidden="1">'05'!#REF!,'05'!#REF!,'05'!#REF!,'05'!#REF!,'05'!$4:$22,'05'!$29:$53,'05'!$60:$76</definedName>
    <definedName name="Z_DD995061_F552_4E13_8D40_A47EBB03245B_.wvu.Rows" localSheetId="4" hidden="1">'05'!#REF!,'05'!#REF!,'05'!#REF!,'05'!#REF!,'05'!$4:$22,'05'!$29:$53,'05'!$60:$76</definedName>
    <definedName name="Z_DE2F0B4F_79DE_40A0_A13B_9C7F63D3F970_.wvu.Rows" localSheetId="4" hidden="1">'05'!#REF!,'05'!#REF!,'05'!#REF!,'05'!#REF!,'05'!$4:$22,'05'!$29:$53,'05'!$60:$76</definedName>
    <definedName name="Z_E765F84B_EAF3_44AE_A058_C602C1E67401_.wvu.Rows" localSheetId="4" hidden="1">'05'!#REF!,'05'!#REF!,'05'!#REF!,'05'!#REF!,'05'!$4:$22,'05'!$29:$53,'05'!$60:$76</definedName>
    <definedName name="Z_F34DD4D3_7189_47AF_B853_F133E36CF124_.wvu.Rows" localSheetId="4" hidden="1">'05'!#REF!,'05'!#REF!,'05'!#REF!,'05'!#REF!,'05'!$4:$22,'05'!$29:$53,'05'!$60:$76</definedName>
    <definedName name="Z_F82F81AB_9C82_4E79_8CA3_CEB2B994FC06_.wvu.Rows" localSheetId="4" hidden="1">'05'!#REF!,'05'!#REF!,'05'!#REF!,'05'!#REF!,'05'!$4:$22,'05'!$29:$53,'05'!$60:$76</definedName>
    <definedName name="Z_F89CD5B0_594D_4248_B45D_59008422D599_.wvu.Rows" localSheetId="4" hidden="1">'05'!#REF!,'05'!#REF!,'05'!#REF!,'05'!#REF!,'05'!$4:$22,'05'!$29:$53,'05'!$60:$76</definedName>
    <definedName name="Z_03FBB0AD_5353_49C6_B595_178BC13C96AE_.wvu.Rows" localSheetId="5" hidden="1">'06'!#REF!,'06'!#REF!,'06'!#REF!,'06'!#REF!,'06'!$4:$20,'06'!$27:$51,'06'!$58:$74</definedName>
    <definedName name="Z_070961C3_1DC2_4518_83D7_B3F54BC58AE2_.wvu.Rows" localSheetId="5" hidden="1">'06'!#REF!,'06'!#REF!,'06'!#REF!,'06'!#REF!,'06'!$4:$20,'06'!$27:$51,'06'!$58:$74</definedName>
    <definedName name="Z_0B87D63B_15AD_4587_A73B_CA4B62BDFA01_.wvu.Rows" localSheetId="5" hidden="1">'06'!#REF!,'06'!#REF!,'06'!#REF!,'06'!#REF!,'06'!$4:$20,'06'!$27:$51,'06'!$58:$74</definedName>
    <definedName name="Z_1B9AB2B5_0A50_46C3_981D_8BE75BF62E46_.wvu.Rows" localSheetId="5" hidden="1">'06'!#REF!,'06'!#REF!,'06'!#REF!,'06'!#REF!,'06'!$4:$20,'06'!$27:$51,'06'!$58:$74</definedName>
    <definedName name="Z_20A0B2F7_9F51_4E3D_A024_0877F1F98F8D_.wvu.Rows" localSheetId="5" hidden="1">'06'!#REF!,'06'!#REF!,'06'!#REF!,'06'!#REF!,'06'!$4:$20,'06'!$27:$51,'06'!$58:$74</definedName>
    <definedName name="Z_2C3A3C66_1522_4337_93AC_DFC422DC8462_.wvu.Rows" localSheetId="5" hidden="1">'06'!#REF!,'06'!#REF!,'06'!#REF!,'06'!#REF!,'06'!$4:$20,'06'!$27:$51,'06'!$58:$74</definedName>
    <definedName name="Z_2E074C0E_3584_4321_A729_0961B34312BF_.wvu.Rows" localSheetId="5" hidden="1">'06'!#REF!,'06'!#REF!,'06'!#REF!,'06'!#REF!,'06'!$4:$20,'06'!$27:$51,'06'!$58:$74</definedName>
    <definedName name="Z_2FFCC83E_A488_4450_9F9E_FF506EAEF5FC_.wvu.Rows" localSheetId="5" hidden="1">'06'!#REF!,'06'!#REF!,'06'!#REF!,'06'!#REF!,'06'!$4:$20,'06'!$27:$51,'06'!$58:$74</definedName>
    <definedName name="Z_3351A924_D23D_45D7_8354_55677D787CA4_.wvu.Rows" localSheetId="5" hidden="1">'06'!#REF!,'06'!#REF!,'06'!#REF!,'06'!#REF!,'06'!$4:$20,'06'!$27:$51,'06'!$58:$74</definedName>
    <definedName name="Z_51E3BC0E_B24A_447A_BC0A_03881122E44E_.wvu.Rows" localSheetId="5" hidden="1">'06'!#REF!,'06'!#REF!,'06'!#REF!,'06'!#REF!,'06'!$4:$20,'06'!$27:$51,'06'!$58:$74</definedName>
    <definedName name="Z_5C60C8F2_A96A_4286_AB69_6A192D48B52D_.wvu.Rows" localSheetId="5" hidden="1">'06'!#REF!,'06'!#REF!,'06'!#REF!,'06'!#REF!,'06'!$4:$20,'06'!$27:$51,'06'!$58:$74</definedName>
    <definedName name="Z_667B099C_8E79_4490_AC67_CFE2B9F8FC8D_.wvu.Rows" localSheetId="5" hidden="1">'06'!#REF!,'06'!#REF!,'06'!#REF!,'06'!#REF!,'06'!$4:$20,'06'!$27:$51,'06'!$58:$74</definedName>
    <definedName name="Z_696C5A08_6B5C_4B07_9B14_11E12159ACF3_.wvu.Rows" localSheetId="5" hidden="1">'06'!#REF!,'06'!#REF!,'06'!#REF!,'06'!#REF!,'06'!$27:$51,'06'!$58:$74</definedName>
    <definedName name="Z_743813BC_E137_480B_B63F_29E16C4A5D78_.wvu.Rows" localSheetId="5" hidden="1">'06'!#REF!,'06'!#REF!,'06'!#REF!,'06'!#REF!,'06'!$4:$20,'06'!$27:$51,'06'!$58:$74</definedName>
    <definedName name="Z_7CD6C56D_7191_499D_884D_23F062610490_.wvu.Rows" localSheetId="5" hidden="1">'06'!#REF!,'06'!#REF!,'06'!#REF!,'06'!#REF!,'06'!$4:$20,'06'!$27:$51,'06'!$58:$74</definedName>
    <definedName name="Z_8AB826A3_3F9F_46E8_8B3C_5D723650CD25_.wvu.Rows" localSheetId="5" hidden="1">'06'!#REF!,'06'!#REF!,'06'!#REF!,'06'!#REF!,'06'!$4:$20,'06'!$27:$51,'06'!$58:$74</definedName>
    <definedName name="Z_9231B71C_ABB0_4122_BB61_A0E14ED7FAC4_.wvu.Rows" localSheetId="5" hidden="1">'06'!#REF!,'06'!#REF!,'06'!#REF!,'06'!#REF!,'06'!$4:$20,'06'!$27:$51,'06'!$58:$74</definedName>
    <definedName name="Z_9CE42830_1BFE_4EEE_AD75_1C30A69A86B1_.wvu.Rows" localSheetId="5" hidden="1">'06'!#REF!,'06'!#REF!,'06'!#REF!,'06'!#REF!,'06'!$4:$20,'06'!$27:$51,'06'!$58:$74</definedName>
    <definedName name="Z_9EA36D12_6C5C_4BE0_9897_E6710354124D_.wvu.Rows" localSheetId="5" hidden="1">'06'!#REF!,'06'!#REF!,'06'!#REF!,'06'!#REF!,'06'!$4:$20,'06'!$27:$51,'06'!$58:$74</definedName>
    <definedName name="Z_A0F29F5B_FB6E_4C5E_B7A7_CDA651D38207_.wvu.Rows" localSheetId="5" hidden="1">'06'!#REF!,'06'!#REF!,'06'!#REF!,'06'!#REF!,'06'!$4:$20,'06'!$27:$51,'06'!$58:$74</definedName>
    <definedName name="Z_A567DF6A_4F50_45D4_A9C8_0879E17AFD34_.wvu.Rows" localSheetId="5" hidden="1">'06'!#REF!,'06'!#REF!,'06'!#REF!,'06'!#REF!,'06'!$4:$20,'06'!$27:$51,'06'!$58:$74</definedName>
    <definedName name="Z_B2CFD8C8_F8F8_47F1_9207_6BE81612C01C_.wvu.Rows" localSheetId="5" hidden="1">'06'!#REF!,'06'!#REF!,'06'!#REF!,'06'!#REF!,'06'!$4:$20,'06'!$27:$51,'06'!$58:$74</definedName>
    <definedName name="Z_BBF15C7D_3EAF_4D98_9096_5B67F6C46C47_.wvu.Rows" localSheetId="5" hidden="1">'06'!#REF!,'06'!#REF!,'06'!#REF!,'06'!#REF!,'06'!$27:$51,'06'!$58:$74</definedName>
    <definedName name="Z_C122BF8D_C115_42E1_B73A_F9B38D5EC060_.wvu.Rows" localSheetId="5" hidden="1">'06'!#REF!,'06'!#REF!,'06'!#REF!,'06'!#REF!,'06'!$4:$20,'06'!$27:$51,'06'!$58:$74</definedName>
    <definedName name="Z_C4D254D6_9D1C_4B3C_972D_15957FD05DD2_.wvu.Rows" localSheetId="5" hidden="1">'06'!#REF!,'06'!#REF!,'06'!#REF!,'06'!#REF!,'06'!$4:$20,'06'!$27:$51,'06'!$58:$74</definedName>
    <definedName name="Z_D4664C56_FB8A_499D_8E24_CCA12F97FAE9_.wvu.Rows" localSheetId="5" hidden="1">'06'!#REF!,'06'!#REF!,'06'!#REF!,'06'!#REF!,'06'!$4:$20,'06'!$27:$51,'06'!$58:$74</definedName>
    <definedName name="Z_DD995061_F552_4E13_8D40_A47EBB03245B_.wvu.Rows" localSheetId="5" hidden="1">'06'!#REF!,'06'!#REF!,'06'!#REF!,'06'!#REF!,'06'!$4:$20,'06'!$27:$51,'06'!$58:$74</definedName>
    <definedName name="Z_DE2F0B4F_79DE_40A0_A13B_9C7F63D3F970_.wvu.Rows" localSheetId="5" hidden="1">'06'!#REF!,'06'!#REF!,'06'!#REF!,'06'!#REF!,'06'!$4:$20,'06'!$27:$51,'06'!$58:$74</definedName>
    <definedName name="Z_E765F84B_EAF3_44AE_A058_C602C1E67401_.wvu.Rows" localSheetId="5" hidden="1">'06'!#REF!,'06'!#REF!,'06'!#REF!,'06'!#REF!,'06'!$4:$20,'06'!$27:$51,'06'!$58:$74</definedName>
    <definedName name="Z_F34DD4D3_7189_47AF_B853_F133E36CF124_.wvu.Rows" localSheetId="5" hidden="1">'06'!#REF!,'06'!#REF!,'06'!#REF!,'06'!#REF!,'06'!$4:$20,'06'!$27:$51,'06'!$58:$74</definedName>
    <definedName name="Z_F82F81AB_9C82_4E79_8CA3_CEB2B994FC06_.wvu.Rows" localSheetId="5" hidden="1">'06'!#REF!,'06'!#REF!,'06'!#REF!,'06'!#REF!,'06'!$4:$20,'06'!$27:$51,'06'!$58:$74</definedName>
    <definedName name="Z_F89CD5B0_594D_4248_B45D_59008422D599_.wvu.Rows" localSheetId="5" hidden="1">'06'!#REF!,'06'!#REF!,'06'!#REF!,'06'!#REF!,'06'!$4:$20,'06'!$27:$51,'06'!$58:$74</definedName>
    <definedName name="Z_03FBB0AD_5353_49C6_B595_178BC13C96AE_.wvu.Rows" localSheetId="6" hidden="1">'07'!#REF!,'07'!#REF!,'07'!#REF!,'07'!#REF!,'07'!$4:$20,'07'!$27:$51,'07'!$58:$77</definedName>
    <definedName name="Z_070961C3_1DC2_4518_83D7_B3F54BC58AE2_.wvu.Rows" localSheetId="6" hidden="1">'07'!#REF!,'07'!#REF!,'07'!#REF!,'07'!#REF!,'07'!$4:$20,'07'!$27:$51,'07'!$58:$77</definedName>
    <definedName name="Z_0B87D63B_15AD_4587_A73B_CA4B62BDFA01_.wvu.Rows" localSheetId="6" hidden="1">'07'!#REF!,'07'!#REF!,'07'!#REF!,'07'!#REF!,'07'!$4:$20,'07'!$27:$51,'07'!$58:$77</definedName>
    <definedName name="Z_1B9AB2B5_0A50_46C3_981D_8BE75BF62E46_.wvu.Rows" localSheetId="6" hidden="1">'07'!#REF!,'07'!#REF!,'07'!#REF!,'07'!#REF!,'07'!$4:$20,'07'!$27:$51,'07'!$58:$77</definedName>
    <definedName name="Z_20A0B2F7_9F51_4E3D_A024_0877F1F98F8D_.wvu.Rows" localSheetId="6" hidden="1">'07'!#REF!,'07'!#REF!,'07'!#REF!,'07'!#REF!,'07'!$4:$20,'07'!$27:$51,'07'!$58:$77</definedName>
    <definedName name="Z_2C3A3C66_1522_4337_93AC_DFC422DC8462_.wvu.Rows" localSheetId="6" hidden="1">'07'!#REF!,'07'!#REF!,'07'!#REF!,'07'!#REF!,'07'!$4:$20,'07'!$27:$51,'07'!$58:$77</definedName>
    <definedName name="Z_2E074C0E_3584_4321_A729_0961B34312BF_.wvu.Rows" localSheetId="6" hidden="1">'07'!#REF!,'07'!#REF!,'07'!#REF!,'07'!#REF!,'07'!$4:$20,'07'!$27:$51,'07'!$58:$77</definedName>
    <definedName name="Z_2FFCC83E_A488_4450_9F9E_FF506EAEF5FC_.wvu.Rows" localSheetId="6" hidden="1">'07'!#REF!,'07'!#REF!,'07'!#REF!,'07'!#REF!,'07'!$4:$20,'07'!$27:$51,'07'!$58:$77</definedName>
    <definedName name="Z_3351A924_D23D_45D7_8354_55677D787CA4_.wvu.Rows" localSheetId="6" hidden="1">'07'!#REF!,'07'!#REF!,'07'!#REF!,'07'!#REF!,'07'!$4:$20,'07'!$27:$51,'07'!$58:$77</definedName>
    <definedName name="Z_51E3BC0E_B24A_447A_BC0A_03881122E44E_.wvu.Rows" localSheetId="6" hidden="1">'07'!#REF!,'07'!#REF!,'07'!#REF!,'07'!#REF!,'07'!$4:$20,'07'!$27:$51,'07'!$58:$77</definedName>
    <definedName name="Z_5C60C8F2_A96A_4286_AB69_6A192D48B52D_.wvu.Rows" localSheetId="6" hidden="1">'07'!#REF!,'07'!#REF!,'07'!#REF!,'07'!#REF!,'07'!$4:$20,'07'!$27:$51,'07'!$58:$77</definedName>
    <definedName name="Z_667B099C_8E79_4490_AC67_CFE2B9F8FC8D_.wvu.Rows" localSheetId="6" hidden="1">'07'!#REF!,'07'!#REF!,'07'!#REF!,'07'!#REF!,'07'!$4:$20,'07'!$27:$51,'07'!$58:$77</definedName>
    <definedName name="Z_696C5A08_6B5C_4B07_9B14_11E12159ACF3_.wvu.Rows" localSheetId="6" hidden="1">'07'!#REF!,'07'!#REF!,'07'!#REF!,'07'!#REF!,'07'!$27:$51,'07'!$58:$77</definedName>
    <definedName name="Z_743813BC_E137_480B_B63F_29E16C4A5D78_.wvu.Rows" localSheetId="6" hidden="1">'07'!#REF!,'07'!#REF!,'07'!#REF!,'07'!#REF!,'07'!$4:$20,'07'!$27:$51,'07'!$58:$77</definedName>
    <definedName name="Z_7CD6C56D_7191_499D_884D_23F062610490_.wvu.Rows" localSheetId="6" hidden="1">'07'!#REF!,'07'!#REF!,'07'!#REF!,'07'!#REF!,'07'!$4:$20,'07'!$27:$51,'07'!$58:$77</definedName>
    <definedName name="Z_8AB826A3_3F9F_46E8_8B3C_5D723650CD25_.wvu.Rows" localSheetId="6" hidden="1">'07'!#REF!,'07'!#REF!,'07'!#REF!,'07'!#REF!,'07'!$4:$20,'07'!$27:$51,'07'!$58:$77</definedName>
    <definedName name="Z_9231B71C_ABB0_4122_BB61_A0E14ED7FAC4_.wvu.Rows" localSheetId="6" hidden="1">'07'!#REF!,'07'!#REF!,'07'!#REF!,'07'!#REF!,'07'!$4:$20,'07'!$27:$51,'07'!$58:$77</definedName>
    <definedName name="Z_9CE42830_1BFE_4EEE_AD75_1C30A69A86B1_.wvu.Rows" localSheetId="6" hidden="1">'07'!#REF!,'07'!#REF!,'07'!#REF!,'07'!#REF!,'07'!$4:$20,'07'!$27:$51,'07'!$58:$77</definedName>
    <definedName name="Z_9EA36D12_6C5C_4BE0_9897_E6710354124D_.wvu.Rows" localSheetId="6" hidden="1">'07'!#REF!,'07'!#REF!,'07'!#REF!,'07'!#REF!,'07'!$4:$20,'07'!$27:$51,'07'!$58:$77</definedName>
    <definedName name="Z_A0F29F5B_FB6E_4C5E_B7A7_CDA651D38207_.wvu.Rows" localSheetId="6" hidden="1">'07'!#REF!,'07'!#REF!,'07'!#REF!,'07'!#REF!,'07'!$4:$20,'07'!$27:$51,'07'!$58:$77</definedName>
    <definedName name="Z_A567DF6A_4F50_45D4_A9C8_0879E17AFD34_.wvu.Rows" localSheetId="6" hidden="1">'07'!#REF!,'07'!#REF!,'07'!#REF!,'07'!#REF!,'07'!$4:$20,'07'!$27:$51,'07'!$58:$77</definedName>
    <definedName name="Z_B2CFD8C8_F8F8_47F1_9207_6BE81612C01C_.wvu.Rows" localSheetId="6" hidden="1">'07'!#REF!,'07'!#REF!,'07'!#REF!,'07'!#REF!,'07'!$4:$20,'07'!$27:$51,'07'!$58:$77</definedName>
    <definedName name="Z_BBF15C7D_3EAF_4D98_9096_5B67F6C46C47_.wvu.Rows" localSheetId="6" hidden="1">'07'!#REF!,'07'!#REF!,'07'!#REF!,'07'!#REF!,'07'!$27:$51,'07'!$58:$77</definedName>
    <definedName name="Z_C122BF8D_C115_42E1_B73A_F9B38D5EC060_.wvu.Rows" localSheetId="6" hidden="1">'07'!#REF!,'07'!#REF!,'07'!#REF!,'07'!#REF!,'07'!$4:$20,'07'!$27:$51,'07'!$58:$77</definedName>
    <definedName name="Z_C4D254D6_9D1C_4B3C_972D_15957FD05DD2_.wvu.Rows" localSheetId="6" hidden="1">'07'!#REF!,'07'!#REF!,'07'!#REF!,'07'!#REF!,'07'!$4:$20,'07'!$27:$51,'07'!$58:$77</definedName>
    <definedName name="Z_D4664C56_FB8A_499D_8E24_CCA12F97FAE9_.wvu.Rows" localSheetId="6" hidden="1">'07'!#REF!,'07'!#REF!,'07'!#REF!,'07'!#REF!,'07'!$4:$20,'07'!$27:$51,'07'!$58:$77</definedName>
    <definedName name="Z_DD995061_F552_4E13_8D40_A47EBB03245B_.wvu.Rows" localSheetId="6" hidden="1">'07'!#REF!,'07'!#REF!,'07'!#REF!,'07'!#REF!,'07'!$4:$20,'07'!$27:$51,'07'!$58:$77</definedName>
    <definedName name="Z_DE2F0B4F_79DE_40A0_A13B_9C7F63D3F970_.wvu.Rows" localSheetId="6" hidden="1">'07'!#REF!,'07'!#REF!,'07'!#REF!,'07'!#REF!,'07'!$4:$20,'07'!$27:$51,'07'!$58:$77</definedName>
    <definedName name="Z_E765F84B_EAF3_44AE_A058_C602C1E67401_.wvu.Rows" localSheetId="6" hidden="1">'07'!#REF!,'07'!#REF!,'07'!#REF!,'07'!#REF!,'07'!$4:$20,'07'!$27:$51,'07'!$58:$77</definedName>
    <definedName name="Z_F34DD4D3_7189_47AF_B853_F133E36CF124_.wvu.Rows" localSheetId="6" hidden="1">'07'!#REF!,'07'!#REF!,'07'!#REF!,'07'!#REF!,'07'!$4:$20,'07'!$27:$51,'07'!$58:$77</definedName>
    <definedName name="Z_F82F81AB_9C82_4E79_8CA3_CEB2B994FC06_.wvu.Rows" localSheetId="6" hidden="1">'07'!#REF!,'07'!#REF!,'07'!#REF!,'07'!#REF!,'07'!$4:$20,'07'!$27:$51,'07'!$58:$77</definedName>
    <definedName name="Z_F89CD5B0_594D_4248_B45D_59008422D599_.wvu.Rows" localSheetId="6" hidden="1">'07'!#REF!,'07'!#REF!,'07'!#REF!,'07'!#REF!,'07'!$4:$20,'07'!$27:$51,'07'!$58:$77</definedName>
    <definedName name="Z_03FBB0AD_5353_49C6_B595_178BC13C96AE_.wvu.Rows" localSheetId="7" hidden="1">'08'!#REF!,'08'!#REF!,'08'!#REF!,'08'!#REF!,'08'!$4:$21,'08'!$28:$52,'08'!$59:$74</definedName>
    <definedName name="Z_070961C3_1DC2_4518_83D7_B3F54BC58AE2_.wvu.Rows" localSheetId="7" hidden="1">'08'!#REF!,'08'!#REF!,'08'!#REF!,'08'!#REF!,'08'!$4:$21,'08'!$28:$52,'08'!$59:$74</definedName>
    <definedName name="Z_0B87D63B_15AD_4587_A73B_CA4B62BDFA01_.wvu.Rows" localSheetId="7" hidden="1">'08'!#REF!,'08'!#REF!,'08'!#REF!,'08'!#REF!,'08'!$4:$21,'08'!$28:$52,'08'!$59:$74</definedName>
    <definedName name="Z_1B9AB2B5_0A50_46C3_981D_8BE75BF62E46_.wvu.Rows" localSheetId="7" hidden="1">'08'!#REF!,'08'!#REF!,'08'!#REF!,'08'!#REF!,'08'!$4:$21,'08'!$28:$52,'08'!$59:$74</definedName>
    <definedName name="Z_20A0B2F7_9F51_4E3D_A024_0877F1F98F8D_.wvu.Rows" localSheetId="7" hidden="1">'08'!#REF!,'08'!#REF!,'08'!#REF!,'08'!#REF!,'08'!$4:$21,'08'!$28:$52,'08'!$59:$74</definedName>
    <definedName name="Z_2C3A3C66_1522_4337_93AC_DFC422DC8462_.wvu.Rows" localSheetId="7" hidden="1">'08'!#REF!,'08'!#REF!,'08'!#REF!,'08'!#REF!,'08'!$4:$21,'08'!$28:$52,'08'!$59:$74</definedName>
    <definedName name="Z_2E074C0E_3584_4321_A729_0961B34312BF_.wvu.Rows" localSheetId="7" hidden="1">'08'!#REF!,'08'!#REF!,'08'!#REF!,'08'!#REF!,'08'!$4:$21,'08'!$28:$52,'08'!$59:$74</definedName>
    <definedName name="Z_2FFCC83E_A488_4450_9F9E_FF506EAEF5FC_.wvu.Rows" localSheetId="7" hidden="1">'08'!#REF!,'08'!#REF!,'08'!#REF!,'08'!#REF!,'08'!$4:$21,'08'!$28:$52,'08'!$59:$74</definedName>
    <definedName name="Z_3351A924_D23D_45D7_8354_55677D787CA4_.wvu.Rows" localSheetId="7" hidden="1">'08'!#REF!,'08'!#REF!,'08'!#REF!,'08'!#REF!,'08'!$4:$21,'08'!$28:$52,'08'!$59:$74</definedName>
    <definedName name="Z_51E3BC0E_B24A_447A_BC0A_03881122E44E_.wvu.Rows" localSheetId="7" hidden="1">'08'!#REF!,'08'!#REF!,'08'!#REF!,'08'!#REF!,'08'!$4:$21,'08'!$28:$52,'08'!$59:$74</definedName>
    <definedName name="Z_5C60C8F2_A96A_4286_AB69_6A192D48B52D_.wvu.Rows" localSheetId="7" hidden="1">'08'!#REF!,'08'!#REF!,'08'!#REF!,'08'!#REF!,'08'!$4:$21,'08'!$28:$52,'08'!$59:$74</definedName>
    <definedName name="Z_667B099C_8E79_4490_AC67_CFE2B9F8FC8D_.wvu.Rows" localSheetId="7" hidden="1">'08'!#REF!,'08'!#REF!,'08'!#REF!,'08'!#REF!,'08'!$4:$21,'08'!$28:$52,'08'!$59:$74</definedName>
    <definedName name="Z_696C5A08_6B5C_4B07_9B14_11E12159ACF3_.wvu.Rows" localSheetId="7" hidden="1">'08'!#REF!,'08'!#REF!,'08'!#REF!,'08'!#REF!,'08'!$28:$52,'08'!$59:$74</definedName>
    <definedName name="Z_743813BC_E137_480B_B63F_29E16C4A5D78_.wvu.Rows" localSheetId="7" hidden="1">'08'!#REF!,'08'!#REF!,'08'!#REF!,'08'!#REF!,'08'!$4:$21,'08'!$28:$52,'08'!$59:$74</definedName>
    <definedName name="Z_7CD6C56D_7191_499D_884D_23F062610490_.wvu.Rows" localSheetId="7" hidden="1">'08'!#REF!,'08'!#REF!,'08'!#REF!,'08'!#REF!,'08'!$4:$21,'08'!$28:$52,'08'!$59:$74</definedName>
    <definedName name="Z_8AB826A3_3F9F_46E8_8B3C_5D723650CD25_.wvu.Rows" localSheetId="7" hidden="1">'08'!#REF!,'08'!#REF!,'08'!#REF!,'08'!#REF!,'08'!$4:$21,'08'!$28:$52,'08'!$59:$74</definedName>
    <definedName name="Z_9231B71C_ABB0_4122_BB61_A0E14ED7FAC4_.wvu.Rows" localSheetId="7" hidden="1">'08'!#REF!,'08'!#REF!,'08'!#REF!,'08'!#REF!,'08'!$4:$21,'08'!$28:$52,'08'!$59:$74</definedName>
    <definedName name="Z_9CE42830_1BFE_4EEE_AD75_1C30A69A86B1_.wvu.Rows" localSheetId="7" hidden="1">'08'!#REF!,'08'!#REF!,'08'!#REF!,'08'!#REF!,'08'!$4:$21,'08'!$28:$52,'08'!$59:$74</definedName>
    <definedName name="Z_9EA36D12_6C5C_4BE0_9897_E6710354124D_.wvu.Rows" localSheetId="7" hidden="1">'08'!#REF!,'08'!#REF!,'08'!#REF!,'08'!#REF!,'08'!$4:$21,'08'!$28:$52,'08'!$59:$74</definedName>
    <definedName name="Z_A0F29F5B_FB6E_4C5E_B7A7_CDA651D38207_.wvu.Rows" localSheetId="7" hidden="1">'08'!#REF!,'08'!#REF!,'08'!#REF!,'08'!#REF!,'08'!$4:$21,'08'!$28:$52,'08'!$59:$74</definedName>
    <definedName name="Z_A567DF6A_4F50_45D4_A9C8_0879E17AFD34_.wvu.Rows" localSheetId="7" hidden="1">'08'!#REF!,'08'!#REF!,'08'!#REF!,'08'!#REF!,'08'!$4:$21,'08'!$28:$52,'08'!$59:$74</definedName>
    <definedName name="Z_B2CFD8C8_F8F8_47F1_9207_6BE81612C01C_.wvu.Rows" localSheetId="7" hidden="1">'08'!#REF!,'08'!#REF!,'08'!#REF!,'08'!#REF!,'08'!$4:$21,'08'!$28:$52,'08'!$59:$74</definedName>
    <definedName name="Z_BBF15C7D_3EAF_4D98_9096_5B67F6C46C47_.wvu.Rows" localSheetId="7" hidden="1">'08'!#REF!,'08'!#REF!,'08'!#REF!,'08'!#REF!,'08'!$28:$52,'08'!$59:$74</definedName>
    <definedName name="Z_C122BF8D_C115_42E1_B73A_F9B38D5EC060_.wvu.Rows" localSheetId="7" hidden="1">'08'!#REF!,'08'!#REF!,'08'!#REF!,'08'!#REF!,'08'!$4:$21,'08'!$28:$52,'08'!$59:$74</definedName>
    <definedName name="Z_C4D254D6_9D1C_4B3C_972D_15957FD05DD2_.wvu.Rows" localSheetId="7" hidden="1">'08'!#REF!,'08'!#REF!,'08'!#REF!,'08'!#REF!,'08'!$4:$21,'08'!$28:$52,'08'!$59:$74</definedName>
    <definedName name="Z_D4664C56_FB8A_499D_8E24_CCA12F97FAE9_.wvu.Rows" localSheetId="7" hidden="1">'08'!#REF!,'08'!#REF!,'08'!#REF!,'08'!#REF!,'08'!$4:$21,'08'!$28:$52,'08'!$59:$74</definedName>
    <definedName name="Z_DD995061_F552_4E13_8D40_A47EBB03245B_.wvu.Rows" localSheetId="7" hidden="1">'08'!#REF!,'08'!#REF!,'08'!#REF!,'08'!#REF!,'08'!$4:$21,'08'!$28:$52,'08'!$59:$74</definedName>
    <definedName name="Z_DE2F0B4F_79DE_40A0_A13B_9C7F63D3F970_.wvu.Rows" localSheetId="7" hidden="1">'08'!#REF!,'08'!#REF!,'08'!#REF!,'08'!#REF!,'08'!$4:$21,'08'!$28:$52,'08'!$59:$74</definedName>
    <definedName name="Z_E765F84B_EAF3_44AE_A058_C602C1E67401_.wvu.Rows" localSheetId="7" hidden="1">'08'!#REF!,'08'!#REF!,'08'!#REF!,'08'!#REF!,'08'!$4:$21,'08'!$28:$52,'08'!$59:$74</definedName>
    <definedName name="Z_F34DD4D3_7189_47AF_B853_F133E36CF124_.wvu.Rows" localSheetId="7" hidden="1">'08'!#REF!,'08'!#REF!,'08'!#REF!,'08'!#REF!,'08'!$4:$21,'08'!$28:$52,'08'!$59:$74</definedName>
    <definedName name="Z_F82F81AB_9C82_4E79_8CA3_CEB2B994FC06_.wvu.Rows" localSheetId="7" hidden="1">'08'!#REF!,'08'!#REF!,'08'!#REF!,'08'!#REF!,'08'!$4:$21,'08'!$28:$52,'08'!$59:$74</definedName>
    <definedName name="Z_F89CD5B0_594D_4248_B45D_59008422D599_.wvu.Rows" localSheetId="7" hidden="1">'08'!#REF!,'08'!#REF!,'08'!#REF!,'08'!#REF!,'08'!$4:$21,'08'!$28:$52,'08'!$59:$74</definedName>
    <definedName name="Z_03FBB0AD_5353_49C6_B595_178BC13C96AE_.wvu.Rows" localSheetId="8" hidden="1">'09'!#REF!,'09'!#REF!,'09'!#REF!,'09'!#REF!,'09'!$4:$21,'09'!$28:$52,'09'!$59:$75</definedName>
    <definedName name="Z_070961C3_1DC2_4518_83D7_B3F54BC58AE2_.wvu.Rows" localSheetId="8" hidden="1">'09'!#REF!,'09'!#REF!,'09'!#REF!,'09'!#REF!,'09'!$4:$21,'09'!$28:$52,'09'!$59:$75</definedName>
    <definedName name="Z_0B87D63B_15AD_4587_A73B_CA4B62BDFA01_.wvu.Rows" localSheetId="8" hidden="1">'09'!#REF!,'09'!#REF!,'09'!#REF!,'09'!#REF!,'09'!$4:$21,'09'!$28:$52,'09'!$59:$75</definedName>
    <definedName name="Z_1B9AB2B5_0A50_46C3_981D_8BE75BF62E46_.wvu.Rows" localSheetId="8" hidden="1">'09'!#REF!,'09'!#REF!,'09'!#REF!,'09'!#REF!,'09'!$4:$21,'09'!$28:$52,'09'!$59:$75</definedName>
    <definedName name="Z_20A0B2F7_9F51_4E3D_A024_0877F1F98F8D_.wvu.Rows" localSheetId="8" hidden="1">'09'!#REF!,'09'!#REF!,'09'!#REF!,'09'!#REF!,'09'!$4:$21,'09'!$28:$52,'09'!$59:$75</definedName>
    <definedName name="Z_2C3A3C66_1522_4337_93AC_DFC422DC8462_.wvu.Rows" localSheetId="8" hidden="1">'09'!#REF!,'09'!#REF!,'09'!#REF!,'09'!#REF!,'09'!$4:$21,'09'!$28:$52,'09'!$59:$75</definedName>
    <definedName name="Z_2E074C0E_3584_4321_A729_0961B34312BF_.wvu.Rows" localSheetId="8" hidden="1">'09'!#REF!,'09'!#REF!,'09'!#REF!,'09'!#REF!,'09'!$4:$21,'09'!$28:$52,'09'!$59:$75</definedName>
    <definedName name="Z_2FFCC83E_A488_4450_9F9E_FF506EAEF5FC_.wvu.Rows" localSheetId="8" hidden="1">'09'!#REF!,'09'!#REF!,'09'!#REF!,'09'!#REF!,'09'!$4:$21,'09'!$28:$52,'09'!$59:$75</definedName>
    <definedName name="Z_3351A924_D23D_45D7_8354_55677D787CA4_.wvu.Rows" localSheetId="8" hidden="1">'09'!#REF!,'09'!#REF!,'09'!#REF!,'09'!#REF!,'09'!$4:$21,'09'!$28:$52,'09'!$59:$75</definedName>
    <definedName name="Z_51E3BC0E_B24A_447A_BC0A_03881122E44E_.wvu.Rows" localSheetId="8" hidden="1">'09'!#REF!,'09'!#REF!,'09'!#REF!,'09'!#REF!,'09'!$4:$21,'09'!$28:$52,'09'!$59:$75</definedName>
    <definedName name="Z_5C60C8F2_A96A_4286_AB69_6A192D48B52D_.wvu.Rows" localSheetId="8" hidden="1">'09'!#REF!,'09'!#REF!,'09'!#REF!,'09'!#REF!,'09'!$4:$21,'09'!$28:$52,'09'!$59:$75</definedName>
    <definedName name="Z_667B099C_8E79_4490_AC67_CFE2B9F8FC8D_.wvu.Rows" localSheetId="8" hidden="1">'09'!#REF!,'09'!#REF!,'09'!#REF!,'09'!#REF!,'09'!$4:$21,'09'!$28:$52,'09'!$59:$75</definedName>
    <definedName name="Z_696C5A08_6B5C_4B07_9B14_11E12159ACF3_.wvu.Rows" localSheetId="8" hidden="1">'09'!#REF!,'09'!#REF!,'09'!#REF!,'09'!#REF!,'09'!$28:$52,'09'!$59:$75</definedName>
    <definedName name="Z_743813BC_E137_480B_B63F_29E16C4A5D78_.wvu.Rows" localSheetId="8" hidden="1">'09'!#REF!,'09'!#REF!,'09'!#REF!,'09'!#REF!,'09'!$4:$21,'09'!$28:$52,'09'!$59:$75</definedName>
    <definedName name="Z_7CD6C56D_7191_499D_884D_23F062610490_.wvu.Rows" localSheetId="8" hidden="1">'09'!#REF!,'09'!#REF!,'09'!#REF!,'09'!#REF!,'09'!$4:$21,'09'!$28:$52,'09'!$59:$75</definedName>
    <definedName name="Z_8AB826A3_3F9F_46E8_8B3C_5D723650CD25_.wvu.Rows" localSheetId="8" hidden="1">'09'!#REF!,'09'!#REF!,'09'!#REF!,'09'!#REF!,'09'!$4:$21,'09'!$28:$52,'09'!$59:$75</definedName>
    <definedName name="Z_9231B71C_ABB0_4122_BB61_A0E14ED7FAC4_.wvu.Rows" localSheetId="8" hidden="1">'09'!#REF!,'09'!#REF!,'09'!#REF!,'09'!#REF!,'09'!$4:$21,'09'!$28:$52,'09'!$59:$75</definedName>
    <definedName name="Z_9CE42830_1BFE_4EEE_AD75_1C30A69A86B1_.wvu.Rows" localSheetId="8" hidden="1">'09'!#REF!,'09'!#REF!,'09'!#REF!,'09'!#REF!,'09'!$4:$21,'09'!$28:$52,'09'!$59:$75</definedName>
    <definedName name="Z_9EA36D12_6C5C_4BE0_9897_E6710354124D_.wvu.Rows" localSheetId="8" hidden="1">'09'!#REF!,'09'!#REF!,'09'!#REF!,'09'!#REF!,'09'!$4:$21,'09'!$28:$52,'09'!$59:$75</definedName>
    <definedName name="Z_A0F29F5B_FB6E_4C5E_B7A7_CDA651D38207_.wvu.Rows" localSheetId="8" hidden="1">'09'!#REF!,'09'!#REF!,'09'!#REF!,'09'!#REF!,'09'!$4:$21,'09'!$28:$52,'09'!$59:$75</definedName>
    <definedName name="Z_A567DF6A_4F50_45D4_A9C8_0879E17AFD34_.wvu.Rows" localSheetId="8" hidden="1">'09'!#REF!,'09'!#REF!,'09'!#REF!,'09'!#REF!,'09'!$4:$21,'09'!$28:$52,'09'!$59:$75</definedName>
    <definedName name="Z_B2CFD8C8_F8F8_47F1_9207_6BE81612C01C_.wvu.Rows" localSheetId="8" hidden="1">'09'!#REF!,'09'!#REF!,'09'!#REF!,'09'!#REF!,'09'!$4:$21,'09'!$28:$52,'09'!$59:$75</definedName>
    <definedName name="Z_BBF15C7D_3EAF_4D98_9096_5B67F6C46C47_.wvu.Rows" localSheetId="8" hidden="1">'09'!#REF!,'09'!#REF!,'09'!#REF!,'09'!#REF!,'09'!$28:$52,'09'!$59:$75</definedName>
    <definedName name="Z_C122BF8D_C115_42E1_B73A_F9B38D5EC060_.wvu.Rows" localSheetId="8" hidden="1">'09'!#REF!,'09'!#REF!,'09'!#REF!,'09'!#REF!,'09'!$4:$21,'09'!$28:$52,'09'!$59:$75</definedName>
    <definedName name="Z_C4D254D6_9D1C_4B3C_972D_15957FD05DD2_.wvu.Rows" localSheetId="8" hidden="1">'09'!#REF!,'09'!#REF!,'09'!#REF!,'09'!#REF!,'09'!$4:$21,'09'!$28:$52,'09'!$59:$75</definedName>
    <definedName name="Z_D4664C56_FB8A_499D_8E24_CCA12F97FAE9_.wvu.Rows" localSheetId="8" hidden="1">'09'!#REF!,'09'!#REF!,'09'!#REF!,'09'!#REF!,'09'!$4:$21,'09'!$28:$52,'09'!$59:$75</definedName>
    <definedName name="Z_DD995061_F552_4E13_8D40_A47EBB03245B_.wvu.Rows" localSheetId="8" hidden="1">'09'!#REF!,'09'!#REF!,'09'!#REF!,'09'!#REF!,'09'!$4:$21,'09'!$28:$52,'09'!$59:$75</definedName>
    <definedName name="Z_DE2F0B4F_79DE_40A0_A13B_9C7F63D3F970_.wvu.Rows" localSheetId="8" hidden="1">'09'!#REF!,'09'!#REF!,'09'!#REF!,'09'!#REF!,'09'!$4:$21,'09'!$28:$52,'09'!$59:$75</definedName>
    <definedName name="Z_E765F84B_EAF3_44AE_A058_C602C1E67401_.wvu.Rows" localSheetId="8" hidden="1">'09'!#REF!,'09'!#REF!,'09'!#REF!,'09'!#REF!,'09'!$4:$21,'09'!$28:$52,'09'!$59:$75</definedName>
    <definedName name="Z_F34DD4D3_7189_47AF_B853_F133E36CF124_.wvu.Rows" localSheetId="8" hidden="1">'09'!#REF!,'09'!#REF!,'09'!#REF!,'09'!#REF!,'09'!$4:$21,'09'!$28:$52,'09'!$59:$75</definedName>
    <definedName name="Z_F82F81AB_9C82_4E79_8CA3_CEB2B994FC06_.wvu.Rows" localSheetId="8" hidden="1">'09'!#REF!,'09'!#REF!,'09'!#REF!,'09'!#REF!,'09'!$4:$21,'09'!$28:$52,'09'!$59:$75</definedName>
    <definedName name="Z_F89CD5B0_594D_4248_B45D_59008422D599_.wvu.Rows" localSheetId="8" hidden="1">'09'!#REF!,'09'!#REF!,'09'!#REF!,'09'!#REF!,'09'!$4:$21,'09'!$28:$52,'09'!$59:$75</definedName>
    <definedName name="Z_03FBB0AD_5353_49C6_B595_178BC13C96AE_.wvu.Rows" localSheetId="9" hidden="1">'10'!#REF!,'10'!#REF!,'10'!#REF!,'10'!#REF!,'10'!$4:$21,'10'!$28:$52,'10'!$59:$75</definedName>
    <definedName name="Z_070961C3_1DC2_4518_83D7_B3F54BC58AE2_.wvu.Rows" localSheetId="9" hidden="1">'10'!#REF!,'10'!#REF!,'10'!#REF!,'10'!#REF!,'10'!$4:$21,'10'!$28:$52,'10'!$59:$75</definedName>
    <definedName name="Z_0B87D63B_15AD_4587_A73B_CA4B62BDFA01_.wvu.Rows" localSheetId="9" hidden="1">'10'!#REF!,'10'!#REF!,'10'!#REF!,'10'!#REF!,'10'!$4:$21,'10'!$28:$52,'10'!$59:$75</definedName>
    <definedName name="Z_1B9AB2B5_0A50_46C3_981D_8BE75BF62E46_.wvu.Rows" localSheetId="9" hidden="1">'10'!#REF!,'10'!#REF!,'10'!#REF!,'10'!#REF!,'10'!$4:$21,'10'!$28:$52,'10'!$59:$75</definedName>
    <definedName name="Z_20A0B2F7_9F51_4E3D_A024_0877F1F98F8D_.wvu.Rows" localSheetId="9" hidden="1">'10'!#REF!,'10'!#REF!,'10'!#REF!,'10'!#REF!,'10'!$4:$21,'10'!$28:$52,'10'!$59:$75</definedName>
    <definedName name="Z_2C3A3C66_1522_4337_93AC_DFC422DC8462_.wvu.Rows" localSheetId="9" hidden="1">'10'!#REF!,'10'!#REF!,'10'!#REF!,'10'!#REF!,'10'!$4:$21,'10'!$28:$52,'10'!$59:$75</definedName>
    <definedName name="Z_2E074C0E_3584_4321_A729_0961B34312BF_.wvu.Rows" localSheetId="9" hidden="1">'10'!#REF!,'10'!#REF!,'10'!#REF!,'10'!#REF!,'10'!$4:$21,'10'!$28:$52,'10'!$59:$75</definedName>
    <definedName name="Z_2FFCC83E_A488_4450_9F9E_FF506EAEF5FC_.wvu.Rows" localSheetId="9" hidden="1">'10'!#REF!,'10'!#REF!,'10'!#REF!,'10'!#REF!,'10'!$4:$21,'10'!$28:$52,'10'!$59:$75</definedName>
    <definedName name="Z_3351A924_D23D_45D7_8354_55677D787CA4_.wvu.Rows" localSheetId="9" hidden="1">'10'!#REF!,'10'!#REF!,'10'!#REF!,'10'!#REF!,'10'!$4:$21,'10'!$28:$52,'10'!$59:$75</definedName>
    <definedName name="Z_51E3BC0E_B24A_447A_BC0A_03881122E44E_.wvu.Rows" localSheetId="9" hidden="1">'10'!#REF!,'10'!#REF!,'10'!#REF!,'10'!#REF!,'10'!$4:$21,'10'!$28:$52,'10'!$59:$75</definedName>
    <definedName name="Z_5C60C8F2_A96A_4286_AB69_6A192D48B52D_.wvu.Rows" localSheetId="9" hidden="1">'10'!#REF!,'10'!#REF!,'10'!#REF!,'10'!#REF!,'10'!$4:$21,'10'!$28:$52,'10'!$59:$75</definedName>
    <definedName name="Z_667B099C_8E79_4490_AC67_CFE2B9F8FC8D_.wvu.Rows" localSheetId="9" hidden="1">'10'!#REF!,'10'!#REF!,'10'!#REF!,'10'!#REF!,'10'!$4:$21,'10'!$28:$52,'10'!$59:$75</definedName>
    <definedName name="Z_696C5A08_6B5C_4B07_9B14_11E12159ACF3_.wvu.Rows" localSheetId="9" hidden="1">'10'!#REF!,'10'!#REF!,'10'!#REF!,'10'!#REF!,'10'!$28:$52,'10'!$59:$75</definedName>
    <definedName name="Z_743813BC_E137_480B_B63F_29E16C4A5D78_.wvu.Rows" localSheetId="9" hidden="1">'10'!#REF!,'10'!#REF!,'10'!#REF!,'10'!#REF!,'10'!$4:$21,'10'!$28:$52,'10'!$59:$75</definedName>
    <definedName name="Z_7CD6C56D_7191_499D_884D_23F062610490_.wvu.Rows" localSheetId="9" hidden="1">'10'!#REF!,'10'!#REF!,'10'!#REF!,'10'!#REF!,'10'!$4:$21,'10'!$28:$52,'10'!$59:$75</definedName>
    <definedName name="Z_8AB826A3_3F9F_46E8_8B3C_5D723650CD25_.wvu.Rows" localSheetId="9" hidden="1">'10'!#REF!,'10'!#REF!,'10'!#REF!,'10'!#REF!,'10'!$4:$21,'10'!$28:$52,'10'!$59:$75</definedName>
    <definedName name="Z_9231B71C_ABB0_4122_BB61_A0E14ED7FAC4_.wvu.Rows" localSheetId="9" hidden="1">'10'!#REF!,'10'!#REF!,'10'!#REF!,'10'!#REF!,'10'!$4:$21,'10'!$28:$52,'10'!$59:$75</definedName>
    <definedName name="Z_9CE42830_1BFE_4EEE_AD75_1C30A69A86B1_.wvu.Rows" localSheetId="9" hidden="1">'10'!#REF!,'10'!#REF!,'10'!#REF!,'10'!#REF!,'10'!$4:$21,'10'!$28:$52,'10'!$59:$75</definedName>
    <definedName name="Z_9EA36D12_6C5C_4BE0_9897_E6710354124D_.wvu.Rows" localSheetId="9" hidden="1">'10'!#REF!,'10'!#REF!,'10'!#REF!,'10'!#REF!,'10'!$4:$21,'10'!$28:$52,'10'!$59:$75</definedName>
    <definedName name="Z_A0F29F5B_FB6E_4C5E_B7A7_CDA651D38207_.wvu.Rows" localSheetId="9" hidden="1">'10'!#REF!,'10'!#REF!,'10'!#REF!,'10'!#REF!,'10'!$4:$21,'10'!$28:$52,'10'!$59:$75</definedName>
    <definedName name="Z_A567DF6A_4F50_45D4_A9C8_0879E17AFD34_.wvu.Rows" localSheetId="9" hidden="1">'10'!#REF!,'10'!#REF!,'10'!#REF!,'10'!#REF!,'10'!$4:$21,'10'!$28:$52,'10'!$59:$75</definedName>
    <definedName name="Z_B2CFD8C8_F8F8_47F1_9207_6BE81612C01C_.wvu.Rows" localSheetId="9" hidden="1">'10'!#REF!,'10'!#REF!,'10'!#REF!,'10'!#REF!,'10'!$4:$21,'10'!$28:$52,'10'!$59:$75</definedName>
    <definedName name="Z_BBF15C7D_3EAF_4D98_9096_5B67F6C46C47_.wvu.Rows" localSheetId="9" hidden="1">'10'!#REF!,'10'!#REF!,'10'!#REF!,'10'!#REF!,'10'!$28:$52,'10'!$59:$75</definedName>
    <definedName name="Z_C122BF8D_C115_42E1_B73A_F9B38D5EC060_.wvu.Rows" localSheetId="9" hidden="1">'10'!#REF!,'10'!#REF!,'10'!#REF!,'10'!#REF!,'10'!$4:$21,'10'!$28:$52,'10'!$59:$75</definedName>
    <definedName name="Z_C4D254D6_9D1C_4B3C_972D_15957FD05DD2_.wvu.Rows" localSheetId="9" hidden="1">'10'!#REF!,'10'!#REF!,'10'!#REF!,'10'!#REF!,'10'!$4:$21,'10'!$28:$52,'10'!$59:$75</definedName>
    <definedName name="Z_D4664C56_FB8A_499D_8E24_CCA12F97FAE9_.wvu.Rows" localSheetId="9" hidden="1">'10'!#REF!,'10'!#REF!,'10'!#REF!,'10'!#REF!,'10'!$4:$21,'10'!$28:$52,'10'!$59:$75</definedName>
    <definedName name="Z_DD995061_F552_4E13_8D40_A47EBB03245B_.wvu.Rows" localSheetId="9" hidden="1">'10'!#REF!,'10'!#REF!,'10'!#REF!,'10'!#REF!,'10'!$4:$21,'10'!$28:$52,'10'!$59:$75</definedName>
    <definedName name="Z_DE2F0B4F_79DE_40A0_A13B_9C7F63D3F970_.wvu.Rows" localSheetId="9" hidden="1">'10'!#REF!,'10'!#REF!,'10'!#REF!,'10'!#REF!,'10'!$4:$21,'10'!$28:$52,'10'!$59:$75</definedName>
    <definedName name="Z_E765F84B_EAF3_44AE_A058_C602C1E67401_.wvu.Rows" localSheetId="9" hidden="1">'10'!#REF!,'10'!#REF!,'10'!#REF!,'10'!#REF!,'10'!$4:$21,'10'!$28:$52,'10'!$59:$75</definedName>
    <definedName name="Z_F34DD4D3_7189_47AF_B853_F133E36CF124_.wvu.Rows" localSheetId="9" hidden="1">'10'!#REF!,'10'!#REF!,'10'!#REF!,'10'!#REF!,'10'!$4:$21,'10'!$28:$52,'10'!$59:$75</definedName>
    <definedName name="Z_F82F81AB_9C82_4E79_8CA3_CEB2B994FC06_.wvu.Rows" localSheetId="9" hidden="1">'10'!#REF!,'10'!#REF!,'10'!#REF!,'10'!#REF!,'10'!$4:$21,'10'!$28:$52,'10'!$59:$75</definedName>
    <definedName name="Z_F89CD5B0_594D_4248_B45D_59008422D599_.wvu.Rows" localSheetId="9" hidden="1">'10'!#REF!,'10'!#REF!,'10'!#REF!,'10'!#REF!,'10'!$4:$21,'10'!$28:$52,'10'!$59:$75</definedName>
    <definedName name="Z_03FBB0AD_5353_49C6_B595_178BC13C96AE_.wvu.Rows" localSheetId="10" hidden="1">'11'!#REF!,'11'!#REF!,'11'!#REF!,'11'!#REF!,'11'!$4:$20,'11'!$27:$51,'11'!$58:$74</definedName>
    <definedName name="Z_070961C3_1DC2_4518_83D7_B3F54BC58AE2_.wvu.Rows" localSheetId="10" hidden="1">'11'!#REF!,'11'!#REF!,'11'!#REF!,'11'!#REF!,'11'!$4:$20,'11'!$27:$51,'11'!$58:$74</definedName>
    <definedName name="Z_0B87D63B_15AD_4587_A73B_CA4B62BDFA01_.wvu.Rows" localSheetId="10" hidden="1">'11'!#REF!,'11'!#REF!,'11'!#REF!,'11'!#REF!,'11'!$4:$20,'11'!$27:$51,'11'!$58:$74</definedName>
    <definedName name="Z_1B9AB2B5_0A50_46C3_981D_8BE75BF62E46_.wvu.Rows" localSheetId="10" hidden="1">'11'!#REF!,'11'!#REF!,'11'!#REF!,'11'!#REF!,'11'!$4:$20,'11'!$27:$51,'11'!$58:$74</definedName>
    <definedName name="Z_20A0B2F7_9F51_4E3D_A024_0877F1F98F8D_.wvu.Rows" localSheetId="10" hidden="1">'11'!#REF!,'11'!#REF!,'11'!#REF!,'11'!#REF!,'11'!$4:$20,'11'!$27:$51,'11'!$58:$74</definedName>
    <definedName name="Z_2C3A3C66_1522_4337_93AC_DFC422DC8462_.wvu.Rows" localSheetId="10" hidden="1">'11'!#REF!,'11'!#REF!,'11'!#REF!,'11'!#REF!,'11'!$4:$20,'11'!$27:$51,'11'!$58:$74</definedName>
    <definedName name="Z_2E074C0E_3584_4321_A729_0961B34312BF_.wvu.Rows" localSheetId="10" hidden="1">'11'!#REF!,'11'!#REF!,'11'!#REF!,'11'!#REF!,'11'!$4:$20,'11'!$27:$51,'11'!$58:$74</definedName>
    <definedName name="Z_2FFCC83E_A488_4450_9F9E_FF506EAEF5FC_.wvu.Rows" localSheetId="10" hidden="1">'11'!#REF!,'11'!#REF!,'11'!#REF!,'11'!#REF!,'11'!$4:$20,'11'!$27:$51,'11'!$58:$74</definedName>
    <definedName name="Z_3351A924_D23D_45D7_8354_55677D787CA4_.wvu.Rows" localSheetId="10" hidden="1">'11'!#REF!,'11'!#REF!,'11'!#REF!,'11'!#REF!,'11'!$4:$20,'11'!$27:$51,'11'!$58:$74</definedName>
    <definedName name="Z_51E3BC0E_B24A_447A_BC0A_03881122E44E_.wvu.Rows" localSheetId="10" hidden="1">'11'!#REF!,'11'!#REF!,'11'!#REF!,'11'!#REF!,'11'!$4:$20,'11'!$27:$51,'11'!$58:$74</definedName>
    <definedName name="Z_5C60C8F2_A96A_4286_AB69_6A192D48B52D_.wvu.Rows" localSheetId="10" hidden="1">'11'!#REF!,'11'!#REF!,'11'!#REF!,'11'!#REF!,'11'!$4:$20,'11'!$27:$51,'11'!$58:$74</definedName>
    <definedName name="Z_667B099C_8E79_4490_AC67_CFE2B9F8FC8D_.wvu.Rows" localSheetId="10" hidden="1">'11'!#REF!,'11'!#REF!,'11'!#REF!,'11'!#REF!,'11'!$4:$20,'11'!$27:$51,'11'!$58:$74</definedName>
    <definedName name="Z_696C5A08_6B5C_4B07_9B14_11E12159ACF3_.wvu.Rows" localSheetId="10" hidden="1">'11'!#REF!,'11'!#REF!,'11'!#REF!,'11'!#REF!,'11'!$27:$51,'11'!$58:$74</definedName>
    <definedName name="Z_743813BC_E137_480B_B63F_29E16C4A5D78_.wvu.Rows" localSheetId="10" hidden="1">'11'!#REF!,'11'!#REF!,'11'!#REF!,'11'!#REF!,'11'!$4:$20,'11'!$27:$51,'11'!$58:$74</definedName>
    <definedName name="Z_7CD6C56D_7191_499D_884D_23F062610490_.wvu.Rows" localSheetId="10" hidden="1">'11'!#REF!,'11'!#REF!,'11'!#REF!,'11'!#REF!,'11'!$4:$20,'11'!$27:$51,'11'!$58:$74</definedName>
    <definedName name="Z_8AB826A3_3F9F_46E8_8B3C_5D723650CD25_.wvu.Rows" localSheetId="10" hidden="1">'11'!#REF!,'11'!#REF!,'11'!#REF!,'11'!#REF!,'11'!$4:$20,'11'!$27:$51,'11'!$58:$74</definedName>
    <definedName name="Z_9231B71C_ABB0_4122_BB61_A0E14ED7FAC4_.wvu.Rows" localSheetId="10" hidden="1">'11'!#REF!,'11'!#REF!,'11'!#REF!,'11'!#REF!,'11'!$4:$20,'11'!$27:$51,'11'!$58:$74</definedName>
    <definedName name="Z_9CE42830_1BFE_4EEE_AD75_1C30A69A86B1_.wvu.Rows" localSheetId="10" hidden="1">'11'!#REF!,'11'!#REF!,'11'!#REF!,'11'!#REF!,'11'!$4:$20,'11'!$27:$51,'11'!$58:$74</definedName>
    <definedName name="Z_9EA36D12_6C5C_4BE0_9897_E6710354124D_.wvu.Rows" localSheetId="10" hidden="1">'11'!#REF!,'11'!#REF!,'11'!#REF!,'11'!#REF!,'11'!$4:$20,'11'!$27:$51,'11'!$58:$74</definedName>
    <definedName name="Z_A0F29F5B_FB6E_4C5E_B7A7_CDA651D38207_.wvu.Rows" localSheetId="10" hidden="1">'11'!#REF!,'11'!#REF!,'11'!#REF!,'11'!#REF!,'11'!$4:$20,'11'!$27:$51,'11'!$58:$74</definedName>
    <definedName name="Z_A567DF6A_4F50_45D4_A9C8_0879E17AFD34_.wvu.Rows" localSheetId="10" hidden="1">'11'!#REF!,'11'!#REF!,'11'!#REF!,'11'!#REF!,'11'!$4:$20,'11'!$27:$51,'11'!$58:$74</definedName>
    <definedName name="Z_B2CFD8C8_F8F8_47F1_9207_6BE81612C01C_.wvu.Rows" localSheetId="10" hidden="1">'11'!#REF!,'11'!#REF!,'11'!#REF!,'11'!#REF!,'11'!$4:$20,'11'!$27:$51,'11'!$58:$74</definedName>
    <definedName name="Z_BBF15C7D_3EAF_4D98_9096_5B67F6C46C47_.wvu.Rows" localSheetId="10" hidden="1">'11'!#REF!,'11'!#REF!,'11'!#REF!,'11'!#REF!,'11'!$27:$51,'11'!$58:$74</definedName>
    <definedName name="Z_C122BF8D_C115_42E1_B73A_F9B38D5EC060_.wvu.Rows" localSheetId="10" hidden="1">'11'!#REF!,'11'!#REF!,'11'!#REF!,'11'!#REF!,'11'!$4:$20,'11'!$27:$51,'11'!$58:$74</definedName>
    <definedName name="Z_C4D254D6_9D1C_4B3C_972D_15957FD05DD2_.wvu.Rows" localSheetId="10" hidden="1">'11'!#REF!,'11'!#REF!,'11'!#REF!,'11'!#REF!,'11'!$4:$20,'11'!$27:$51,'11'!$58:$74</definedName>
    <definedName name="Z_D4664C56_FB8A_499D_8E24_CCA12F97FAE9_.wvu.Rows" localSheetId="10" hidden="1">'11'!#REF!,'11'!#REF!,'11'!#REF!,'11'!#REF!,'11'!$4:$20,'11'!$27:$51,'11'!$58:$74</definedName>
    <definedName name="Z_DD995061_F552_4E13_8D40_A47EBB03245B_.wvu.Rows" localSheetId="10" hidden="1">'11'!#REF!,'11'!#REF!,'11'!#REF!,'11'!#REF!,'11'!$4:$20,'11'!$27:$51,'11'!$58:$74</definedName>
    <definedName name="Z_DE2F0B4F_79DE_40A0_A13B_9C7F63D3F970_.wvu.Rows" localSheetId="10" hidden="1">'11'!#REF!,'11'!#REF!,'11'!#REF!,'11'!#REF!,'11'!$4:$20,'11'!$27:$51,'11'!$58:$74</definedName>
    <definedName name="Z_E765F84B_EAF3_44AE_A058_C602C1E67401_.wvu.Rows" localSheetId="10" hidden="1">'11'!#REF!,'11'!#REF!,'11'!#REF!,'11'!#REF!,'11'!$4:$20,'11'!$27:$51,'11'!$58:$74</definedName>
    <definedName name="Z_F34DD4D3_7189_47AF_B853_F133E36CF124_.wvu.Rows" localSheetId="10" hidden="1">'11'!#REF!,'11'!#REF!,'11'!#REF!,'11'!#REF!,'11'!$4:$20,'11'!$27:$51,'11'!$58:$74</definedName>
    <definedName name="Z_F82F81AB_9C82_4E79_8CA3_CEB2B994FC06_.wvu.Rows" localSheetId="10" hidden="1">'11'!#REF!,'11'!#REF!,'11'!#REF!,'11'!#REF!,'11'!$4:$20,'11'!$27:$51,'11'!$58:$74</definedName>
    <definedName name="Z_F89CD5B0_594D_4248_B45D_59008422D599_.wvu.Rows" localSheetId="10" hidden="1">'11'!#REF!,'11'!#REF!,'11'!#REF!,'11'!#REF!,'11'!$4:$20,'11'!$27:$51,'11'!$58:$74</definedName>
    <definedName name="Z_03FBB0AD_5353_49C6_B595_178BC13C96AE_.wvu.Rows" localSheetId="11" hidden="1">'12'!#REF!,'12'!#REF!,'12'!#REF!,'12'!#REF!,'12'!$4:$13,'12'!$20:$47,'12'!$55:$75</definedName>
    <definedName name="Z_070961C3_1DC2_4518_83D7_B3F54BC58AE2_.wvu.Rows" localSheetId="11" hidden="1">'12'!#REF!,'12'!#REF!,'12'!#REF!,'12'!#REF!,'12'!$4:$13,'12'!$20:$47,'12'!$55:$75</definedName>
    <definedName name="Z_0B87D63B_15AD_4587_A73B_CA4B62BDFA01_.wvu.Rows" localSheetId="11" hidden="1">'12'!#REF!,'12'!#REF!,'12'!#REF!,'12'!#REF!,'12'!$4:$13,'12'!$20:$47,'12'!$55:$75</definedName>
    <definedName name="Z_1B9AB2B5_0A50_46C3_981D_8BE75BF62E46_.wvu.Rows" localSheetId="11" hidden="1">'12'!#REF!,'12'!#REF!,'12'!#REF!,'12'!#REF!,'12'!$4:$13,'12'!$20:$47,'12'!$55:$75</definedName>
    <definedName name="Z_20A0B2F7_9F51_4E3D_A024_0877F1F98F8D_.wvu.Rows" localSheetId="11" hidden="1">'12'!#REF!,'12'!#REF!,'12'!#REF!,'12'!#REF!,'12'!$4:$13,'12'!$20:$47,'12'!$55:$75</definedName>
    <definedName name="Z_2C3A3C66_1522_4337_93AC_DFC422DC8462_.wvu.Rows" localSheetId="11" hidden="1">'12'!#REF!,'12'!#REF!,'12'!#REF!,'12'!#REF!,'12'!$4:$13,'12'!$20:$47,'12'!$55:$75</definedName>
    <definedName name="Z_2E074C0E_3584_4321_A729_0961B34312BF_.wvu.Rows" localSheetId="11" hidden="1">'12'!#REF!,'12'!#REF!,'12'!#REF!,'12'!#REF!,'12'!$4:$13,'12'!$20:$47,'12'!$55:$75</definedName>
    <definedName name="Z_2FFCC83E_A488_4450_9F9E_FF506EAEF5FC_.wvu.Rows" localSheetId="11" hidden="1">'12'!#REF!,'12'!#REF!,'12'!#REF!,'12'!#REF!,'12'!$4:$13,'12'!$20:$47,'12'!$55:$75</definedName>
    <definedName name="Z_3351A924_D23D_45D7_8354_55677D787CA4_.wvu.Rows" localSheetId="11" hidden="1">'12'!#REF!,'12'!#REF!,'12'!#REF!,'12'!#REF!,'12'!$4:$13,'12'!$20:$47,'12'!$55:$75</definedName>
    <definedName name="Z_51E3BC0E_B24A_447A_BC0A_03881122E44E_.wvu.Rows" localSheetId="11" hidden="1">'12'!#REF!,'12'!#REF!,'12'!#REF!,'12'!#REF!,'12'!$4:$13,'12'!$20:$47,'12'!$55:$75</definedName>
    <definedName name="Z_5C60C8F2_A96A_4286_AB69_6A192D48B52D_.wvu.Rows" localSheetId="11" hidden="1">'12'!#REF!,'12'!#REF!,'12'!#REF!,'12'!#REF!,'12'!$4:$13,'12'!$20:$47,'12'!$55:$75</definedName>
    <definedName name="Z_667B099C_8E79_4490_AC67_CFE2B9F8FC8D_.wvu.Rows" localSheetId="11" hidden="1">'12'!#REF!,'12'!#REF!,'12'!#REF!,'12'!#REF!,'12'!$4:$13,'12'!$20:$47,'12'!$55:$75</definedName>
    <definedName name="Z_696C5A08_6B5C_4B07_9B14_11E12159ACF3_.wvu.Rows" localSheetId="11" hidden="1">'12'!#REF!,'12'!#REF!,'12'!#REF!,'12'!#REF!,'12'!$20:$47,'12'!$55:$75</definedName>
    <definedName name="Z_743813BC_E137_480B_B63F_29E16C4A5D78_.wvu.Rows" localSheetId="11" hidden="1">'12'!#REF!,'12'!#REF!,'12'!#REF!,'12'!#REF!,'12'!$4:$13,'12'!$20:$47,'12'!$55:$75</definedName>
    <definedName name="Z_7CD6C56D_7191_499D_884D_23F062610490_.wvu.Rows" localSheetId="11" hidden="1">'12'!#REF!,'12'!#REF!,'12'!#REF!,'12'!#REF!,'12'!$4:$13,'12'!$20:$47,'12'!$55:$75</definedName>
    <definedName name="Z_8AB826A3_3F9F_46E8_8B3C_5D723650CD25_.wvu.Rows" localSheetId="11" hidden="1">'12'!#REF!,'12'!#REF!,'12'!#REF!,'12'!#REF!,'12'!$4:$13,'12'!$20:$47,'12'!$55:$75</definedName>
    <definedName name="Z_9231B71C_ABB0_4122_BB61_A0E14ED7FAC4_.wvu.Rows" localSheetId="11" hidden="1">'12'!#REF!,'12'!#REF!,'12'!#REF!,'12'!#REF!,'12'!$4:$13,'12'!$20:$47,'12'!$55:$75</definedName>
    <definedName name="Z_9CE42830_1BFE_4EEE_AD75_1C30A69A86B1_.wvu.Rows" localSheetId="11" hidden="1">'12'!#REF!,'12'!#REF!,'12'!#REF!,'12'!#REF!,'12'!$4:$13,'12'!$20:$47,'12'!$55:$75</definedName>
    <definedName name="Z_9EA36D12_6C5C_4BE0_9897_E6710354124D_.wvu.Rows" localSheetId="11" hidden="1">'12'!#REF!,'12'!#REF!,'12'!#REF!,'12'!#REF!,'12'!$4:$13,'12'!$20:$47,'12'!$55:$75</definedName>
    <definedName name="Z_A0F29F5B_FB6E_4C5E_B7A7_CDA651D38207_.wvu.Rows" localSheetId="11" hidden="1">'12'!#REF!,'12'!#REF!,'12'!#REF!,'12'!#REF!,'12'!$4:$13,'12'!$20:$47,'12'!$55:$75</definedName>
    <definedName name="Z_A567DF6A_4F50_45D4_A9C8_0879E17AFD34_.wvu.Rows" localSheetId="11" hidden="1">'12'!#REF!,'12'!#REF!,'12'!#REF!,'12'!#REF!,'12'!$4:$13,'12'!$20:$47,'12'!$55:$75</definedName>
    <definedName name="Z_B2CFD8C8_F8F8_47F1_9207_6BE81612C01C_.wvu.Rows" localSheetId="11" hidden="1">'12'!#REF!,'12'!#REF!,'12'!#REF!,'12'!#REF!,'12'!$4:$13,'12'!$20:$47,'12'!$55:$75</definedName>
    <definedName name="Z_BBF15C7D_3EAF_4D98_9096_5B67F6C46C47_.wvu.Rows" localSheetId="11" hidden="1">'12'!#REF!,'12'!#REF!,'12'!#REF!,'12'!#REF!,'12'!$20:$47,'12'!$55:$75</definedName>
    <definedName name="Z_C122BF8D_C115_42E1_B73A_F9B38D5EC060_.wvu.Rows" localSheetId="11" hidden="1">'12'!#REF!,'12'!#REF!,'12'!#REF!,'12'!#REF!,'12'!$4:$13,'12'!$20:$47,'12'!$55:$75</definedName>
    <definedName name="Z_C4D254D6_9D1C_4B3C_972D_15957FD05DD2_.wvu.Rows" localSheetId="11" hidden="1">'12'!#REF!,'12'!#REF!,'12'!#REF!,'12'!#REF!,'12'!$4:$13,'12'!$20:$47,'12'!$55:$75</definedName>
    <definedName name="Z_D4664C56_FB8A_499D_8E24_CCA12F97FAE9_.wvu.Rows" localSheetId="11" hidden="1">'12'!#REF!,'12'!#REF!,'12'!#REF!,'12'!#REF!,'12'!$4:$13,'12'!$20:$47,'12'!$55:$75</definedName>
    <definedName name="Z_DD995061_F552_4E13_8D40_A47EBB03245B_.wvu.Rows" localSheetId="11" hidden="1">'12'!#REF!,'12'!#REF!,'12'!#REF!,'12'!#REF!,'12'!$4:$13,'12'!$20:$47,'12'!$55:$75</definedName>
    <definedName name="Z_DE2F0B4F_79DE_40A0_A13B_9C7F63D3F970_.wvu.Rows" localSheetId="11" hidden="1">'12'!#REF!,'12'!#REF!,'12'!#REF!,'12'!#REF!,'12'!$4:$13,'12'!$20:$47,'12'!$55:$75</definedName>
    <definedName name="Z_E765F84B_EAF3_44AE_A058_C602C1E67401_.wvu.Rows" localSheetId="11" hidden="1">'12'!#REF!,'12'!#REF!,'12'!#REF!,'12'!#REF!,'12'!$4:$13,'12'!$20:$47,'12'!$55:$75</definedName>
    <definedName name="Z_F34DD4D3_7189_47AF_B853_F133E36CF124_.wvu.Rows" localSheetId="11" hidden="1">'12'!#REF!,'12'!#REF!,'12'!#REF!,'12'!#REF!,'12'!$4:$13,'12'!$20:$47,'12'!$55:$75</definedName>
    <definedName name="Z_F82F81AB_9C82_4E79_8CA3_CEB2B994FC06_.wvu.Rows" localSheetId="11" hidden="1">'12'!#REF!,'12'!#REF!,'12'!#REF!,'12'!#REF!,'12'!$4:$13,'12'!$20:$47,'12'!$55:$75</definedName>
    <definedName name="Z_F89CD5B0_594D_4248_B45D_59008422D599_.wvu.Rows" localSheetId="11" hidden="1">'12'!#REF!,'12'!#REF!,'12'!#REF!,'12'!#REF!,'12'!$4:$13,'12'!$20:$47,'12'!$55:$75</definedName>
    <definedName name="Z_03FBB0AD_5353_49C6_B595_178BC13C96AE_.wvu.Rows" localSheetId="12" hidden="1">'13'!#REF!,'13'!#REF!,'13'!#REF!,'13'!#REF!,'13'!$4:$20,'13'!$28:$52,'13'!$57:$74</definedName>
    <definedName name="Z_070961C3_1DC2_4518_83D7_B3F54BC58AE2_.wvu.Rows" localSheetId="12" hidden="1">'13'!#REF!,'13'!#REF!,'13'!#REF!,'13'!#REF!,'13'!$4:$20,'13'!$28:$52,'13'!$57:$74</definedName>
    <definedName name="Z_0B87D63B_15AD_4587_A73B_CA4B62BDFA01_.wvu.Rows" localSheetId="12" hidden="1">'13'!#REF!,'13'!#REF!,'13'!#REF!,'13'!#REF!,'13'!$4:$20,'13'!$28:$52,'13'!$57:$74</definedName>
    <definedName name="Z_1B9AB2B5_0A50_46C3_981D_8BE75BF62E46_.wvu.Rows" localSheetId="12" hidden="1">'13'!#REF!,'13'!#REF!,'13'!#REF!,'13'!#REF!,'13'!$4:$20,'13'!$28:$52,'13'!$57:$74</definedName>
    <definedName name="Z_20A0B2F7_9F51_4E3D_A024_0877F1F98F8D_.wvu.Rows" localSheetId="12" hidden="1">'13'!#REF!,'13'!#REF!,'13'!#REF!,'13'!#REF!,'13'!$4:$20,'13'!$28:$52,'13'!$57:$74</definedName>
    <definedName name="Z_2C3A3C66_1522_4337_93AC_DFC422DC8462_.wvu.Rows" localSheetId="12" hidden="1">'13'!#REF!,'13'!#REF!,'13'!#REF!,'13'!#REF!,'13'!$4:$20,'13'!$28:$52,'13'!$57:$74</definedName>
    <definedName name="Z_2E074C0E_3584_4321_A729_0961B34312BF_.wvu.Rows" localSheetId="12" hidden="1">'13'!#REF!,'13'!#REF!,'13'!#REF!,'13'!#REF!,'13'!$4:$20,'13'!$28:$52,'13'!$57:$74</definedName>
    <definedName name="Z_2FFCC83E_A488_4450_9F9E_FF506EAEF5FC_.wvu.Rows" localSheetId="12" hidden="1">'13'!#REF!,'13'!#REF!,'13'!#REF!,'13'!#REF!,'13'!$4:$20,'13'!$28:$52,'13'!$57:$74</definedName>
    <definedName name="Z_3351A924_D23D_45D7_8354_55677D787CA4_.wvu.Rows" localSheetId="12" hidden="1">'13'!#REF!,'13'!#REF!,'13'!#REF!,'13'!#REF!,'13'!$4:$20,'13'!$28:$52,'13'!$57:$74</definedName>
    <definedName name="Z_51E3BC0E_B24A_447A_BC0A_03881122E44E_.wvu.Rows" localSheetId="12" hidden="1">'13'!#REF!,'13'!#REF!,'13'!#REF!,'13'!#REF!,'13'!$4:$20,'13'!$28:$52,'13'!$57:$74</definedName>
    <definedName name="Z_5C60C8F2_A96A_4286_AB69_6A192D48B52D_.wvu.Rows" localSheetId="12" hidden="1">'13'!#REF!,'13'!#REF!,'13'!#REF!,'13'!#REF!,'13'!$4:$20,'13'!$28:$52,'13'!$57:$74</definedName>
    <definedName name="Z_667B099C_8E79_4490_AC67_CFE2B9F8FC8D_.wvu.Rows" localSheetId="12" hidden="1">'13'!#REF!,'13'!#REF!,'13'!#REF!,'13'!#REF!,'13'!$4:$20,'13'!$28:$52,'13'!$57:$74</definedName>
    <definedName name="Z_696C5A08_6B5C_4B07_9B14_11E12159ACF3_.wvu.Rows" localSheetId="12" hidden="1">'13'!#REF!,'13'!#REF!,'13'!#REF!,'13'!#REF!,'13'!$28:$52,'13'!$57:$74</definedName>
    <definedName name="Z_743813BC_E137_480B_B63F_29E16C4A5D78_.wvu.Rows" localSheetId="12" hidden="1">'13'!#REF!,'13'!#REF!,'13'!#REF!,'13'!#REF!,'13'!$4:$20,'13'!$28:$52,'13'!$57:$74</definedName>
    <definedName name="Z_7CD6C56D_7191_499D_884D_23F062610490_.wvu.Rows" localSheetId="12" hidden="1">'13'!#REF!,'13'!#REF!,'13'!#REF!,'13'!#REF!,'13'!$4:$20,'13'!$28:$52,'13'!$57:$74</definedName>
    <definedName name="Z_8AB826A3_3F9F_46E8_8B3C_5D723650CD25_.wvu.Rows" localSheetId="12" hidden="1">'13'!#REF!,'13'!#REF!,'13'!#REF!,'13'!#REF!,'13'!$4:$20,'13'!$28:$52,'13'!$57:$74</definedName>
    <definedName name="Z_9231B71C_ABB0_4122_BB61_A0E14ED7FAC4_.wvu.Rows" localSheetId="12" hidden="1">'13'!#REF!,'13'!#REF!,'13'!#REF!,'13'!#REF!,'13'!$4:$20,'13'!$28:$52,'13'!$57:$74</definedName>
    <definedName name="Z_9CE42830_1BFE_4EEE_AD75_1C30A69A86B1_.wvu.Rows" localSheetId="12" hidden="1">'13'!#REF!,'13'!#REF!,'13'!#REF!,'13'!#REF!,'13'!$4:$20,'13'!$28:$52,'13'!$57:$74</definedName>
    <definedName name="Z_9EA36D12_6C5C_4BE0_9897_E6710354124D_.wvu.Rows" localSheetId="12" hidden="1">'13'!#REF!,'13'!#REF!,'13'!#REF!,'13'!#REF!,'13'!$4:$20,'13'!$28:$52,'13'!$57:$74</definedName>
    <definedName name="Z_A0F29F5B_FB6E_4C5E_B7A7_CDA651D38207_.wvu.Rows" localSheetId="12" hidden="1">'13'!#REF!,'13'!#REF!,'13'!#REF!,'13'!#REF!,'13'!$4:$20,'13'!$28:$52,'13'!$57:$74</definedName>
    <definedName name="Z_A567DF6A_4F50_45D4_A9C8_0879E17AFD34_.wvu.Rows" localSheetId="12" hidden="1">'13'!#REF!,'13'!#REF!,'13'!#REF!,'13'!#REF!,'13'!$4:$20,'13'!$28:$52,'13'!$57:$74</definedName>
    <definedName name="Z_B2CFD8C8_F8F8_47F1_9207_6BE81612C01C_.wvu.Rows" localSheetId="12" hidden="1">'13'!#REF!,'13'!#REF!,'13'!#REF!,'13'!#REF!,'13'!$4:$20,'13'!$28:$52,'13'!$57:$74</definedName>
    <definedName name="Z_BBF15C7D_3EAF_4D98_9096_5B67F6C46C47_.wvu.Rows" localSheetId="12" hidden="1">'13'!#REF!,'13'!#REF!,'13'!#REF!,'13'!#REF!,'13'!$28:$52,'13'!$57:$74</definedName>
    <definedName name="Z_C122BF8D_C115_42E1_B73A_F9B38D5EC060_.wvu.Rows" localSheetId="12" hidden="1">'13'!#REF!,'13'!#REF!,'13'!#REF!,'13'!#REF!,'13'!$4:$20,'13'!$28:$52,'13'!$57:$74</definedName>
    <definedName name="Z_C4D254D6_9D1C_4B3C_972D_15957FD05DD2_.wvu.Rows" localSheetId="12" hidden="1">'13'!#REF!,'13'!#REF!,'13'!#REF!,'13'!#REF!,'13'!$4:$20,'13'!$28:$52,'13'!$57:$74</definedName>
    <definedName name="Z_D4664C56_FB8A_499D_8E24_CCA12F97FAE9_.wvu.Rows" localSheetId="12" hidden="1">'13'!#REF!,'13'!#REF!,'13'!#REF!,'13'!#REF!,'13'!$4:$20,'13'!$28:$52,'13'!$57:$74</definedName>
    <definedName name="Z_DD995061_F552_4E13_8D40_A47EBB03245B_.wvu.Rows" localSheetId="12" hidden="1">'13'!#REF!,'13'!#REF!,'13'!#REF!,'13'!#REF!,'13'!$4:$20,'13'!$28:$52,'13'!$57:$74</definedName>
    <definedName name="Z_DE2F0B4F_79DE_40A0_A13B_9C7F63D3F970_.wvu.Rows" localSheetId="12" hidden="1">'13'!#REF!,'13'!#REF!,'13'!#REF!,'13'!#REF!,'13'!$4:$20,'13'!$28:$52,'13'!$57:$74</definedName>
    <definedName name="Z_E765F84B_EAF3_44AE_A058_C602C1E67401_.wvu.Rows" localSheetId="12" hidden="1">'13'!#REF!,'13'!#REF!,'13'!#REF!,'13'!#REF!,'13'!$4:$20,'13'!$28:$52,'13'!$57:$74</definedName>
    <definedName name="Z_F34DD4D3_7189_47AF_B853_F133E36CF124_.wvu.Rows" localSheetId="12" hidden="1">'13'!#REF!,'13'!#REF!,'13'!#REF!,'13'!#REF!,'13'!$4:$20,'13'!$28:$52,'13'!$57:$74</definedName>
    <definedName name="Z_F82F81AB_9C82_4E79_8CA3_CEB2B994FC06_.wvu.Rows" localSheetId="12" hidden="1">'13'!#REF!,'13'!#REF!,'13'!#REF!,'13'!#REF!,'13'!$4:$20,'13'!$28:$52,'13'!$57:$74</definedName>
    <definedName name="Z_F89CD5B0_594D_4248_B45D_59008422D599_.wvu.Rows" localSheetId="12" hidden="1">'13'!#REF!,'13'!#REF!,'13'!#REF!,'13'!#REF!,'13'!$4:$20,'13'!$28:$52,'13'!$57:$74</definedName>
    <definedName name="Z_03FBB0AD_5353_49C6_B595_178BC13C96AE_.wvu.Rows" localSheetId="13" hidden="1">'14'!#REF!,'14'!#REF!,'14'!#REF!,'14'!#REF!,'14'!$4:$21,'14'!$31:$55,'14'!$62:$77</definedName>
    <definedName name="Z_070961C3_1DC2_4518_83D7_B3F54BC58AE2_.wvu.Rows" localSheetId="13" hidden="1">'14'!#REF!,'14'!#REF!,'14'!#REF!,'14'!#REF!,'14'!$4:$21,'14'!$31:$55,'14'!$62:$77</definedName>
    <definedName name="Z_0B87D63B_15AD_4587_A73B_CA4B62BDFA01_.wvu.Rows" localSheetId="13" hidden="1">'14'!#REF!,'14'!#REF!,'14'!#REF!,'14'!#REF!,'14'!$4:$21,'14'!$31:$55,'14'!$62:$77</definedName>
    <definedName name="Z_1B9AB2B5_0A50_46C3_981D_8BE75BF62E46_.wvu.Rows" localSheetId="13" hidden="1">'14'!#REF!,'14'!#REF!,'14'!#REF!,'14'!#REF!,'14'!$4:$21,'14'!$31:$55,'14'!$62:$77</definedName>
    <definedName name="Z_20A0B2F7_9F51_4E3D_A024_0877F1F98F8D_.wvu.Rows" localSheetId="13" hidden="1">'14'!#REF!,'14'!#REF!,'14'!#REF!,'14'!#REF!,'14'!$4:$21,'14'!$31:$55,'14'!$62:$77</definedName>
    <definedName name="Z_2C3A3C66_1522_4337_93AC_DFC422DC8462_.wvu.Rows" localSheetId="13" hidden="1">'14'!#REF!,'14'!#REF!,'14'!#REF!,'14'!#REF!,'14'!$4:$21,'14'!$31:$55,'14'!$62:$77</definedName>
    <definedName name="Z_2E074C0E_3584_4321_A729_0961B34312BF_.wvu.Rows" localSheetId="13" hidden="1">'14'!#REF!,'14'!#REF!,'14'!#REF!,'14'!#REF!,'14'!$4:$21,'14'!$31:$55,'14'!$62:$77</definedName>
    <definedName name="Z_2FFCC83E_A488_4450_9F9E_FF506EAEF5FC_.wvu.Rows" localSheetId="13" hidden="1">'14'!#REF!,'14'!#REF!,'14'!#REF!,'14'!#REF!,'14'!$4:$21,'14'!$31:$55,'14'!$62:$77</definedName>
    <definedName name="Z_3351A924_D23D_45D7_8354_55677D787CA4_.wvu.Rows" localSheetId="13" hidden="1">'14'!#REF!,'14'!#REF!,'14'!#REF!,'14'!#REF!,'14'!$4:$21,'14'!$31:$55,'14'!$62:$77</definedName>
    <definedName name="Z_51E3BC0E_B24A_447A_BC0A_03881122E44E_.wvu.Rows" localSheetId="13" hidden="1">'14'!#REF!,'14'!#REF!,'14'!#REF!,'14'!#REF!,'14'!$4:$21,'14'!$31:$55,'14'!$62:$77</definedName>
    <definedName name="Z_5C60C8F2_A96A_4286_AB69_6A192D48B52D_.wvu.Rows" localSheetId="13" hidden="1">'14'!#REF!,'14'!#REF!,'14'!#REF!,'14'!#REF!,'14'!$4:$21,'14'!$31:$55,'14'!$62:$77</definedName>
    <definedName name="Z_667B099C_8E79_4490_AC67_CFE2B9F8FC8D_.wvu.Rows" localSheetId="13" hidden="1">'14'!#REF!,'14'!#REF!,'14'!#REF!,'14'!#REF!,'14'!$4:$21,'14'!$31:$55,'14'!$62:$77</definedName>
    <definedName name="Z_696C5A08_6B5C_4B07_9B14_11E12159ACF3_.wvu.Rows" localSheetId="13" hidden="1">'14'!#REF!,'14'!#REF!,'14'!#REF!,'14'!#REF!,'14'!$31:$55,'14'!$62:$77</definedName>
    <definedName name="Z_743813BC_E137_480B_B63F_29E16C4A5D78_.wvu.Rows" localSheetId="13" hidden="1">'14'!#REF!,'14'!#REF!,'14'!#REF!,'14'!#REF!,'14'!$4:$21,'14'!$31:$55,'14'!$62:$77</definedName>
    <definedName name="Z_7CD6C56D_7191_499D_884D_23F062610490_.wvu.Rows" localSheetId="13" hidden="1">'14'!#REF!,'14'!#REF!,'14'!#REF!,'14'!#REF!,'14'!$4:$21,'14'!$31:$55,'14'!$62:$77</definedName>
    <definedName name="Z_8AB826A3_3F9F_46E8_8B3C_5D723650CD25_.wvu.Rows" localSheetId="13" hidden="1">'14'!#REF!,'14'!#REF!,'14'!#REF!,'14'!#REF!,'14'!$4:$21,'14'!$31:$55,'14'!$62:$77</definedName>
    <definedName name="Z_9231B71C_ABB0_4122_BB61_A0E14ED7FAC4_.wvu.Rows" localSheetId="13" hidden="1">'14'!#REF!,'14'!#REF!,'14'!#REF!,'14'!#REF!,'14'!$4:$21,'14'!$31:$55,'14'!$62:$77</definedName>
    <definedName name="Z_9CE42830_1BFE_4EEE_AD75_1C30A69A86B1_.wvu.Rows" localSheetId="13" hidden="1">'14'!#REF!,'14'!#REF!,'14'!#REF!,'14'!#REF!,'14'!$4:$21,'14'!$31:$55,'14'!$62:$77</definedName>
    <definedName name="Z_9EA36D12_6C5C_4BE0_9897_E6710354124D_.wvu.Rows" localSheetId="13" hidden="1">'14'!#REF!,'14'!#REF!,'14'!#REF!,'14'!#REF!,'14'!$4:$21,'14'!$31:$55,'14'!$62:$77</definedName>
    <definedName name="Z_A0F29F5B_FB6E_4C5E_B7A7_CDA651D38207_.wvu.Rows" localSheetId="13" hidden="1">'14'!#REF!,'14'!#REF!,'14'!#REF!,'14'!#REF!,'14'!$4:$21,'14'!$31:$55,'14'!$62:$77</definedName>
    <definedName name="Z_A567DF6A_4F50_45D4_A9C8_0879E17AFD34_.wvu.Rows" localSheetId="13" hidden="1">'14'!#REF!,'14'!#REF!,'14'!#REF!,'14'!#REF!,'14'!$4:$21,'14'!$31:$55,'14'!$62:$77</definedName>
    <definedName name="Z_B2CFD8C8_F8F8_47F1_9207_6BE81612C01C_.wvu.Rows" localSheetId="13" hidden="1">'14'!#REF!,'14'!#REF!,'14'!#REF!,'14'!#REF!,'14'!$4:$21,'14'!$31:$55,'14'!$62:$77</definedName>
    <definedName name="Z_BBF15C7D_3EAF_4D98_9096_5B67F6C46C47_.wvu.Rows" localSheetId="13" hidden="1">'14'!#REF!,'14'!#REF!,'14'!#REF!,'14'!#REF!,'14'!$31:$55,'14'!$62:$77</definedName>
    <definedName name="Z_C122BF8D_C115_42E1_B73A_F9B38D5EC060_.wvu.Rows" localSheetId="13" hidden="1">'14'!#REF!,'14'!#REF!,'14'!#REF!,'14'!#REF!,'14'!$4:$21,'14'!$31:$55,'14'!$62:$77</definedName>
    <definedName name="Z_C4D254D6_9D1C_4B3C_972D_15957FD05DD2_.wvu.Rows" localSheetId="13" hidden="1">'14'!#REF!,'14'!#REF!,'14'!#REF!,'14'!#REF!,'14'!$4:$21,'14'!$31:$55,'14'!$62:$77</definedName>
    <definedName name="Z_D4664C56_FB8A_499D_8E24_CCA12F97FAE9_.wvu.Rows" localSheetId="13" hidden="1">'14'!#REF!,'14'!#REF!,'14'!#REF!,'14'!#REF!,'14'!$4:$21,'14'!$31:$55,'14'!$62:$77</definedName>
    <definedName name="Z_DD995061_F552_4E13_8D40_A47EBB03245B_.wvu.Rows" localSheetId="13" hidden="1">'14'!#REF!,'14'!#REF!,'14'!#REF!,'14'!#REF!,'14'!$4:$21,'14'!$31:$55,'14'!$62:$77</definedName>
    <definedName name="Z_DE2F0B4F_79DE_40A0_A13B_9C7F63D3F970_.wvu.Rows" localSheetId="13" hidden="1">'14'!#REF!,'14'!#REF!,'14'!#REF!,'14'!#REF!,'14'!$4:$21,'14'!$31:$55,'14'!$62:$77</definedName>
    <definedName name="Z_E765F84B_EAF3_44AE_A058_C602C1E67401_.wvu.Rows" localSheetId="13" hidden="1">'14'!#REF!,'14'!#REF!,'14'!#REF!,'14'!#REF!,'14'!$4:$21,'14'!$31:$55,'14'!$62:$77</definedName>
    <definedName name="Z_F34DD4D3_7189_47AF_B853_F133E36CF124_.wvu.Rows" localSheetId="13" hidden="1">'14'!#REF!,'14'!#REF!,'14'!#REF!,'14'!#REF!,'14'!$4:$21,'14'!$31:$55,'14'!$62:$77</definedName>
    <definedName name="Z_F82F81AB_9C82_4E79_8CA3_CEB2B994FC06_.wvu.Rows" localSheetId="13" hidden="1">'14'!#REF!,'14'!#REF!,'14'!#REF!,'14'!#REF!,'14'!$4:$21,'14'!$31:$55,'14'!$62:$77</definedName>
    <definedName name="Z_F89CD5B0_594D_4248_B45D_59008422D599_.wvu.Rows" localSheetId="13" hidden="1">'14'!#REF!,'14'!#REF!,'14'!#REF!,'14'!#REF!,'14'!$4:$21,'14'!$31:$55,'14'!$62:$77</definedName>
    <definedName name="Z_03FBB0AD_5353_49C6_B595_178BC13C96AE_.wvu.Rows" localSheetId="14" hidden="1">'15'!#REF!,'15'!#REF!,'15'!#REF!,'15'!#REF!,'15'!$4:$21,'15'!$28:$52,'15'!$59:$75</definedName>
    <definedName name="Z_070961C3_1DC2_4518_83D7_B3F54BC58AE2_.wvu.Rows" localSheetId="14" hidden="1">'15'!#REF!,'15'!#REF!,'15'!#REF!,'15'!#REF!,'15'!$4:$21,'15'!$28:$52,'15'!$59:$75</definedName>
    <definedName name="Z_0B87D63B_15AD_4587_A73B_CA4B62BDFA01_.wvu.Rows" localSheetId="14" hidden="1">'15'!#REF!,'15'!#REF!,'15'!#REF!,'15'!#REF!,'15'!$4:$21,'15'!$28:$52,'15'!$59:$75</definedName>
    <definedName name="Z_1B9AB2B5_0A50_46C3_981D_8BE75BF62E46_.wvu.Rows" localSheetId="14" hidden="1">'15'!#REF!,'15'!#REF!,'15'!#REF!,'15'!#REF!,'15'!$4:$21,'15'!$28:$52,'15'!$59:$75</definedName>
    <definedName name="Z_20A0B2F7_9F51_4E3D_A024_0877F1F98F8D_.wvu.Rows" localSheetId="14" hidden="1">'15'!#REF!,'15'!#REF!,'15'!#REF!,'15'!#REF!,'15'!$4:$21,'15'!$28:$52,'15'!$59:$75</definedName>
    <definedName name="Z_2C3A3C66_1522_4337_93AC_DFC422DC8462_.wvu.Rows" localSheetId="14" hidden="1">'15'!#REF!,'15'!#REF!,'15'!#REF!,'15'!#REF!,'15'!$4:$21,'15'!$28:$52,'15'!$59:$75</definedName>
    <definedName name="Z_2E074C0E_3584_4321_A729_0961B34312BF_.wvu.Rows" localSheetId="14" hidden="1">'15'!#REF!,'15'!#REF!,'15'!#REF!,'15'!#REF!,'15'!$4:$21,'15'!$28:$52,'15'!$59:$75</definedName>
    <definedName name="Z_2FFCC83E_A488_4450_9F9E_FF506EAEF5FC_.wvu.Rows" localSheetId="14" hidden="1">'15'!#REF!,'15'!#REF!,'15'!#REF!,'15'!#REF!,'15'!$4:$21,'15'!$28:$52,'15'!$59:$75</definedName>
    <definedName name="Z_3351A924_D23D_45D7_8354_55677D787CA4_.wvu.Rows" localSheetId="14" hidden="1">'15'!#REF!,'15'!#REF!,'15'!#REF!,'15'!#REF!,'15'!$4:$21,'15'!$28:$52,'15'!$59:$75</definedName>
    <definedName name="Z_51E3BC0E_B24A_447A_BC0A_03881122E44E_.wvu.Rows" localSheetId="14" hidden="1">'15'!#REF!,'15'!#REF!,'15'!#REF!,'15'!#REF!,'15'!$4:$21,'15'!$28:$52,'15'!$59:$75</definedName>
    <definedName name="Z_5C60C8F2_A96A_4286_AB69_6A192D48B52D_.wvu.Rows" localSheetId="14" hidden="1">'15'!#REF!,'15'!#REF!,'15'!#REF!,'15'!#REF!,'15'!$4:$21,'15'!$28:$52,'15'!$59:$75</definedName>
    <definedName name="Z_667B099C_8E79_4490_AC67_CFE2B9F8FC8D_.wvu.Rows" localSheetId="14" hidden="1">'15'!#REF!,'15'!#REF!,'15'!#REF!,'15'!#REF!,'15'!$4:$21,'15'!$28:$52,'15'!$59:$75</definedName>
    <definedName name="Z_696C5A08_6B5C_4B07_9B14_11E12159ACF3_.wvu.Rows" localSheetId="14" hidden="1">'15'!#REF!,'15'!#REF!,'15'!#REF!,'15'!#REF!,'15'!$28:$52,'15'!$59:$75</definedName>
    <definedName name="Z_743813BC_E137_480B_B63F_29E16C4A5D78_.wvu.Rows" localSheetId="14" hidden="1">'15'!#REF!,'15'!#REF!,'15'!#REF!,'15'!#REF!,'15'!$4:$21,'15'!$28:$52,'15'!$59:$75</definedName>
    <definedName name="Z_7CD6C56D_7191_499D_884D_23F062610490_.wvu.Rows" localSheetId="14" hidden="1">'15'!#REF!,'15'!#REF!,'15'!#REF!,'15'!#REF!,'15'!$4:$21,'15'!$28:$52,'15'!$59:$75</definedName>
    <definedName name="Z_8AB826A3_3F9F_46E8_8B3C_5D723650CD25_.wvu.Rows" localSheetId="14" hidden="1">'15'!#REF!,'15'!#REF!,'15'!#REF!,'15'!#REF!,'15'!$4:$21,'15'!$28:$52,'15'!$59:$75</definedName>
    <definedName name="Z_9231B71C_ABB0_4122_BB61_A0E14ED7FAC4_.wvu.Rows" localSheetId="14" hidden="1">'15'!#REF!,'15'!#REF!,'15'!#REF!,'15'!#REF!,'15'!$4:$21,'15'!$28:$52,'15'!$59:$75</definedName>
    <definedName name="Z_9CE42830_1BFE_4EEE_AD75_1C30A69A86B1_.wvu.Rows" localSheetId="14" hidden="1">'15'!#REF!,'15'!#REF!,'15'!#REF!,'15'!#REF!,'15'!$4:$21,'15'!$28:$52,'15'!$59:$75</definedName>
    <definedName name="Z_9EA36D12_6C5C_4BE0_9897_E6710354124D_.wvu.Rows" localSheetId="14" hidden="1">'15'!#REF!,'15'!#REF!,'15'!#REF!,'15'!#REF!,'15'!$4:$21,'15'!$28:$52,'15'!$59:$75</definedName>
    <definedName name="Z_A0F29F5B_FB6E_4C5E_B7A7_CDA651D38207_.wvu.Rows" localSheetId="14" hidden="1">'15'!#REF!,'15'!#REF!,'15'!#REF!,'15'!#REF!,'15'!$4:$21,'15'!$28:$52,'15'!$59:$75</definedName>
    <definedName name="Z_A567DF6A_4F50_45D4_A9C8_0879E17AFD34_.wvu.Rows" localSheetId="14" hidden="1">'15'!#REF!,'15'!#REF!,'15'!#REF!,'15'!#REF!,'15'!$4:$21,'15'!$28:$52,'15'!$59:$75</definedName>
    <definedName name="Z_B2CFD8C8_F8F8_47F1_9207_6BE81612C01C_.wvu.Rows" localSheetId="14" hidden="1">'15'!#REF!,'15'!#REF!,'15'!#REF!,'15'!#REF!,'15'!$4:$21,'15'!$28:$52,'15'!$59:$75</definedName>
    <definedName name="Z_BBF15C7D_3EAF_4D98_9096_5B67F6C46C47_.wvu.Rows" localSheetId="14" hidden="1">'15'!#REF!,'15'!#REF!,'15'!#REF!,'15'!#REF!,'15'!$28:$52,'15'!$59:$75</definedName>
    <definedName name="Z_C122BF8D_C115_42E1_B73A_F9B38D5EC060_.wvu.Rows" localSheetId="14" hidden="1">'15'!#REF!,'15'!#REF!,'15'!#REF!,'15'!#REF!,'15'!$4:$21,'15'!$28:$52,'15'!$59:$75</definedName>
    <definedName name="Z_C4D254D6_9D1C_4B3C_972D_15957FD05DD2_.wvu.Rows" localSheetId="14" hidden="1">'15'!#REF!,'15'!#REF!,'15'!#REF!,'15'!#REF!,'15'!$4:$21,'15'!$28:$52,'15'!$59:$75</definedName>
    <definedName name="Z_D4664C56_FB8A_499D_8E24_CCA12F97FAE9_.wvu.Rows" localSheetId="14" hidden="1">'15'!#REF!,'15'!#REF!,'15'!#REF!,'15'!#REF!,'15'!$4:$21,'15'!$28:$52,'15'!$59:$75</definedName>
    <definedName name="Z_DD995061_F552_4E13_8D40_A47EBB03245B_.wvu.Rows" localSheetId="14" hidden="1">'15'!#REF!,'15'!#REF!,'15'!#REF!,'15'!#REF!,'15'!$4:$21,'15'!$28:$52,'15'!$59:$75</definedName>
    <definedName name="Z_DE2F0B4F_79DE_40A0_A13B_9C7F63D3F970_.wvu.Rows" localSheetId="14" hidden="1">'15'!#REF!,'15'!#REF!,'15'!#REF!,'15'!#REF!,'15'!$4:$21,'15'!$28:$52,'15'!$59:$75</definedName>
    <definedName name="Z_E765F84B_EAF3_44AE_A058_C602C1E67401_.wvu.Rows" localSheetId="14" hidden="1">'15'!#REF!,'15'!#REF!,'15'!#REF!,'15'!#REF!,'15'!$4:$21,'15'!$28:$52,'15'!$59:$75</definedName>
    <definedName name="Z_F34DD4D3_7189_47AF_B853_F133E36CF124_.wvu.Rows" localSheetId="14" hidden="1">'15'!#REF!,'15'!#REF!,'15'!#REF!,'15'!#REF!,'15'!$4:$21,'15'!$28:$52,'15'!$59:$75</definedName>
    <definedName name="Z_F82F81AB_9C82_4E79_8CA3_CEB2B994FC06_.wvu.Rows" localSheetId="14" hidden="1">'15'!#REF!,'15'!#REF!,'15'!#REF!,'15'!#REF!,'15'!$4:$21,'15'!$28:$52,'15'!$59:$75</definedName>
    <definedName name="Z_F89CD5B0_594D_4248_B45D_59008422D599_.wvu.Rows" localSheetId="14" hidden="1">'15'!#REF!,'15'!#REF!,'15'!#REF!,'15'!#REF!,'15'!$4:$21,'15'!$28:$52,'15'!$59:$75</definedName>
    <definedName name="Z_03FBB0AD_5353_49C6_B595_178BC13C96AE_.wvu.Rows" localSheetId="15" hidden="1">'16'!#REF!,'16'!#REF!,'16'!#REF!,'16'!#REF!,'16'!$4:$21,'16'!$28:$52,'16'!$59:$75</definedName>
    <definedName name="Z_070961C3_1DC2_4518_83D7_B3F54BC58AE2_.wvu.Rows" localSheetId="15" hidden="1">'16'!#REF!,'16'!#REF!,'16'!#REF!,'16'!#REF!,'16'!$4:$21,'16'!$28:$52,'16'!$59:$75</definedName>
    <definedName name="Z_0B87D63B_15AD_4587_A73B_CA4B62BDFA01_.wvu.Rows" localSheetId="15" hidden="1">'16'!#REF!,'16'!#REF!,'16'!#REF!,'16'!#REF!,'16'!$4:$21,'16'!$28:$52,'16'!$59:$75</definedName>
    <definedName name="Z_1B9AB2B5_0A50_46C3_981D_8BE75BF62E46_.wvu.Rows" localSheetId="15" hidden="1">'16'!#REF!,'16'!#REF!,'16'!#REF!,'16'!#REF!,'16'!$4:$21,'16'!$28:$52,'16'!$59:$75</definedName>
    <definedName name="Z_20A0B2F7_9F51_4E3D_A024_0877F1F98F8D_.wvu.Rows" localSheetId="15" hidden="1">'16'!#REF!,'16'!#REF!,'16'!#REF!,'16'!#REF!,'16'!$4:$21,'16'!$28:$52,'16'!$59:$75</definedName>
    <definedName name="Z_2C3A3C66_1522_4337_93AC_DFC422DC8462_.wvu.Rows" localSheetId="15" hidden="1">'16'!#REF!,'16'!#REF!,'16'!#REF!,'16'!#REF!,'16'!$4:$21,'16'!$28:$52,'16'!$59:$75</definedName>
    <definedName name="Z_2E074C0E_3584_4321_A729_0961B34312BF_.wvu.Rows" localSheetId="15" hidden="1">'16'!#REF!,'16'!#REF!,'16'!#REF!,'16'!#REF!,'16'!$4:$21,'16'!$28:$52,'16'!$59:$75</definedName>
    <definedName name="Z_2FFCC83E_A488_4450_9F9E_FF506EAEF5FC_.wvu.Rows" localSheetId="15" hidden="1">'16'!#REF!,'16'!#REF!,'16'!#REF!,'16'!#REF!,'16'!$4:$21,'16'!$28:$52,'16'!$59:$75</definedName>
    <definedName name="Z_3351A924_D23D_45D7_8354_55677D787CA4_.wvu.Rows" localSheetId="15" hidden="1">'16'!#REF!,'16'!#REF!,'16'!#REF!,'16'!#REF!,'16'!$4:$21,'16'!$28:$52,'16'!$59:$75</definedName>
    <definedName name="Z_51E3BC0E_B24A_447A_BC0A_03881122E44E_.wvu.Rows" localSheetId="15" hidden="1">'16'!#REF!,'16'!#REF!,'16'!#REF!,'16'!#REF!,'16'!$4:$21,'16'!$28:$52,'16'!$59:$75</definedName>
    <definedName name="Z_5C60C8F2_A96A_4286_AB69_6A192D48B52D_.wvu.Rows" localSheetId="15" hidden="1">'16'!#REF!,'16'!#REF!,'16'!#REF!,'16'!#REF!,'16'!$4:$21,'16'!$28:$52,'16'!$59:$75</definedName>
    <definedName name="Z_667B099C_8E79_4490_AC67_CFE2B9F8FC8D_.wvu.Rows" localSheetId="15" hidden="1">'16'!#REF!,'16'!#REF!,'16'!#REF!,'16'!#REF!,'16'!$4:$21,'16'!$28:$52,'16'!$59:$75</definedName>
    <definedName name="Z_696C5A08_6B5C_4B07_9B14_11E12159ACF3_.wvu.Rows" localSheetId="15" hidden="1">'16'!#REF!,'16'!#REF!,'16'!#REF!,'16'!#REF!,'16'!$28:$52,'16'!$59:$75</definedName>
    <definedName name="Z_743813BC_E137_480B_B63F_29E16C4A5D78_.wvu.Rows" localSheetId="15" hidden="1">'16'!#REF!,'16'!#REF!,'16'!#REF!,'16'!#REF!,'16'!$4:$21,'16'!$28:$52,'16'!$59:$75</definedName>
    <definedName name="Z_7CD6C56D_7191_499D_884D_23F062610490_.wvu.Rows" localSheetId="15" hidden="1">'16'!#REF!,'16'!#REF!,'16'!#REF!,'16'!#REF!,'16'!$4:$21,'16'!$28:$52,'16'!$59:$75</definedName>
    <definedName name="Z_8AB826A3_3F9F_46E8_8B3C_5D723650CD25_.wvu.Rows" localSheetId="15" hidden="1">'16'!#REF!,'16'!#REF!,'16'!#REF!,'16'!#REF!,'16'!$4:$21,'16'!$28:$52,'16'!$59:$75</definedName>
    <definedName name="Z_9231B71C_ABB0_4122_BB61_A0E14ED7FAC4_.wvu.Rows" localSheetId="15" hidden="1">'16'!#REF!,'16'!#REF!,'16'!#REF!,'16'!#REF!,'16'!$4:$21,'16'!$28:$52,'16'!$59:$75</definedName>
    <definedName name="Z_9CE42830_1BFE_4EEE_AD75_1C30A69A86B1_.wvu.Rows" localSheetId="15" hidden="1">'16'!#REF!,'16'!#REF!,'16'!#REF!,'16'!#REF!,'16'!$4:$21,'16'!$28:$52,'16'!$59:$75</definedName>
    <definedName name="Z_9EA36D12_6C5C_4BE0_9897_E6710354124D_.wvu.Rows" localSheetId="15" hidden="1">'16'!#REF!,'16'!#REF!,'16'!#REF!,'16'!#REF!,'16'!$4:$21,'16'!$28:$52,'16'!$59:$75</definedName>
    <definedName name="Z_A0F29F5B_FB6E_4C5E_B7A7_CDA651D38207_.wvu.Rows" localSheetId="15" hidden="1">'16'!#REF!,'16'!#REF!,'16'!#REF!,'16'!#REF!,'16'!$4:$21,'16'!$28:$52,'16'!$59:$75</definedName>
    <definedName name="Z_A567DF6A_4F50_45D4_A9C8_0879E17AFD34_.wvu.Rows" localSheetId="15" hidden="1">'16'!#REF!,'16'!#REF!,'16'!#REF!,'16'!#REF!,'16'!$4:$21,'16'!$28:$52,'16'!$59:$75</definedName>
    <definedName name="Z_B2CFD8C8_F8F8_47F1_9207_6BE81612C01C_.wvu.Rows" localSheetId="15" hidden="1">'16'!#REF!,'16'!#REF!,'16'!#REF!,'16'!#REF!,'16'!$4:$21,'16'!$28:$52,'16'!$59:$75</definedName>
    <definedName name="Z_BBF15C7D_3EAF_4D98_9096_5B67F6C46C47_.wvu.Rows" localSheetId="15" hidden="1">'16'!#REF!,'16'!#REF!,'16'!#REF!,'16'!#REF!,'16'!$28:$52,'16'!$59:$75</definedName>
    <definedName name="Z_C122BF8D_C115_42E1_B73A_F9B38D5EC060_.wvu.Rows" localSheetId="15" hidden="1">'16'!#REF!,'16'!#REF!,'16'!#REF!,'16'!#REF!,'16'!$4:$21,'16'!$28:$52,'16'!$59:$75</definedName>
    <definedName name="Z_C4D254D6_9D1C_4B3C_972D_15957FD05DD2_.wvu.Rows" localSheetId="15" hidden="1">'16'!#REF!,'16'!#REF!,'16'!#REF!,'16'!#REF!,'16'!$4:$21,'16'!$28:$52,'16'!$59:$75</definedName>
    <definedName name="Z_D4664C56_FB8A_499D_8E24_CCA12F97FAE9_.wvu.Rows" localSheetId="15" hidden="1">'16'!#REF!,'16'!#REF!,'16'!#REF!,'16'!#REF!,'16'!$4:$21,'16'!$28:$52,'16'!$59:$75</definedName>
    <definedName name="Z_DD995061_F552_4E13_8D40_A47EBB03245B_.wvu.Rows" localSheetId="15" hidden="1">'16'!#REF!,'16'!#REF!,'16'!#REF!,'16'!#REF!,'16'!$4:$21,'16'!$28:$52,'16'!$59:$75</definedName>
    <definedName name="Z_DE2F0B4F_79DE_40A0_A13B_9C7F63D3F970_.wvu.Rows" localSheetId="15" hidden="1">'16'!#REF!,'16'!#REF!,'16'!#REF!,'16'!#REF!,'16'!$4:$21,'16'!$28:$52,'16'!$59:$75</definedName>
    <definedName name="Z_E765F84B_EAF3_44AE_A058_C602C1E67401_.wvu.Rows" localSheetId="15" hidden="1">'16'!#REF!,'16'!#REF!,'16'!#REF!,'16'!#REF!,'16'!$4:$21,'16'!$28:$52,'16'!$59:$75</definedName>
    <definedName name="Z_F34DD4D3_7189_47AF_B853_F133E36CF124_.wvu.Rows" localSheetId="15" hidden="1">'16'!#REF!,'16'!#REF!,'16'!#REF!,'16'!#REF!,'16'!$4:$21,'16'!$28:$52,'16'!$59:$75</definedName>
    <definedName name="Z_F82F81AB_9C82_4E79_8CA3_CEB2B994FC06_.wvu.Rows" localSheetId="15" hidden="1">'16'!#REF!,'16'!#REF!,'16'!#REF!,'16'!#REF!,'16'!$4:$21,'16'!$28:$52,'16'!$59:$75</definedName>
    <definedName name="Z_F89CD5B0_594D_4248_B45D_59008422D599_.wvu.Rows" localSheetId="15" hidden="1">'16'!#REF!,'16'!#REF!,'16'!#REF!,'16'!#REF!,'16'!$4:$21,'16'!$28:$52,'16'!$59:$75</definedName>
    <definedName name="Z_03FBB0AD_5353_49C6_B595_178BC13C96AE_.wvu.Rows" localSheetId="16" hidden="1">'17'!#REF!,'17'!#REF!,'17'!#REF!,'17'!#REF!,'17'!$4:$21,'17'!$28:$52,'17'!$59:$75</definedName>
    <definedName name="Z_070961C3_1DC2_4518_83D7_B3F54BC58AE2_.wvu.Rows" localSheetId="16" hidden="1">'17'!#REF!,'17'!#REF!,'17'!#REF!,'17'!#REF!,'17'!$4:$21,'17'!$28:$52,'17'!$59:$75</definedName>
    <definedName name="Z_0B87D63B_15AD_4587_A73B_CA4B62BDFA01_.wvu.Rows" localSheetId="16" hidden="1">'17'!#REF!,'17'!#REF!,'17'!#REF!,'17'!#REF!,'17'!$4:$21,'17'!$28:$52,'17'!$59:$75</definedName>
    <definedName name="Z_1B9AB2B5_0A50_46C3_981D_8BE75BF62E46_.wvu.Rows" localSheetId="16" hidden="1">'17'!#REF!,'17'!#REF!,'17'!#REF!,'17'!#REF!,'17'!$4:$21,'17'!$28:$52,'17'!$59:$75</definedName>
    <definedName name="Z_20A0B2F7_9F51_4E3D_A024_0877F1F98F8D_.wvu.Rows" localSheetId="16" hidden="1">'17'!#REF!,'17'!#REF!,'17'!#REF!,'17'!#REF!,'17'!$4:$21,'17'!$28:$52,'17'!$59:$75</definedName>
    <definedName name="Z_2C3A3C66_1522_4337_93AC_DFC422DC8462_.wvu.Rows" localSheetId="16" hidden="1">'17'!#REF!,'17'!#REF!,'17'!#REF!,'17'!#REF!,'17'!$4:$21,'17'!$28:$52,'17'!$59:$75</definedName>
    <definedName name="Z_2E074C0E_3584_4321_A729_0961B34312BF_.wvu.Rows" localSheetId="16" hidden="1">'17'!#REF!,'17'!#REF!,'17'!#REF!,'17'!#REF!,'17'!$4:$21,'17'!$28:$52,'17'!$59:$75</definedName>
    <definedName name="Z_2FFCC83E_A488_4450_9F9E_FF506EAEF5FC_.wvu.Rows" localSheetId="16" hidden="1">'17'!#REF!,'17'!#REF!,'17'!#REF!,'17'!#REF!,'17'!$4:$21,'17'!$28:$52,'17'!$59:$75</definedName>
    <definedName name="Z_3351A924_D23D_45D7_8354_55677D787CA4_.wvu.Rows" localSheetId="16" hidden="1">'17'!#REF!,'17'!#REF!,'17'!#REF!,'17'!#REF!,'17'!$4:$21,'17'!$28:$52,'17'!$59:$75</definedName>
    <definedName name="Z_51E3BC0E_B24A_447A_BC0A_03881122E44E_.wvu.Rows" localSheetId="16" hidden="1">'17'!#REF!,'17'!#REF!,'17'!#REF!,'17'!#REF!,'17'!$4:$21,'17'!$28:$52,'17'!$59:$75</definedName>
    <definedName name="Z_5C60C8F2_A96A_4286_AB69_6A192D48B52D_.wvu.Rows" localSheetId="16" hidden="1">'17'!#REF!,'17'!#REF!,'17'!#REF!,'17'!#REF!,'17'!$4:$21,'17'!$28:$52,'17'!$59:$75</definedName>
    <definedName name="Z_667B099C_8E79_4490_AC67_CFE2B9F8FC8D_.wvu.Rows" localSheetId="16" hidden="1">'17'!#REF!,'17'!#REF!,'17'!#REF!,'17'!#REF!,'17'!$4:$21,'17'!$28:$52,'17'!$59:$75</definedName>
    <definedName name="Z_696C5A08_6B5C_4B07_9B14_11E12159ACF3_.wvu.Rows" localSheetId="16" hidden="1">'17'!#REF!,'17'!#REF!,'17'!#REF!,'17'!#REF!,'17'!$28:$52,'17'!$59:$75</definedName>
    <definedName name="Z_743813BC_E137_480B_B63F_29E16C4A5D78_.wvu.Rows" localSheetId="16" hidden="1">'17'!#REF!,'17'!#REF!,'17'!#REF!,'17'!#REF!,'17'!$4:$21,'17'!$28:$52,'17'!$59:$75</definedName>
    <definedName name="Z_7CD6C56D_7191_499D_884D_23F062610490_.wvu.Rows" localSheetId="16" hidden="1">'17'!#REF!,'17'!#REF!,'17'!#REF!,'17'!#REF!,'17'!$4:$21,'17'!$28:$52,'17'!$59:$75</definedName>
    <definedName name="Z_8AB826A3_3F9F_46E8_8B3C_5D723650CD25_.wvu.Rows" localSheetId="16" hidden="1">'17'!#REF!,'17'!#REF!,'17'!#REF!,'17'!#REF!,'17'!$4:$21,'17'!$28:$52,'17'!$59:$75</definedName>
    <definedName name="Z_9231B71C_ABB0_4122_BB61_A0E14ED7FAC4_.wvu.Rows" localSheetId="16" hidden="1">'17'!#REF!,'17'!#REF!,'17'!#REF!,'17'!#REF!,'17'!$4:$21,'17'!$28:$52,'17'!$59:$75</definedName>
    <definedName name="Z_9CE42830_1BFE_4EEE_AD75_1C30A69A86B1_.wvu.Rows" localSheetId="16" hidden="1">'17'!#REF!,'17'!#REF!,'17'!#REF!,'17'!#REF!,'17'!$4:$21,'17'!$28:$52,'17'!$59:$75</definedName>
    <definedName name="Z_9EA36D12_6C5C_4BE0_9897_E6710354124D_.wvu.Rows" localSheetId="16" hidden="1">'17'!#REF!,'17'!#REF!,'17'!#REF!,'17'!#REF!,'17'!$4:$21,'17'!$28:$52,'17'!$59:$75</definedName>
    <definedName name="Z_A0F29F5B_FB6E_4C5E_B7A7_CDA651D38207_.wvu.Rows" localSheetId="16" hidden="1">'17'!#REF!,'17'!#REF!,'17'!#REF!,'17'!#REF!,'17'!$4:$21,'17'!$28:$52,'17'!$59:$75</definedName>
    <definedName name="Z_A567DF6A_4F50_45D4_A9C8_0879E17AFD34_.wvu.Rows" localSheetId="16" hidden="1">'17'!#REF!,'17'!#REF!,'17'!#REF!,'17'!#REF!,'17'!$4:$21,'17'!$28:$52,'17'!$59:$75</definedName>
    <definedName name="Z_B2CFD8C8_F8F8_47F1_9207_6BE81612C01C_.wvu.Rows" localSheetId="16" hidden="1">'17'!#REF!,'17'!#REF!,'17'!#REF!,'17'!#REF!,'17'!$4:$21,'17'!$28:$52,'17'!$59:$75</definedName>
    <definedName name="Z_BBF15C7D_3EAF_4D98_9096_5B67F6C46C47_.wvu.Rows" localSheetId="16" hidden="1">'17'!#REF!,'17'!#REF!,'17'!#REF!,'17'!#REF!,'17'!$28:$52,'17'!$59:$75</definedName>
    <definedName name="Z_C122BF8D_C115_42E1_B73A_F9B38D5EC060_.wvu.Rows" localSheetId="16" hidden="1">'17'!#REF!,'17'!#REF!,'17'!#REF!,'17'!#REF!,'17'!$4:$21,'17'!$28:$52,'17'!$59:$75</definedName>
    <definedName name="Z_C4D254D6_9D1C_4B3C_972D_15957FD05DD2_.wvu.Rows" localSheetId="16" hidden="1">'17'!#REF!,'17'!#REF!,'17'!#REF!,'17'!#REF!,'17'!$4:$21,'17'!$28:$52,'17'!$59:$75</definedName>
    <definedName name="Z_D4664C56_FB8A_499D_8E24_CCA12F97FAE9_.wvu.Rows" localSheetId="16" hidden="1">'17'!#REF!,'17'!#REF!,'17'!#REF!,'17'!#REF!,'17'!$4:$21,'17'!$28:$52,'17'!$59:$75</definedName>
    <definedName name="Z_DD995061_F552_4E13_8D40_A47EBB03245B_.wvu.Rows" localSheetId="16" hidden="1">'17'!#REF!,'17'!#REF!,'17'!#REF!,'17'!#REF!,'17'!$4:$21,'17'!$28:$52,'17'!$59:$75</definedName>
    <definedName name="Z_DE2F0B4F_79DE_40A0_A13B_9C7F63D3F970_.wvu.Rows" localSheetId="16" hidden="1">'17'!#REF!,'17'!#REF!,'17'!#REF!,'17'!#REF!,'17'!$4:$21,'17'!$28:$52,'17'!$59:$75</definedName>
    <definedName name="Z_E765F84B_EAF3_44AE_A058_C602C1E67401_.wvu.Rows" localSheetId="16" hidden="1">'17'!#REF!,'17'!#REF!,'17'!#REF!,'17'!#REF!,'17'!$4:$21,'17'!$28:$52,'17'!$59:$75</definedName>
    <definedName name="Z_F34DD4D3_7189_47AF_B853_F133E36CF124_.wvu.Rows" localSheetId="16" hidden="1">'17'!#REF!,'17'!#REF!,'17'!#REF!,'17'!#REF!,'17'!$4:$21,'17'!$28:$52,'17'!$59:$75</definedName>
    <definedName name="Z_F82F81AB_9C82_4E79_8CA3_CEB2B994FC06_.wvu.Rows" localSheetId="16" hidden="1">'17'!#REF!,'17'!#REF!,'17'!#REF!,'17'!#REF!,'17'!$4:$21,'17'!$28:$52,'17'!$59:$75</definedName>
    <definedName name="Z_F89CD5B0_594D_4248_B45D_59008422D599_.wvu.Rows" localSheetId="16" hidden="1">'17'!#REF!,'17'!#REF!,'17'!#REF!,'17'!#REF!,'17'!$4:$21,'17'!$28:$52,'17'!$59:$75</definedName>
    <definedName name="Z_03FBB0AD_5353_49C6_B595_178BC13C96AE_.wvu.Rows" localSheetId="17" hidden="1">'18'!#REF!,'18'!#REF!,'18'!#REF!,'18'!#REF!,'18'!$4:$21,'18'!$43:$70,'18'!$77:$98</definedName>
    <definedName name="Z_070961C3_1DC2_4518_83D7_B3F54BC58AE2_.wvu.Rows" localSheetId="17" hidden="1">'18'!#REF!,'18'!#REF!,'18'!#REF!,'18'!#REF!,'18'!$4:$21,'18'!$43:$70,'18'!$77:$98</definedName>
    <definedName name="Z_0B87D63B_15AD_4587_A73B_CA4B62BDFA01_.wvu.Rows" localSheetId="17" hidden="1">'18'!#REF!,'18'!#REF!,'18'!#REF!,'18'!#REF!,'18'!$4:$21,'18'!$43:$70,'18'!$77:$98</definedName>
    <definedName name="Z_1B9AB2B5_0A50_46C3_981D_8BE75BF62E46_.wvu.Rows" localSheetId="17" hidden="1">'18'!#REF!,'18'!#REF!,'18'!#REF!,'18'!#REF!,'18'!$4:$21,'18'!$43:$70,'18'!$77:$98</definedName>
    <definedName name="Z_20A0B2F7_9F51_4E3D_A024_0877F1F98F8D_.wvu.Rows" localSheetId="17" hidden="1">'18'!#REF!,'18'!#REF!,'18'!#REF!,'18'!#REF!,'18'!$4:$21,'18'!$43:$70,'18'!$77:$98</definedName>
    <definedName name="Z_2C3A3C66_1522_4337_93AC_DFC422DC8462_.wvu.Rows" localSheetId="17" hidden="1">'18'!#REF!,'18'!#REF!,'18'!#REF!,'18'!#REF!,'18'!$4:$21,'18'!$43:$70,'18'!$77:$98</definedName>
    <definedName name="Z_2E074C0E_3584_4321_A729_0961B34312BF_.wvu.Rows" localSheetId="17" hidden="1">'18'!#REF!,'18'!#REF!,'18'!#REF!,'18'!#REF!,'18'!$4:$21,'18'!$43:$70,'18'!$77:$98</definedName>
    <definedName name="Z_2FFCC83E_A488_4450_9F9E_FF506EAEF5FC_.wvu.Rows" localSheetId="17" hidden="1">'18'!#REF!,'18'!#REF!,'18'!#REF!,'18'!#REF!,'18'!$4:$21,'18'!$43:$70,'18'!$77:$98</definedName>
    <definedName name="Z_3351A924_D23D_45D7_8354_55677D787CA4_.wvu.Rows" localSheetId="17" hidden="1">'18'!#REF!,'18'!#REF!,'18'!#REF!,'18'!#REF!,'18'!$4:$21,'18'!$43:$70,'18'!$77:$98</definedName>
    <definedName name="Z_51E3BC0E_B24A_447A_BC0A_03881122E44E_.wvu.Rows" localSheetId="17" hidden="1">'18'!#REF!,'18'!#REF!,'18'!#REF!,'18'!#REF!,'18'!$4:$21,'18'!$43:$70,'18'!$77:$98</definedName>
    <definedName name="Z_5C60C8F2_A96A_4286_AB69_6A192D48B52D_.wvu.Rows" localSheetId="17" hidden="1">'18'!#REF!,'18'!#REF!,'18'!#REF!,'18'!#REF!,'18'!$4:$21,'18'!$43:$70,'18'!$77:$98</definedName>
    <definedName name="Z_667B099C_8E79_4490_AC67_CFE2B9F8FC8D_.wvu.Rows" localSheetId="17" hidden="1">'18'!#REF!,'18'!#REF!,'18'!#REF!,'18'!#REF!,'18'!$4:$21,'18'!$43:$70,'18'!$77:$98</definedName>
    <definedName name="Z_696C5A08_6B5C_4B07_9B14_11E12159ACF3_.wvu.Rows" localSheetId="17" hidden="1">'18'!#REF!,'18'!#REF!,'18'!#REF!,'18'!#REF!,'18'!$43:$70,'18'!$77:$98</definedName>
    <definedName name="Z_743813BC_E137_480B_B63F_29E16C4A5D78_.wvu.Rows" localSheetId="17" hidden="1">'18'!#REF!,'18'!#REF!,'18'!#REF!,'18'!#REF!,'18'!$4:$21,'18'!$43:$70,'18'!$77:$98</definedName>
    <definedName name="Z_7CD6C56D_7191_499D_884D_23F062610490_.wvu.Rows" localSheetId="17" hidden="1">'18'!#REF!,'18'!#REF!,'18'!#REF!,'18'!#REF!,'18'!$4:$21,'18'!$43:$70,'18'!$77:$98</definedName>
    <definedName name="Z_8AB826A3_3F9F_46E8_8B3C_5D723650CD25_.wvu.Rows" localSheetId="17" hidden="1">'18'!#REF!,'18'!#REF!,'18'!#REF!,'18'!#REF!,'18'!$4:$21,'18'!$43:$70,'18'!$77:$98</definedName>
    <definedName name="Z_9231B71C_ABB0_4122_BB61_A0E14ED7FAC4_.wvu.Rows" localSheetId="17" hidden="1">'18'!#REF!,'18'!#REF!,'18'!#REF!,'18'!#REF!,'18'!$4:$21,'18'!$43:$70,'18'!$77:$98</definedName>
    <definedName name="Z_9CE42830_1BFE_4EEE_AD75_1C30A69A86B1_.wvu.Rows" localSheetId="17" hidden="1">'18'!#REF!,'18'!#REF!,'18'!#REF!,'18'!#REF!,'18'!$4:$21,'18'!$43:$70,'18'!$77:$98</definedName>
    <definedName name="Z_9EA36D12_6C5C_4BE0_9897_E6710354124D_.wvu.Rows" localSheetId="17" hidden="1">'18'!#REF!,'18'!#REF!,'18'!#REF!,'18'!#REF!,'18'!$4:$21,'18'!$43:$70,'18'!$77:$98</definedName>
    <definedName name="Z_A0F29F5B_FB6E_4C5E_B7A7_CDA651D38207_.wvu.Rows" localSheetId="17" hidden="1">'18'!#REF!,'18'!#REF!,'18'!#REF!,'18'!#REF!,'18'!$4:$21,'18'!$43:$70,'18'!$77:$98</definedName>
    <definedName name="Z_A567DF6A_4F50_45D4_A9C8_0879E17AFD34_.wvu.Rows" localSheetId="17" hidden="1">'18'!#REF!,'18'!#REF!,'18'!#REF!,'18'!#REF!,'18'!$4:$21,'18'!$43:$70,'18'!$77:$98</definedName>
    <definedName name="Z_B2CFD8C8_F8F8_47F1_9207_6BE81612C01C_.wvu.Rows" localSheetId="17" hidden="1">'18'!#REF!,'18'!#REF!,'18'!#REF!,'18'!#REF!,'18'!$4:$21,'18'!$43:$70,'18'!$77:$98</definedName>
    <definedName name="Z_BBF15C7D_3EAF_4D98_9096_5B67F6C46C47_.wvu.Rows" localSheetId="17" hidden="1">'18'!#REF!,'18'!#REF!,'18'!#REF!,'18'!#REF!,'18'!$43:$70,'18'!$77:$98</definedName>
    <definedName name="Z_C122BF8D_C115_42E1_B73A_F9B38D5EC060_.wvu.Rows" localSheetId="17" hidden="1">'18'!#REF!,'18'!#REF!,'18'!#REF!,'18'!#REF!,'18'!$4:$21,'18'!$43:$70,'18'!$77:$98</definedName>
    <definedName name="Z_C4D254D6_9D1C_4B3C_972D_15957FD05DD2_.wvu.Rows" localSheetId="17" hidden="1">'18'!#REF!,'18'!#REF!,'18'!#REF!,'18'!#REF!,'18'!$4:$21,'18'!$43:$70,'18'!$77:$98</definedName>
    <definedName name="Z_D4664C56_FB8A_499D_8E24_CCA12F97FAE9_.wvu.Rows" localSheetId="17" hidden="1">'18'!#REF!,'18'!#REF!,'18'!#REF!,'18'!#REF!,'18'!$4:$21,'18'!$43:$70,'18'!$77:$98</definedName>
    <definedName name="Z_DD995061_F552_4E13_8D40_A47EBB03245B_.wvu.Rows" localSheetId="17" hidden="1">'18'!#REF!,'18'!#REF!,'18'!#REF!,'18'!#REF!,'18'!$4:$21,'18'!$43:$70,'18'!$77:$98</definedName>
    <definedName name="Z_DE2F0B4F_79DE_40A0_A13B_9C7F63D3F970_.wvu.Rows" localSheetId="17" hidden="1">'18'!#REF!,'18'!#REF!,'18'!#REF!,'18'!#REF!,'18'!$4:$21,'18'!$43:$70,'18'!$77:$98</definedName>
    <definedName name="Z_E765F84B_EAF3_44AE_A058_C602C1E67401_.wvu.Rows" localSheetId="17" hidden="1">'18'!#REF!,'18'!#REF!,'18'!#REF!,'18'!#REF!,'18'!$4:$21,'18'!$43:$70,'18'!$77:$98</definedName>
    <definedName name="Z_F34DD4D3_7189_47AF_B853_F133E36CF124_.wvu.Rows" localSheetId="17" hidden="1">'18'!#REF!,'18'!#REF!,'18'!#REF!,'18'!#REF!,'18'!$4:$21,'18'!$43:$70,'18'!$77:$98</definedName>
    <definedName name="Z_F82F81AB_9C82_4E79_8CA3_CEB2B994FC06_.wvu.Rows" localSheetId="17" hidden="1">'18'!#REF!,'18'!#REF!,'18'!#REF!,'18'!#REF!,'18'!$4:$21,'18'!$43:$70,'18'!$77:$98</definedName>
    <definedName name="Z_F89CD5B0_594D_4248_B45D_59008422D599_.wvu.Rows" localSheetId="17" hidden="1">'18'!#REF!,'18'!#REF!,'18'!#REF!,'18'!#REF!,'18'!$4:$21,'18'!$43:$70,'18'!$77:$98</definedName>
    <definedName name="Z_03FBB0AD_5353_49C6_B595_178BC13C96AE_.wvu.Rows" localSheetId="18" hidden="1">'19'!#REF!,'19'!#REF!,'19'!#REF!,'19'!#REF!,'19'!$4:$21,'19'!$28:$52,'19'!$59:$75</definedName>
    <definedName name="Z_070961C3_1DC2_4518_83D7_B3F54BC58AE2_.wvu.Rows" localSheetId="18" hidden="1">'19'!#REF!,'19'!#REF!,'19'!#REF!,'19'!#REF!,'19'!$4:$21,'19'!$28:$52,'19'!$59:$75</definedName>
    <definedName name="Z_0B87D63B_15AD_4587_A73B_CA4B62BDFA01_.wvu.Rows" localSheetId="18" hidden="1">'19'!#REF!,'19'!#REF!,'19'!#REF!,'19'!#REF!,'19'!$4:$21,'19'!$28:$52,'19'!$59:$75</definedName>
    <definedName name="Z_1B9AB2B5_0A50_46C3_981D_8BE75BF62E46_.wvu.Rows" localSheetId="18" hidden="1">'19'!#REF!,'19'!#REF!,'19'!#REF!,'19'!#REF!,'19'!$4:$21,'19'!$28:$52,'19'!$59:$75</definedName>
    <definedName name="Z_20A0B2F7_9F51_4E3D_A024_0877F1F98F8D_.wvu.Rows" localSheetId="18" hidden="1">'19'!#REF!,'19'!#REF!,'19'!#REF!,'19'!#REF!,'19'!$4:$21,'19'!$28:$52,'19'!$59:$75</definedName>
    <definedName name="Z_2C3A3C66_1522_4337_93AC_DFC422DC8462_.wvu.Rows" localSheetId="18" hidden="1">'19'!#REF!,'19'!#REF!,'19'!#REF!,'19'!#REF!,'19'!$4:$21,'19'!$28:$52,'19'!$59:$75</definedName>
    <definedName name="Z_2E074C0E_3584_4321_A729_0961B34312BF_.wvu.Rows" localSheetId="18" hidden="1">'19'!#REF!,'19'!#REF!,'19'!#REF!,'19'!#REF!,'19'!$4:$21,'19'!$28:$52,'19'!$59:$75</definedName>
    <definedName name="Z_2FFCC83E_A488_4450_9F9E_FF506EAEF5FC_.wvu.Rows" localSheetId="18" hidden="1">'19'!#REF!,'19'!#REF!,'19'!#REF!,'19'!#REF!,'19'!$4:$21,'19'!$28:$52,'19'!$59:$75</definedName>
    <definedName name="Z_3351A924_D23D_45D7_8354_55677D787CA4_.wvu.Rows" localSheetId="18" hidden="1">'19'!#REF!,'19'!#REF!,'19'!#REF!,'19'!#REF!,'19'!$4:$21,'19'!$28:$52,'19'!$59:$75</definedName>
    <definedName name="Z_51E3BC0E_B24A_447A_BC0A_03881122E44E_.wvu.Rows" localSheetId="18" hidden="1">'19'!#REF!,'19'!#REF!,'19'!#REF!,'19'!#REF!,'19'!$4:$21,'19'!$28:$52,'19'!$59:$75</definedName>
    <definedName name="Z_5C60C8F2_A96A_4286_AB69_6A192D48B52D_.wvu.Rows" localSheetId="18" hidden="1">'19'!#REF!,'19'!#REF!,'19'!#REF!,'19'!#REF!,'19'!$4:$21,'19'!$28:$52,'19'!$59:$75</definedName>
    <definedName name="Z_667B099C_8E79_4490_AC67_CFE2B9F8FC8D_.wvu.Rows" localSheetId="18" hidden="1">'19'!#REF!,'19'!#REF!,'19'!#REF!,'19'!#REF!,'19'!$4:$21,'19'!$28:$52,'19'!$59:$75</definedName>
    <definedName name="Z_696C5A08_6B5C_4B07_9B14_11E12159ACF3_.wvu.Rows" localSheetId="18" hidden="1">'19'!#REF!,'19'!#REF!,'19'!#REF!,'19'!#REF!,'19'!$28:$52,'19'!$59:$75</definedName>
    <definedName name="Z_743813BC_E137_480B_B63F_29E16C4A5D78_.wvu.Rows" localSheetId="18" hidden="1">'19'!#REF!,'19'!#REF!,'19'!#REF!,'19'!#REF!,'19'!$4:$21,'19'!$28:$52,'19'!$59:$75</definedName>
    <definedName name="Z_7CD6C56D_7191_499D_884D_23F062610490_.wvu.Rows" localSheetId="18" hidden="1">'19'!#REF!,'19'!#REF!,'19'!#REF!,'19'!#REF!,'19'!$4:$21,'19'!$28:$52,'19'!$59:$75</definedName>
    <definedName name="Z_8AB826A3_3F9F_46E8_8B3C_5D723650CD25_.wvu.Rows" localSheetId="18" hidden="1">'19'!#REF!,'19'!#REF!,'19'!#REF!,'19'!#REF!,'19'!$4:$21,'19'!$28:$52,'19'!$59:$75</definedName>
    <definedName name="Z_9231B71C_ABB0_4122_BB61_A0E14ED7FAC4_.wvu.Rows" localSheetId="18" hidden="1">'19'!#REF!,'19'!#REF!,'19'!#REF!,'19'!#REF!,'19'!$4:$21,'19'!$28:$52,'19'!$59:$75</definedName>
    <definedName name="Z_9CE42830_1BFE_4EEE_AD75_1C30A69A86B1_.wvu.Rows" localSheetId="18" hidden="1">'19'!#REF!,'19'!#REF!,'19'!#REF!,'19'!#REF!,'19'!$4:$21,'19'!$28:$52,'19'!$59:$75</definedName>
    <definedName name="Z_9EA36D12_6C5C_4BE0_9897_E6710354124D_.wvu.Rows" localSheetId="18" hidden="1">'19'!#REF!,'19'!#REF!,'19'!#REF!,'19'!#REF!,'19'!$4:$21,'19'!$28:$52,'19'!$59:$75</definedName>
    <definedName name="Z_A0F29F5B_FB6E_4C5E_B7A7_CDA651D38207_.wvu.Rows" localSheetId="18" hidden="1">'19'!#REF!,'19'!#REF!,'19'!#REF!,'19'!#REF!,'19'!$4:$21,'19'!$28:$52,'19'!$59:$75</definedName>
    <definedName name="Z_A567DF6A_4F50_45D4_A9C8_0879E17AFD34_.wvu.Rows" localSheetId="18" hidden="1">'19'!#REF!,'19'!#REF!,'19'!#REF!,'19'!#REF!,'19'!$4:$21,'19'!$28:$52,'19'!$59:$75</definedName>
    <definedName name="Z_B2CFD8C8_F8F8_47F1_9207_6BE81612C01C_.wvu.Rows" localSheetId="18" hidden="1">'19'!#REF!,'19'!#REF!,'19'!#REF!,'19'!#REF!,'19'!$4:$21,'19'!$28:$52,'19'!$59:$75</definedName>
    <definedName name="Z_BBF15C7D_3EAF_4D98_9096_5B67F6C46C47_.wvu.Rows" localSheetId="18" hidden="1">'19'!#REF!,'19'!#REF!,'19'!#REF!,'19'!#REF!,'19'!$28:$52,'19'!$59:$75</definedName>
    <definedName name="Z_C122BF8D_C115_42E1_B73A_F9B38D5EC060_.wvu.Rows" localSheetId="18" hidden="1">'19'!#REF!,'19'!#REF!,'19'!#REF!,'19'!#REF!,'19'!$4:$21,'19'!$28:$52,'19'!$59:$75</definedName>
    <definedName name="Z_C4D254D6_9D1C_4B3C_972D_15957FD05DD2_.wvu.Rows" localSheetId="18" hidden="1">'19'!#REF!,'19'!#REF!,'19'!#REF!,'19'!#REF!,'19'!$4:$21,'19'!$28:$52,'19'!$59:$75</definedName>
    <definedName name="Z_D4664C56_FB8A_499D_8E24_CCA12F97FAE9_.wvu.Rows" localSheetId="18" hidden="1">'19'!#REF!,'19'!#REF!,'19'!#REF!,'19'!#REF!,'19'!$4:$21,'19'!$28:$52,'19'!$59:$75</definedName>
    <definedName name="Z_DD995061_F552_4E13_8D40_A47EBB03245B_.wvu.Rows" localSheetId="18" hidden="1">'19'!#REF!,'19'!#REF!,'19'!#REF!,'19'!#REF!,'19'!$4:$21,'19'!$28:$52,'19'!$59:$75</definedName>
    <definedName name="Z_DE2F0B4F_79DE_40A0_A13B_9C7F63D3F970_.wvu.Rows" localSheetId="18" hidden="1">'19'!#REF!,'19'!#REF!,'19'!#REF!,'19'!#REF!,'19'!$4:$21,'19'!$28:$52,'19'!$59:$75</definedName>
    <definedName name="Z_E765F84B_EAF3_44AE_A058_C602C1E67401_.wvu.Rows" localSheetId="18" hidden="1">'19'!#REF!,'19'!#REF!,'19'!#REF!,'19'!#REF!,'19'!$4:$21,'19'!$28:$52,'19'!$59:$75</definedName>
    <definedName name="Z_F34DD4D3_7189_47AF_B853_F133E36CF124_.wvu.Rows" localSheetId="18" hidden="1">'19'!#REF!,'19'!#REF!,'19'!#REF!,'19'!#REF!,'19'!$4:$21,'19'!$28:$52,'19'!$59:$75</definedName>
    <definedName name="Z_F82F81AB_9C82_4E79_8CA3_CEB2B994FC06_.wvu.Rows" localSheetId="18" hidden="1">'19'!#REF!,'19'!#REF!,'19'!#REF!,'19'!#REF!,'19'!$4:$21,'19'!$28:$52,'19'!$59:$75</definedName>
    <definedName name="Z_F89CD5B0_594D_4248_B45D_59008422D599_.wvu.Rows" localSheetId="18" hidden="1">'19'!#REF!,'19'!#REF!,'19'!#REF!,'19'!#REF!,'19'!$4:$21,'19'!$28:$52,'19'!$59:$75</definedName>
    <definedName name="Z_03FBB0AD_5353_49C6_B595_178BC13C96AE_.wvu.Rows" localSheetId="19" hidden="1">'20'!#REF!,'20'!#REF!,'20'!#REF!,'20'!#REF!,'20'!$4:$21,'20'!$28:$52,'20'!$59:$75</definedName>
    <definedName name="Z_070961C3_1DC2_4518_83D7_B3F54BC58AE2_.wvu.Rows" localSheetId="19" hidden="1">'20'!#REF!,'20'!#REF!,'20'!#REF!,'20'!#REF!,'20'!$4:$21,'20'!$28:$52,'20'!$59:$75</definedName>
    <definedName name="Z_0B87D63B_15AD_4587_A73B_CA4B62BDFA01_.wvu.Rows" localSheetId="19" hidden="1">'20'!#REF!,'20'!#REF!,'20'!#REF!,'20'!#REF!,'20'!$4:$21,'20'!$28:$52,'20'!$59:$75</definedName>
    <definedName name="Z_1B9AB2B5_0A50_46C3_981D_8BE75BF62E46_.wvu.Rows" localSheetId="19" hidden="1">'20'!#REF!,'20'!#REF!,'20'!#REF!,'20'!#REF!,'20'!$4:$21,'20'!$28:$52,'20'!$59:$75</definedName>
    <definedName name="Z_20A0B2F7_9F51_4E3D_A024_0877F1F98F8D_.wvu.Rows" localSheetId="19" hidden="1">'20'!#REF!,'20'!#REF!,'20'!#REF!,'20'!#REF!,'20'!$4:$21,'20'!$28:$52,'20'!$59:$75</definedName>
    <definedName name="Z_2C3A3C66_1522_4337_93AC_DFC422DC8462_.wvu.Rows" localSheetId="19" hidden="1">'20'!#REF!,'20'!#REF!,'20'!#REF!,'20'!#REF!,'20'!$4:$21,'20'!$28:$52,'20'!$59:$75</definedName>
    <definedName name="Z_2E074C0E_3584_4321_A729_0961B34312BF_.wvu.Rows" localSheetId="19" hidden="1">'20'!#REF!,'20'!#REF!,'20'!#REF!,'20'!#REF!,'20'!$4:$21,'20'!$28:$52,'20'!$59:$75</definedName>
    <definedName name="Z_2FFCC83E_A488_4450_9F9E_FF506EAEF5FC_.wvu.Rows" localSheetId="19" hidden="1">'20'!#REF!,'20'!#REF!,'20'!#REF!,'20'!#REF!,'20'!$4:$21,'20'!$28:$52,'20'!$59:$75</definedName>
    <definedName name="Z_3351A924_D23D_45D7_8354_55677D787CA4_.wvu.Rows" localSheetId="19" hidden="1">'20'!#REF!,'20'!#REF!,'20'!#REF!,'20'!#REF!,'20'!$4:$21,'20'!$28:$52,'20'!$59:$75</definedName>
    <definedName name="Z_51E3BC0E_B24A_447A_BC0A_03881122E44E_.wvu.Rows" localSheetId="19" hidden="1">'20'!#REF!,'20'!#REF!,'20'!#REF!,'20'!#REF!,'20'!$4:$21,'20'!$28:$52,'20'!$59:$75</definedName>
    <definedName name="Z_5C60C8F2_A96A_4286_AB69_6A192D48B52D_.wvu.Rows" localSheetId="19" hidden="1">'20'!#REF!,'20'!#REF!,'20'!#REF!,'20'!#REF!,'20'!$4:$21,'20'!$28:$52,'20'!$59:$75</definedName>
    <definedName name="Z_667B099C_8E79_4490_AC67_CFE2B9F8FC8D_.wvu.Rows" localSheetId="19" hidden="1">'20'!#REF!,'20'!#REF!,'20'!#REF!,'20'!#REF!,'20'!$4:$21,'20'!$28:$52,'20'!$59:$75</definedName>
    <definedName name="Z_696C5A08_6B5C_4B07_9B14_11E12159ACF3_.wvu.Rows" localSheetId="19" hidden="1">'20'!#REF!,'20'!#REF!,'20'!#REF!,'20'!#REF!,'20'!$28:$52,'20'!$59:$75</definedName>
    <definedName name="Z_743813BC_E137_480B_B63F_29E16C4A5D78_.wvu.Rows" localSheetId="19" hidden="1">'20'!#REF!,'20'!#REF!,'20'!#REF!,'20'!#REF!,'20'!$4:$21,'20'!$28:$52,'20'!$59:$75</definedName>
    <definedName name="Z_7CD6C56D_7191_499D_884D_23F062610490_.wvu.Rows" localSheetId="19" hidden="1">'20'!#REF!,'20'!#REF!,'20'!#REF!,'20'!#REF!,'20'!$4:$21,'20'!$28:$52,'20'!$59:$75</definedName>
    <definedName name="Z_8AB826A3_3F9F_46E8_8B3C_5D723650CD25_.wvu.Rows" localSheetId="19" hidden="1">'20'!#REF!,'20'!#REF!,'20'!#REF!,'20'!#REF!,'20'!$4:$21,'20'!$28:$52,'20'!$59:$75</definedName>
    <definedName name="Z_9231B71C_ABB0_4122_BB61_A0E14ED7FAC4_.wvu.Rows" localSheetId="19" hidden="1">'20'!#REF!,'20'!#REF!,'20'!#REF!,'20'!#REF!,'20'!$4:$21,'20'!$28:$52,'20'!$59:$75</definedName>
    <definedName name="Z_9CE42830_1BFE_4EEE_AD75_1C30A69A86B1_.wvu.Rows" localSheetId="19" hidden="1">'20'!#REF!,'20'!#REF!,'20'!#REF!,'20'!#REF!,'20'!$4:$21,'20'!$28:$52,'20'!$59:$75</definedName>
    <definedName name="Z_9EA36D12_6C5C_4BE0_9897_E6710354124D_.wvu.Rows" localSheetId="19" hidden="1">'20'!#REF!,'20'!#REF!,'20'!#REF!,'20'!#REF!,'20'!$4:$21,'20'!$28:$52,'20'!$59:$75</definedName>
    <definedName name="Z_A0F29F5B_FB6E_4C5E_B7A7_CDA651D38207_.wvu.Rows" localSheetId="19" hidden="1">'20'!#REF!,'20'!#REF!,'20'!#REF!,'20'!#REF!,'20'!$4:$21,'20'!$28:$52,'20'!$59:$75</definedName>
    <definedName name="Z_A567DF6A_4F50_45D4_A9C8_0879E17AFD34_.wvu.Rows" localSheetId="19" hidden="1">'20'!#REF!,'20'!#REF!,'20'!#REF!,'20'!#REF!,'20'!$4:$21,'20'!$28:$52,'20'!$59:$75</definedName>
    <definedName name="Z_B2CFD8C8_F8F8_47F1_9207_6BE81612C01C_.wvu.Rows" localSheetId="19" hidden="1">'20'!#REF!,'20'!#REF!,'20'!#REF!,'20'!#REF!,'20'!$4:$21,'20'!$28:$52,'20'!$59:$75</definedName>
    <definedName name="Z_BBF15C7D_3EAF_4D98_9096_5B67F6C46C47_.wvu.Rows" localSheetId="19" hidden="1">'20'!#REF!,'20'!#REF!,'20'!#REF!,'20'!#REF!,'20'!$28:$52,'20'!$59:$75</definedName>
    <definedName name="Z_C122BF8D_C115_42E1_B73A_F9B38D5EC060_.wvu.Rows" localSheetId="19" hidden="1">'20'!#REF!,'20'!#REF!,'20'!#REF!,'20'!#REF!,'20'!$4:$21,'20'!$28:$52,'20'!$59:$75</definedName>
    <definedName name="Z_C4D254D6_9D1C_4B3C_972D_15957FD05DD2_.wvu.Rows" localSheetId="19" hidden="1">'20'!#REF!,'20'!#REF!,'20'!#REF!,'20'!#REF!,'20'!$4:$21,'20'!$28:$52,'20'!$59:$75</definedName>
    <definedName name="Z_D4664C56_FB8A_499D_8E24_CCA12F97FAE9_.wvu.Rows" localSheetId="19" hidden="1">'20'!#REF!,'20'!#REF!,'20'!#REF!,'20'!#REF!,'20'!$4:$21,'20'!$28:$52,'20'!$59:$75</definedName>
    <definedName name="Z_DD995061_F552_4E13_8D40_A47EBB03245B_.wvu.Rows" localSheetId="19" hidden="1">'20'!#REF!,'20'!#REF!,'20'!#REF!,'20'!#REF!,'20'!$4:$21,'20'!$28:$52,'20'!$59:$75</definedName>
    <definedName name="Z_DE2F0B4F_79DE_40A0_A13B_9C7F63D3F970_.wvu.Rows" localSheetId="19" hidden="1">'20'!#REF!,'20'!#REF!,'20'!#REF!,'20'!#REF!,'20'!$4:$21,'20'!$28:$52,'20'!$59:$75</definedName>
    <definedName name="Z_E765F84B_EAF3_44AE_A058_C602C1E67401_.wvu.Rows" localSheetId="19" hidden="1">'20'!#REF!,'20'!#REF!,'20'!#REF!,'20'!#REF!,'20'!$4:$21,'20'!$28:$52,'20'!$59:$75</definedName>
    <definedName name="Z_F34DD4D3_7189_47AF_B853_F133E36CF124_.wvu.Rows" localSheetId="19" hidden="1">'20'!#REF!,'20'!#REF!,'20'!#REF!,'20'!#REF!,'20'!$4:$21,'20'!$28:$52,'20'!$59:$75</definedName>
    <definedName name="Z_F82F81AB_9C82_4E79_8CA3_CEB2B994FC06_.wvu.Rows" localSheetId="19" hidden="1">'20'!#REF!,'20'!#REF!,'20'!#REF!,'20'!#REF!,'20'!$4:$21,'20'!$28:$52,'20'!$59:$75</definedName>
    <definedName name="Z_F89CD5B0_594D_4248_B45D_59008422D599_.wvu.Rows" localSheetId="19" hidden="1">'20'!#REF!,'20'!#REF!,'20'!#REF!,'20'!#REF!,'20'!$4:$21,'20'!$28:$52,'20'!$59:$75</definedName>
    <definedName name="Z_03FBB0AD_5353_49C6_B595_178BC13C96AE_.wvu.Rows" localSheetId="20" hidden="1">'21'!#REF!,'21'!#REF!,'21'!#REF!,'21'!#REF!,'21'!$4:$21,'21'!$28:$52,'21'!$59:$75</definedName>
    <definedName name="Z_070961C3_1DC2_4518_83D7_B3F54BC58AE2_.wvu.Rows" localSheetId="20" hidden="1">'21'!#REF!,'21'!#REF!,'21'!#REF!,'21'!#REF!,'21'!$4:$21,'21'!$28:$52,'21'!$59:$75</definedName>
    <definedName name="Z_0B87D63B_15AD_4587_A73B_CA4B62BDFA01_.wvu.Rows" localSheetId="20" hidden="1">'21'!#REF!,'21'!#REF!,'21'!#REF!,'21'!#REF!,'21'!$4:$21,'21'!$28:$52,'21'!$59:$75</definedName>
    <definedName name="Z_1B9AB2B5_0A50_46C3_981D_8BE75BF62E46_.wvu.Rows" localSheetId="20" hidden="1">'21'!#REF!,'21'!#REF!,'21'!#REF!,'21'!#REF!,'21'!$4:$21,'21'!$28:$52,'21'!$59:$75</definedName>
    <definedName name="Z_20A0B2F7_9F51_4E3D_A024_0877F1F98F8D_.wvu.Rows" localSheetId="20" hidden="1">'21'!#REF!,'21'!#REF!,'21'!#REF!,'21'!#REF!,'21'!$4:$21,'21'!$28:$52,'21'!$59:$75</definedName>
    <definedName name="Z_2C3A3C66_1522_4337_93AC_DFC422DC8462_.wvu.Rows" localSheetId="20" hidden="1">'21'!#REF!,'21'!#REF!,'21'!#REF!,'21'!#REF!,'21'!$4:$21,'21'!$28:$52,'21'!$59:$75</definedName>
    <definedName name="Z_2E074C0E_3584_4321_A729_0961B34312BF_.wvu.Rows" localSheetId="20" hidden="1">'21'!#REF!,'21'!#REF!,'21'!#REF!,'21'!#REF!,'21'!$4:$21,'21'!$28:$52,'21'!$59:$75</definedName>
    <definedName name="Z_2FFCC83E_A488_4450_9F9E_FF506EAEF5FC_.wvu.Rows" localSheetId="20" hidden="1">'21'!#REF!,'21'!#REF!,'21'!#REF!,'21'!#REF!,'21'!$4:$21,'21'!$28:$52,'21'!$59:$75</definedName>
    <definedName name="Z_3351A924_D23D_45D7_8354_55677D787CA4_.wvu.Rows" localSheetId="20" hidden="1">'21'!#REF!,'21'!#REF!,'21'!#REF!,'21'!#REF!,'21'!$4:$21,'21'!$28:$52,'21'!$59:$75</definedName>
    <definedName name="Z_51E3BC0E_B24A_447A_BC0A_03881122E44E_.wvu.Rows" localSheetId="20" hidden="1">'21'!#REF!,'21'!#REF!,'21'!#REF!,'21'!#REF!,'21'!$4:$21,'21'!$28:$52,'21'!$59:$75</definedName>
    <definedName name="Z_5C60C8F2_A96A_4286_AB69_6A192D48B52D_.wvu.Rows" localSheetId="20" hidden="1">'21'!#REF!,'21'!#REF!,'21'!#REF!,'21'!#REF!,'21'!$4:$21,'21'!$28:$52,'21'!$59:$75</definedName>
    <definedName name="Z_667B099C_8E79_4490_AC67_CFE2B9F8FC8D_.wvu.Rows" localSheetId="20" hidden="1">'21'!#REF!,'21'!#REF!,'21'!#REF!,'21'!#REF!,'21'!$4:$21,'21'!$28:$52,'21'!$59:$75</definedName>
    <definedName name="Z_696C5A08_6B5C_4B07_9B14_11E12159ACF3_.wvu.Rows" localSheetId="20" hidden="1">'21'!#REF!,'21'!#REF!,'21'!#REF!,'21'!#REF!,'21'!$28:$52,'21'!$59:$75</definedName>
    <definedName name="Z_743813BC_E137_480B_B63F_29E16C4A5D78_.wvu.Rows" localSheetId="20" hidden="1">'21'!#REF!,'21'!#REF!,'21'!#REF!,'21'!#REF!,'21'!$4:$21,'21'!$28:$52,'21'!$59:$75</definedName>
    <definedName name="Z_7CD6C56D_7191_499D_884D_23F062610490_.wvu.Rows" localSheetId="20" hidden="1">'21'!#REF!,'21'!#REF!,'21'!#REF!,'21'!#REF!,'21'!$4:$21,'21'!$28:$52,'21'!$59:$75</definedName>
    <definedName name="Z_8AB826A3_3F9F_46E8_8B3C_5D723650CD25_.wvu.Rows" localSheetId="20" hidden="1">'21'!#REF!,'21'!#REF!,'21'!#REF!,'21'!#REF!,'21'!$4:$21,'21'!$28:$52,'21'!$59:$75</definedName>
    <definedName name="Z_9231B71C_ABB0_4122_BB61_A0E14ED7FAC4_.wvu.Rows" localSheetId="20" hidden="1">'21'!#REF!,'21'!#REF!,'21'!#REF!,'21'!#REF!,'21'!$4:$21,'21'!$28:$52,'21'!$59:$75</definedName>
    <definedName name="Z_9CE42830_1BFE_4EEE_AD75_1C30A69A86B1_.wvu.Rows" localSheetId="20" hidden="1">'21'!#REF!,'21'!#REF!,'21'!#REF!,'21'!#REF!,'21'!$4:$21,'21'!$28:$52,'21'!$59:$75</definedName>
    <definedName name="Z_9EA36D12_6C5C_4BE0_9897_E6710354124D_.wvu.Rows" localSheetId="20" hidden="1">'21'!#REF!,'21'!#REF!,'21'!#REF!,'21'!#REF!,'21'!$4:$21,'21'!$28:$52,'21'!$59:$75</definedName>
    <definedName name="Z_A0F29F5B_FB6E_4C5E_B7A7_CDA651D38207_.wvu.Rows" localSheetId="20" hidden="1">'21'!#REF!,'21'!#REF!,'21'!#REF!,'21'!#REF!,'21'!$4:$21,'21'!$28:$52,'21'!$59:$75</definedName>
    <definedName name="Z_A567DF6A_4F50_45D4_A9C8_0879E17AFD34_.wvu.Rows" localSheetId="20" hidden="1">'21'!#REF!,'21'!#REF!,'21'!#REF!,'21'!#REF!,'21'!$4:$21,'21'!$28:$52,'21'!$59:$75</definedName>
    <definedName name="Z_B2CFD8C8_F8F8_47F1_9207_6BE81612C01C_.wvu.Rows" localSheetId="20" hidden="1">'21'!#REF!,'21'!#REF!,'21'!#REF!,'21'!#REF!,'21'!$4:$21,'21'!$28:$52,'21'!$59:$75</definedName>
    <definedName name="Z_BBF15C7D_3EAF_4D98_9096_5B67F6C46C47_.wvu.Rows" localSheetId="20" hidden="1">'21'!#REF!,'21'!#REF!,'21'!#REF!,'21'!#REF!,'21'!$28:$52,'21'!$59:$75</definedName>
    <definedName name="Z_C122BF8D_C115_42E1_B73A_F9B38D5EC060_.wvu.Rows" localSheetId="20" hidden="1">'21'!#REF!,'21'!#REF!,'21'!#REF!,'21'!#REF!,'21'!$4:$21,'21'!$28:$52,'21'!$59:$75</definedName>
    <definedName name="Z_C4D254D6_9D1C_4B3C_972D_15957FD05DD2_.wvu.Rows" localSheetId="20" hidden="1">'21'!#REF!,'21'!#REF!,'21'!#REF!,'21'!#REF!,'21'!$4:$21,'21'!$28:$52,'21'!$59:$75</definedName>
    <definedName name="Z_D4664C56_FB8A_499D_8E24_CCA12F97FAE9_.wvu.Rows" localSheetId="20" hidden="1">'21'!#REF!,'21'!#REF!,'21'!#REF!,'21'!#REF!,'21'!$4:$21,'21'!$28:$52,'21'!$59:$75</definedName>
    <definedName name="Z_DD995061_F552_4E13_8D40_A47EBB03245B_.wvu.Rows" localSheetId="20" hidden="1">'21'!#REF!,'21'!#REF!,'21'!#REF!,'21'!#REF!,'21'!$4:$21,'21'!$28:$52,'21'!$59:$75</definedName>
    <definedName name="Z_DE2F0B4F_79DE_40A0_A13B_9C7F63D3F970_.wvu.Rows" localSheetId="20" hidden="1">'21'!#REF!,'21'!#REF!,'21'!#REF!,'21'!#REF!,'21'!$4:$21,'21'!$28:$52,'21'!$59:$75</definedName>
    <definedName name="Z_E765F84B_EAF3_44AE_A058_C602C1E67401_.wvu.Rows" localSheetId="20" hidden="1">'21'!#REF!,'21'!#REF!,'21'!#REF!,'21'!#REF!,'21'!$4:$21,'21'!$28:$52,'21'!$59:$75</definedName>
    <definedName name="Z_F34DD4D3_7189_47AF_B853_F133E36CF124_.wvu.Rows" localSheetId="20" hidden="1">'21'!#REF!,'21'!#REF!,'21'!#REF!,'21'!#REF!,'21'!$4:$21,'21'!$28:$52,'21'!$59:$75</definedName>
    <definedName name="Z_F82F81AB_9C82_4E79_8CA3_CEB2B994FC06_.wvu.Rows" localSheetId="20" hidden="1">'21'!#REF!,'21'!#REF!,'21'!#REF!,'21'!#REF!,'21'!$4:$21,'21'!$28:$52,'21'!$59:$75</definedName>
    <definedName name="Z_F89CD5B0_594D_4248_B45D_59008422D599_.wvu.Rows" localSheetId="20" hidden="1">'21'!#REF!,'21'!#REF!,'21'!#REF!,'21'!#REF!,'21'!$4:$21,'21'!$28:$52,'21'!$59:$75</definedName>
    <definedName name="Z_03FBB0AD_5353_49C6_B595_178BC13C96AE_.wvu.Rows" localSheetId="21" hidden="1">'22'!#REF!,'22'!#REF!,'22'!#REF!,'22'!#REF!,'22'!$4:$21,'22'!$28:$52,'22'!$59:$75</definedName>
    <definedName name="Z_070961C3_1DC2_4518_83D7_B3F54BC58AE2_.wvu.Rows" localSheetId="21" hidden="1">'22'!#REF!,'22'!#REF!,'22'!#REF!,'22'!#REF!,'22'!$4:$21,'22'!$28:$52,'22'!$59:$75</definedName>
    <definedName name="Z_0B87D63B_15AD_4587_A73B_CA4B62BDFA01_.wvu.Rows" localSheetId="21" hidden="1">'22'!#REF!,'22'!#REF!,'22'!#REF!,'22'!#REF!,'22'!$4:$21,'22'!$28:$52,'22'!$59:$75</definedName>
    <definedName name="Z_1B9AB2B5_0A50_46C3_981D_8BE75BF62E46_.wvu.Rows" localSheetId="21" hidden="1">'22'!#REF!,'22'!#REF!,'22'!#REF!,'22'!#REF!,'22'!$4:$21,'22'!$28:$52,'22'!$59:$75</definedName>
    <definedName name="Z_20A0B2F7_9F51_4E3D_A024_0877F1F98F8D_.wvu.Rows" localSheetId="21" hidden="1">'22'!#REF!,'22'!#REF!,'22'!#REF!,'22'!#REF!,'22'!$4:$21,'22'!$28:$52,'22'!$59:$75</definedName>
    <definedName name="Z_2C3A3C66_1522_4337_93AC_DFC422DC8462_.wvu.Rows" localSheetId="21" hidden="1">'22'!#REF!,'22'!#REF!,'22'!#REF!,'22'!#REF!,'22'!$4:$21,'22'!$28:$52,'22'!$59:$75</definedName>
    <definedName name="Z_2E074C0E_3584_4321_A729_0961B34312BF_.wvu.Rows" localSheetId="21" hidden="1">'22'!#REF!,'22'!#REF!,'22'!#REF!,'22'!#REF!,'22'!$4:$21,'22'!$28:$52,'22'!$59:$75</definedName>
    <definedName name="Z_2FFCC83E_A488_4450_9F9E_FF506EAEF5FC_.wvu.Rows" localSheetId="21" hidden="1">'22'!#REF!,'22'!#REF!,'22'!#REF!,'22'!#REF!,'22'!$4:$21,'22'!$28:$52,'22'!$59:$75</definedName>
    <definedName name="Z_3351A924_D23D_45D7_8354_55677D787CA4_.wvu.Rows" localSheetId="21" hidden="1">'22'!#REF!,'22'!#REF!,'22'!#REF!,'22'!#REF!,'22'!$4:$21,'22'!$28:$52,'22'!$59:$75</definedName>
    <definedName name="Z_51E3BC0E_B24A_447A_BC0A_03881122E44E_.wvu.Rows" localSheetId="21" hidden="1">'22'!#REF!,'22'!#REF!,'22'!#REF!,'22'!#REF!,'22'!$4:$21,'22'!$28:$52,'22'!$59:$75</definedName>
    <definedName name="Z_5C60C8F2_A96A_4286_AB69_6A192D48B52D_.wvu.Rows" localSheetId="21" hidden="1">'22'!#REF!,'22'!#REF!,'22'!#REF!,'22'!#REF!,'22'!$4:$21,'22'!$28:$52,'22'!$59:$75</definedName>
    <definedName name="Z_667B099C_8E79_4490_AC67_CFE2B9F8FC8D_.wvu.Rows" localSheetId="21" hidden="1">'22'!#REF!,'22'!#REF!,'22'!#REF!,'22'!#REF!,'22'!$4:$21,'22'!$28:$52,'22'!$59:$75</definedName>
    <definedName name="Z_696C5A08_6B5C_4B07_9B14_11E12159ACF3_.wvu.Rows" localSheetId="21" hidden="1">'22'!#REF!,'22'!#REF!,'22'!#REF!,'22'!#REF!,'22'!$28:$52,'22'!$59:$75</definedName>
    <definedName name="Z_743813BC_E137_480B_B63F_29E16C4A5D78_.wvu.Rows" localSheetId="21" hidden="1">'22'!#REF!,'22'!#REF!,'22'!#REF!,'22'!#REF!,'22'!$4:$21,'22'!$28:$52,'22'!$59:$75</definedName>
    <definedName name="Z_7CD6C56D_7191_499D_884D_23F062610490_.wvu.Rows" localSheetId="21" hidden="1">'22'!#REF!,'22'!#REF!,'22'!#REF!,'22'!#REF!,'22'!$4:$21,'22'!$28:$52,'22'!$59:$75</definedName>
    <definedName name="Z_8AB826A3_3F9F_46E8_8B3C_5D723650CD25_.wvu.Rows" localSheetId="21" hidden="1">'22'!#REF!,'22'!#REF!,'22'!#REF!,'22'!#REF!,'22'!$4:$21,'22'!$28:$52,'22'!$59:$75</definedName>
    <definedName name="Z_9231B71C_ABB0_4122_BB61_A0E14ED7FAC4_.wvu.Rows" localSheetId="21" hidden="1">'22'!#REF!,'22'!#REF!,'22'!#REF!,'22'!#REF!,'22'!$4:$21,'22'!$28:$52,'22'!$59:$75</definedName>
    <definedName name="Z_9CE42830_1BFE_4EEE_AD75_1C30A69A86B1_.wvu.Rows" localSheetId="21" hidden="1">'22'!#REF!,'22'!#REF!,'22'!#REF!,'22'!#REF!,'22'!$4:$21,'22'!$28:$52,'22'!$59:$75</definedName>
    <definedName name="Z_9EA36D12_6C5C_4BE0_9897_E6710354124D_.wvu.Rows" localSheetId="21" hidden="1">'22'!#REF!,'22'!#REF!,'22'!#REF!,'22'!#REF!,'22'!$4:$21,'22'!$28:$52,'22'!$59:$75</definedName>
    <definedName name="Z_A0F29F5B_FB6E_4C5E_B7A7_CDA651D38207_.wvu.Rows" localSheetId="21" hidden="1">'22'!#REF!,'22'!#REF!,'22'!#REF!,'22'!#REF!,'22'!$4:$21,'22'!$28:$52,'22'!$59:$75</definedName>
    <definedName name="Z_A567DF6A_4F50_45D4_A9C8_0879E17AFD34_.wvu.Rows" localSheetId="21" hidden="1">'22'!#REF!,'22'!#REF!,'22'!#REF!,'22'!#REF!,'22'!$4:$21,'22'!$28:$52,'22'!$59:$75</definedName>
    <definedName name="Z_B2CFD8C8_F8F8_47F1_9207_6BE81612C01C_.wvu.Rows" localSheetId="21" hidden="1">'22'!#REF!,'22'!#REF!,'22'!#REF!,'22'!#REF!,'22'!$4:$21,'22'!$28:$52,'22'!$59:$75</definedName>
    <definedName name="Z_BBF15C7D_3EAF_4D98_9096_5B67F6C46C47_.wvu.Rows" localSheetId="21" hidden="1">'22'!#REF!,'22'!#REF!,'22'!#REF!,'22'!#REF!,'22'!$28:$52,'22'!$59:$75</definedName>
    <definedName name="Z_C122BF8D_C115_42E1_B73A_F9B38D5EC060_.wvu.Rows" localSheetId="21" hidden="1">'22'!#REF!,'22'!#REF!,'22'!#REF!,'22'!#REF!,'22'!$4:$21,'22'!$28:$52,'22'!$59:$75</definedName>
    <definedName name="Z_C4D254D6_9D1C_4B3C_972D_15957FD05DD2_.wvu.Rows" localSheetId="21" hidden="1">'22'!#REF!,'22'!#REF!,'22'!#REF!,'22'!#REF!,'22'!$4:$21,'22'!$28:$52,'22'!$59:$75</definedName>
    <definedName name="Z_D4664C56_FB8A_499D_8E24_CCA12F97FAE9_.wvu.Rows" localSheetId="21" hidden="1">'22'!#REF!,'22'!#REF!,'22'!#REF!,'22'!#REF!,'22'!$4:$21,'22'!$28:$52,'22'!$59:$75</definedName>
    <definedName name="Z_DD995061_F552_4E13_8D40_A47EBB03245B_.wvu.Rows" localSheetId="21" hidden="1">'22'!#REF!,'22'!#REF!,'22'!#REF!,'22'!#REF!,'22'!$4:$21,'22'!$28:$52,'22'!$59:$75</definedName>
    <definedName name="Z_DE2F0B4F_79DE_40A0_A13B_9C7F63D3F970_.wvu.Rows" localSheetId="21" hidden="1">'22'!#REF!,'22'!#REF!,'22'!#REF!,'22'!#REF!,'22'!$4:$21,'22'!$28:$52,'22'!$59:$75</definedName>
    <definedName name="Z_E765F84B_EAF3_44AE_A058_C602C1E67401_.wvu.Rows" localSheetId="21" hidden="1">'22'!#REF!,'22'!#REF!,'22'!#REF!,'22'!#REF!,'22'!$4:$21,'22'!$28:$52,'22'!$59:$75</definedName>
    <definedName name="Z_F34DD4D3_7189_47AF_B853_F133E36CF124_.wvu.Rows" localSheetId="21" hidden="1">'22'!#REF!,'22'!#REF!,'22'!#REF!,'22'!#REF!,'22'!$4:$21,'22'!$28:$52,'22'!$59:$75</definedName>
    <definedName name="Z_F82F81AB_9C82_4E79_8CA3_CEB2B994FC06_.wvu.Rows" localSheetId="21" hidden="1">'22'!#REF!,'22'!#REF!,'22'!#REF!,'22'!#REF!,'22'!$4:$21,'22'!$28:$52,'22'!$59:$75</definedName>
    <definedName name="Z_F89CD5B0_594D_4248_B45D_59008422D599_.wvu.Rows" localSheetId="21" hidden="1">'22'!#REF!,'22'!#REF!,'22'!#REF!,'22'!#REF!,'22'!$4:$21,'22'!$28:$52,'22'!$59:$75</definedName>
    <definedName name="Z_03FBB0AD_5353_49C6_B595_178BC13C96AE_.wvu.Rows" localSheetId="22" hidden="1">'23'!#REF!,'23'!#REF!,'23'!#REF!,'23'!#REF!,'23'!$4:$21,'23'!$28:$52,'23'!$59:$75</definedName>
    <definedName name="Z_070961C3_1DC2_4518_83D7_B3F54BC58AE2_.wvu.Rows" localSheetId="22" hidden="1">'23'!#REF!,'23'!#REF!,'23'!#REF!,'23'!#REF!,'23'!$4:$21,'23'!$28:$52,'23'!$59:$75</definedName>
    <definedName name="Z_0B87D63B_15AD_4587_A73B_CA4B62BDFA01_.wvu.Rows" localSheetId="22" hidden="1">'23'!#REF!,'23'!#REF!,'23'!#REF!,'23'!#REF!,'23'!$4:$21,'23'!$28:$52,'23'!$59:$75</definedName>
    <definedName name="Z_1B9AB2B5_0A50_46C3_981D_8BE75BF62E46_.wvu.Rows" localSheetId="22" hidden="1">'23'!#REF!,'23'!#REF!,'23'!#REF!,'23'!#REF!,'23'!$4:$21,'23'!$28:$52,'23'!$59:$75</definedName>
    <definedName name="Z_20A0B2F7_9F51_4E3D_A024_0877F1F98F8D_.wvu.Rows" localSheetId="22" hidden="1">'23'!#REF!,'23'!#REF!,'23'!#REF!,'23'!#REF!,'23'!$4:$21,'23'!$28:$52,'23'!$59:$75</definedName>
    <definedName name="Z_2C3A3C66_1522_4337_93AC_DFC422DC8462_.wvu.Rows" localSheetId="22" hidden="1">'23'!#REF!,'23'!#REF!,'23'!#REF!,'23'!#REF!,'23'!$4:$21,'23'!$28:$52,'23'!$59:$75</definedName>
    <definedName name="Z_2E074C0E_3584_4321_A729_0961B34312BF_.wvu.Rows" localSheetId="22" hidden="1">'23'!#REF!,'23'!#REF!,'23'!#REF!,'23'!#REF!,'23'!$4:$21,'23'!$28:$52,'23'!$59:$75</definedName>
    <definedName name="Z_2FFCC83E_A488_4450_9F9E_FF506EAEF5FC_.wvu.Rows" localSheetId="22" hidden="1">'23'!#REF!,'23'!#REF!,'23'!#REF!,'23'!#REF!,'23'!$4:$21,'23'!$28:$52,'23'!$59:$75</definedName>
    <definedName name="Z_3351A924_D23D_45D7_8354_55677D787CA4_.wvu.Rows" localSheetId="22" hidden="1">'23'!#REF!,'23'!#REF!,'23'!#REF!,'23'!#REF!,'23'!$4:$21,'23'!$28:$52,'23'!$59:$75</definedName>
    <definedName name="Z_51E3BC0E_B24A_447A_BC0A_03881122E44E_.wvu.Rows" localSheetId="22" hidden="1">'23'!#REF!,'23'!#REF!,'23'!#REF!,'23'!#REF!,'23'!$4:$21,'23'!$28:$52,'23'!$59:$75</definedName>
    <definedName name="Z_5C60C8F2_A96A_4286_AB69_6A192D48B52D_.wvu.Rows" localSheetId="22" hidden="1">'23'!#REF!,'23'!#REF!,'23'!#REF!,'23'!#REF!,'23'!$4:$21,'23'!$28:$52,'23'!$59:$75</definedName>
    <definedName name="Z_667B099C_8E79_4490_AC67_CFE2B9F8FC8D_.wvu.Rows" localSheetId="22" hidden="1">'23'!#REF!,'23'!#REF!,'23'!#REF!,'23'!#REF!,'23'!$4:$21,'23'!$28:$52,'23'!$59:$75</definedName>
    <definedName name="Z_696C5A08_6B5C_4B07_9B14_11E12159ACF3_.wvu.Rows" localSheetId="22" hidden="1">'23'!#REF!,'23'!#REF!,'23'!#REF!,'23'!#REF!,'23'!$28:$52,'23'!$59:$75</definedName>
    <definedName name="Z_743813BC_E137_480B_B63F_29E16C4A5D78_.wvu.Rows" localSheetId="22" hidden="1">'23'!#REF!,'23'!#REF!,'23'!#REF!,'23'!#REF!,'23'!$4:$21,'23'!$28:$52,'23'!$59:$75</definedName>
    <definedName name="Z_7CD6C56D_7191_499D_884D_23F062610490_.wvu.Rows" localSheetId="22" hidden="1">'23'!#REF!,'23'!#REF!,'23'!#REF!,'23'!#REF!,'23'!$4:$21,'23'!$28:$52,'23'!$59:$75</definedName>
    <definedName name="Z_8AB826A3_3F9F_46E8_8B3C_5D723650CD25_.wvu.Rows" localSheetId="22" hidden="1">'23'!#REF!,'23'!#REF!,'23'!#REF!,'23'!#REF!,'23'!$4:$21,'23'!$28:$52,'23'!$59:$75</definedName>
    <definedName name="Z_9231B71C_ABB0_4122_BB61_A0E14ED7FAC4_.wvu.Rows" localSheetId="22" hidden="1">'23'!#REF!,'23'!#REF!,'23'!#REF!,'23'!#REF!,'23'!$4:$21,'23'!$28:$52,'23'!$59:$75</definedName>
    <definedName name="Z_9CE42830_1BFE_4EEE_AD75_1C30A69A86B1_.wvu.Rows" localSheetId="22" hidden="1">'23'!#REF!,'23'!#REF!,'23'!#REF!,'23'!#REF!,'23'!$4:$21,'23'!$28:$52,'23'!$59:$75</definedName>
    <definedName name="Z_9EA36D12_6C5C_4BE0_9897_E6710354124D_.wvu.Rows" localSheetId="22" hidden="1">'23'!#REF!,'23'!#REF!,'23'!#REF!,'23'!#REF!,'23'!$4:$21,'23'!$28:$52,'23'!$59:$75</definedName>
    <definedName name="Z_A0F29F5B_FB6E_4C5E_B7A7_CDA651D38207_.wvu.Rows" localSheetId="22" hidden="1">'23'!#REF!,'23'!#REF!,'23'!#REF!,'23'!#REF!,'23'!$4:$21,'23'!$28:$52,'23'!$59:$75</definedName>
    <definedName name="Z_A567DF6A_4F50_45D4_A9C8_0879E17AFD34_.wvu.Rows" localSheetId="22" hidden="1">'23'!#REF!,'23'!#REF!,'23'!#REF!,'23'!#REF!,'23'!$4:$21,'23'!$28:$52,'23'!$59:$75</definedName>
    <definedName name="Z_B2CFD8C8_F8F8_47F1_9207_6BE81612C01C_.wvu.Rows" localSheetId="22" hidden="1">'23'!#REF!,'23'!#REF!,'23'!#REF!,'23'!#REF!,'23'!$4:$21,'23'!$28:$52,'23'!$59:$75</definedName>
    <definedName name="Z_BBF15C7D_3EAF_4D98_9096_5B67F6C46C47_.wvu.Rows" localSheetId="22" hidden="1">'23'!#REF!,'23'!#REF!,'23'!#REF!,'23'!#REF!,'23'!$28:$52,'23'!$59:$75</definedName>
    <definedName name="Z_C122BF8D_C115_42E1_B73A_F9B38D5EC060_.wvu.Rows" localSheetId="22" hidden="1">'23'!#REF!,'23'!#REF!,'23'!#REF!,'23'!#REF!,'23'!$4:$21,'23'!$28:$52,'23'!$59:$75</definedName>
    <definedName name="Z_C4D254D6_9D1C_4B3C_972D_15957FD05DD2_.wvu.Rows" localSheetId="22" hidden="1">'23'!#REF!,'23'!#REF!,'23'!#REF!,'23'!#REF!,'23'!$4:$21,'23'!$28:$52,'23'!$59:$75</definedName>
    <definedName name="Z_D4664C56_FB8A_499D_8E24_CCA12F97FAE9_.wvu.Rows" localSheetId="22" hidden="1">'23'!#REF!,'23'!#REF!,'23'!#REF!,'23'!#REF!,'23'!$4:$21,'23'!$28:$52,'23'!$59:$75</definedName>
    <definedName name="Z_DD995061_F552_4E13_8D40_A47EBB03245B_.wvu.Rows" localSheetId="22" hidden="1">'23'!#REF!,'23'!#REF!,'23'!#REF!,'23'!#REF!,'23'!$4:$21,'23'!$28:$52,'23'!$59:$75</definedName>
    <definedName name="Z_DE2F0B4F_79DE_40A0_A13B_9C7F63D3F970_.wvu.Rows" localSheetId="22" hidden="1">'23'!#REF!,'23'!#REF!,'23'!#REF!,'23'!#REF!,'23'!$4:$21,'23'!$28:$52,'23'!$59:$75</definedName>
    <definedName name="Z_E765F84B_EAF3_44AE_A058_C602C1E67401_.wvu.Rows" localSheetId="22" hidden="1">'23'!#REF!,'23'!#REF!,'23'!#REF!,'23'!#REF!,'23'!$4:$21,'23'!$28:$52,'23'!$59:$75</definedName>
    <definedName name="Z_F34DD4D3_7189_47AF_B853_F133E36CF124_.wvu.Rows" localSheetId="22" hidden="1">'23'!#REF!,'23'!#REF!,'23'!#REF!,'23'!#REF!,'23'!$4:$21,'23'!$28:$52,'23'!$59:$75</definedName>
    <definedName name="Z_F82F81AB_9C82_4E79_8CA3_CEB2B994FC06_.wvu.Rows" localSheetId="22" hidden="1">'23'!#REF!,'23'!#REF!,'23'!#REF!,'23'!#REF!,'23'!$4:$21,'23'!$28:$52,'23'!$59:$75</definedName>
    <definedName name="Z_F89CD5B0_594D_4248_B45D_59008422D599_.wvu.Rows" localSheetId="22" hidden="1">'23'!#REF!,'23'!#REF!,'23'!#REF!,'23'!#REF!,'23'!$4:$21,'23'!$28:$52,'23'!$59:$75</definedName>
    <definedName name="Z_03FBB0AD_5353_49C6_B595_178BC13C96AE_.wvu.Rows" localSheetId="23" hidden="1">'24'!#REF!,'24'!#REF!,'24'!#REF!,'24'!#REF!,'24'!$4:$21,'24'!$28:$52,'24'!$59:$75</definedName>
    <definedName name="Z_070961C3_1DC2_4518_83D7_B3F54BC58AE2_.wvu.Rows" localSheetId="23" hidden="1">'24'!#REF!,'24'!#REF!,'24'!#REF!,'24'!#REF!,'24'!$4:$21,'24'!$28:$52,'24'!$59:$75</definedName>
    <definedName name="Z_0B87D63B_15AD_4587_A73B_CA4B62BDFA01_.wvu.Rows" localSheetId="23" hidden="1">'24'!#REF!,'24'!#REF!,'24'!#REF!,'24'!#REF!,'24'!$4:$21,'24'!$28:$52,'24'!$59:$75</definedName>
    <definedName name="Z_1B9AB2B5_0A50_46C3_981D_8BE75BF62E46_.wvu.Rows" localSheetId="23" hidden="1">'24'!#REF!,'24'!#REF!,'24'!#REF!,'24'!#REF!,'24'!$4:$21,'24'!$28:$52,'24'!$59:$75</definedName>
    <definedName name="Z_20A0B2F7_9F51_4E3D_A024_0877F1F98F8D_.wvu.Rows" localSheetId="23" hidden="1">'24'!#REF!,'24'!#REF!,'24'!#REF!,'24'!#REF!,'24'!$4:$21,'24'!$28:$52,'24'!$59:$75</definedName>
    <definedName name="Z_2C3A3C66_1522_4337_93AC_DFC422DC8462_.wvu.Rows" localSheetId="23" hidden="1">'24'!#REF!,'24'!#REF!,'24'!#REF!,'24'!#REF!,'24'!$4:$21,'24'!$28:$52,'24'!$59:$75</definedName>
    <definedName name="Z_2E074C0E_3584_4321_A729_0961B34312BF_.wvu.Rows" localSheetId="23" hidden="1">'24'!#REF!,'24'!#REF!,'24'!#REF!,'24'!#REF!,'24'!$4:$21,'24'!$28:$52,'24'!$59:$75</definedName>
    <definedName name="Z_2FFCC83E_A488_4450_9F9E_FF506EAEF5FC_.wvu.Rows" localSheetId="23" hidden="1">'24'!#REF!,'24'!#REF!,'24'!#REF!,'24'!#REF!,'24'!$4:$21,'24'!$28:$52,'24'!$59:$75</definedName>
    <definedName name="Z_3351A924_D23D_45D7_8354_55677D787CA4_.wvu.Rows" localSheetId="23" hidden="1">'24'!#REF!,'24'!#REF!,'24'!#REF!,'24'!#REF!,'24'!$4:$21,'24'!$28:$52,'24'!$59:$75</definedName>
    <definedName name="Z_51E3BC0E_B24A_447A_BC0A_03881122E44E_.wvu.Rows" localSheetId="23" hidden="1">'24'!#REF!,'24'!#REF!,'24'!#REF!,'24'!#REF!,'24'!$4:$21,'24'!$28:$52,'24'!$59:$75</definedName>
    <definedName name="Z_5C60C8F2_A96A_4286_AB69_6A192D48B52D_.wvu.Rows" localSheetId="23" hidden="1">'24'!#REF!,'24'!#REF!,'24'!#REF!,'24'!#REF!,'24'!$4:$21,'24'!$28:$52,'24'!$59:$75</definedName>
    <definedName name="Z_667B099C_8E79_4490_AC67_CFE2B9F8FC8D_.wvu.Rows" localSheetId="23" hidden="1">'24'!#REF!,'24'!#REF!,'24'!#REF!,'24'!#REF!,'24'!$4:$21,'24'!$28:$52,'24'!$59:$75</definedName>
    <definedName name="Z_696C5A08_6B5C_4B07_9B14_11E12159ACF3_.wvu.Rows" localSheetId="23" hidden="1">'24'!#REF!,'24'!#REF!,'24'!#REF!,'24'!#REF!,'24'!$28:$52,'24'!$59:$75</definedName>
    <definedName name="Z_743813BC_E137_480B_B63F_29E16C4A5D78_.wvu.Rows" localSheetId="23" hidden="1">'24'!#REF!,'24'!#REF!,'24'!#REF!,'24'!#REF!,'24'!$4:$21,'24'!$28:$52,'24'!$59:$75</definedName>
    <definedName name="Z_7CD6C56D_7191_499D_884D_23F062610490_.wvu.Rows" localSheetId="23" hidden="1">'24'!#REF!,'24'!#REF!,'24'!#REF!,'24'!#REF!,'24'!$4:$21,'24'!$28:$52,'24'!$59:$75</definedName>
    <definedName name="Z_8AB826A3_3F9F_46E8_8B3C_5D723650CD25_.wvu.Rows" localSheetId="23" hidden="1">'24'!#REF!,'24'!#REF!,'24'!#REF!,'24'!#REF!,'24'!$4:$21,'24'!$28:$52,'24'!$59:$75</definedName>
    <definedName name="Z_9231B71C_ABB0_4122_BB61_A0E14ED7FAC4_.wvu.Rows" localSheetId="23" hidden="1">'24'!#REF!,'24'!#REF!,'24'!#REF!,'24'!#REF!,'24'!$4:$21,'24'!$28:$52,'24'!$59:$75</definedName>
    <definedName name="Z_9CE42830_1BFE_4EEE_AD75_1C30A69A86B1_.wvu.Rows" localSheetId="23" hidden="1">'24'!#REF!,'24'!#REF!,'24'!#REF!,'24'!#REF!,'24'!$4:$21,'24'!$28:$52,'24'!$59:$75</definedName>
    <definedName name="Z_9EA36D12_6C5C_4BE0_9897_E6710354124D_.wvu.Rows" localSheetId="23" hidden="1">'24'!#REF!,'24'!#REF!,'24'!#REF!,'24'!#REF!,'24'!$4:$21,'24'!$28:$52,'24'!$59:$75</definedName>
    <definedName name="Z_A0F29F5B_FB6E_4C5E_B7A7_CDA651D38207_.wvu.Rows" localSheetId="23" hidden="1">'24'!#REF!,'24'!#REF!,'24'!#REF!,'24'!#REF!,'24'!$4:$21,'24'!$28:$52,'24'!$59:$75</definedName>
    <definedName name="Z_A567DF6A_4F50_45D4_A9C8_0879E17AFD34_.wvu.Rows" localSheetId="23" hidden="1">'24'!#REF!,'24'!#REF!,'24'!#REF!,'24'!#REF!,'24'!$4:$21,'24'!$28:$52,'24'!$59:$75</definedName>
    <definedName name="Z_B2CFD8C8_F8F8_47F1_9207_6BE81612C01C_.wvu.Rows" localSheetId="23" hidden="1">'24'!#REF!,'24'!#REF!,'24'!#REF!,'24'!#REF!,'24'!$4:$21,'24'!$28:$52,'24'!$59:$75</definedName>
    <definedName name="Z_BBF15C7D_3EAF_4D98_9096_5B67F6C46C47_.wvu.Rows" localSheetId="23" hidden="1">'24'!#REF!,'24'!#REF!,'24'!#REF!,'24'!#REF!,'24'!$28:$52,'24'!$59:$75</definedName>
    <definedName name="Z_C122BF8D_C115_42E1_B73A_F9B38D5EC060_.wvu.Rows" localSheetId="23" hidden="1">'24'!#REF!,'24'!#REF!,'24'!#REF!,'24'!#REF!,'24'!$4:$21,'24'!$28:$52,'24'!$59:$75</definedName>
    <definedName name="Z_C4D254D6_9D1C_4B3C_972D_15957FD05DD2_.wvu.Rows" localSheetId="23" hidden="1">'24'!#REF!,'24'!#REF!,'24'!#REF!,'24'!#REF!,'24'!$4:$21,'24'!$28:$52,'24'!$59:$75</definedName>
    <definedName name="Z_D4664C56_FB8A_499D_8E24_CCA12F97FAE9_.wvu.Rows" localSheetId="23" hidden="1">'24'!#REF!,'24'!#REF!,'24'!#REF!,'24'!#REF!,'24'!$4:$21,'24'!$28:$52,'24'!$59:$75</definedName>
    <definedName name="Z_DD995061_F552_4E13_8D40_A47EBB03245B_.wvu.Rows" localSheetId="23" hidden="1">'24'!#REF!,'24'!#REF!,'24'!#REF!,'24'!#REF!,'24'!$4:$21,'24'!$28:$52,'24'!$59:$75</definedName>
    <definedName name="Z_DE2F0B4F_79DE_40A0_A13B_9C7F63D3F970_.wvu.Rows" localSheetId="23" hidden="1">'24'!#REF!,'24'!#REF!,'24'!#REF!,'24'!#REF!,'24'!$4:$21,'24'!$28:$52,'24'!$59:$75</definedName>
    <definedName name="Z_E765F84B_EAF3_44AE_A058_C602C1E67401_.wvu.Rows" localSheetId="23" hidden="1">'24'!#REF!,'24'!#REF!,'24'!#REF!,'24'!#REF!,'24'!$4:$21,'24'!$28:$52,'24'!$59:$75</definedName>
    <definedName name="Z_F34DD4D3_7189_47AF_B853_F133E36CF124_.wvu.Rows" localSheetId="23" hidden="1">'24'!#REF!,'24'!#REF!,'24'!#REF!,'24'!#REF!,'24'!$4:$21,'24'!$28:$52,'24'!$59:$75</definedName>
    <definedName name="Z_F82F81AB_9C82_4E79_8CA3_CEB2B994FC06_.wvu.Rows" localSheetId="23" hidden="1">'24'!#REF!,'24'!#REF!,'24'!#REF!,'24'!#REF!,'24'!$4:$21,'24'!$28:$52,'24'!$59:$75</definedName>
    <definedName name="Z_F89CD5B0_594D_4248_B45D_59008422D599_.wvu.Rows" localSheetId="23" hidden="1">'24'!#REF!,'24'!#REF!,'24'!#REF!,'24'!#REF!,'24'!$4:$21,'24'!$28:$52,'24'!$59:$75</definedName>
    <definedName name="Z_03FBB0AD_5353_49C6_B595_178BC13C96AE_.wvu.Rows" localSheetId="24" hidden="1">'25'!#REF!,'25'!#REF!,'25'!#REF!,'25'!#REF!,'25'!$4:$21,'25'!$28:$52,'25'!$59:$75</definedName>
    <definedName name="Z_070961C3_1DC2_4518_83D7_B3F54BC58AE2_.wvu.Rows" localSheetId="24" hidden="1">'25'!#REF!,'25'!#REF!,'25'!#REF!,'25'!#REF!,'25'!$4:$21,'25'!$28:$52,'25'!$59:$75</definedName>
    <definedName name="Z_0B87D63B_15AD_4587_A73B_CA4B62BDFA01_.wvu.Rows" localSheetId="24" hidden="1">'25'!#REF!,'25'!#REF!,'25'!#REF!,'25'!#REF!,'25'!$4:$21,'25'!$28:$52,'25'!$59:$75</definedName>
    <definedName name="Z_1B9AB2B5_0A50_46C3_981D_8BE75BF62E46_.wvu.Rows" localSheetId="24" hidden="1">'25'!#REF!,'25'!#REF!,'25'!#REF!,'25'!#REF!,'25'!$4:$21,'25'!$28:$52,'25'!$59:$75</definedName>
    <definedName name="Z_20A0B2F7_9F51_4E3D_A024_0877F1F98F8D_.wvu.Rows" localSheetId="24" hidden="1">'25'!#REF!,'25'!#REF!,'25'!#REF!,'25'!#REF!,'25'!$4:$21,'25'!$28:$52,'25'!$59:$75</definedName>
    <definedName name="Z_2C3A3C66_1522_4337_93AC_DFC422DC8462_.wvu.Rows" localSheetId="24" hidden="1">'25'!#REF!,'25'!#REF!,'25'!#REF!,'25'!#REF!,'25'!$4:$21,'25'!$28:$52,'25'!$59:$75</definedName>
    <definedName name="Z_2E074C0E_3584_4321_A729_0961B34312BF_.wvu.Rows" localSheetId="24" hidden="1">'25'!#REF!,'25'!#REF!,'25'!#REF!,'25'!#REF!,'25'!$4:$21,'25'!$28:$52,'25'!$59:$75</definedName>
    <definedName name="Z_2FFCC83E_A488_4450_9F9E_FF506EAEF5FC_.wvu.Rows" localSheetId="24" hidden="1">'25'!#REF!,'25'!#REF!,'25'!#REF!,'25'!#REF!,'25'!$4:$21,'25'!$28:$52,'25'!$59:$75</definedName>
    <definedName name="Z_3351A924_D23D_45D7_8354_55677D787CA4_.wvu.Rows" localSheetId="24" hidden="1">'25'!#REF!,'25'!#REF!,'25'!#REF!,'25'!#REF!,'25'!$4:$21,'25'!$28:$52,'25'!$59:$75</definedName>
    <definedName name="Z_51E3BC0E_B24A_447A_BC0A_03881122E44E_.wvu.Rows" localSheetId="24" hidden="1">'25'!#REF!,'25'!#REF!,'25'!#REF!,'25'!#REF!,'25'!$4:$21,'25'!$28:$52,'25'!$59:$75</definedName>
    <definedName name="Z_5C60C8F2_A96A_4286_AB69_6A192D48B52D_.wvu.Rows" localSheetId="24" hidden="1">'25'!#REF!,'25'!#REF!,'25'!#REF!,'25'!#REF!,'25'!$4:$21,'25'!$28:$52,'25'!$59:$75</definedName>
    <definedName name="Z_667B099C_8E79_4490_AC67_CFE2B9F8FC8D_.wvu.Rows" localSheetId="24" hidden="1">'25'!#REF!,'25'!#REF!,'25'!#REF!,'25'!#REF!,'25'!$4:$21,'25'!$28:$52,'25'!$59:$75</definedName>
    <definedName name="Z_696C5A08_6B5C_4B07_9B14_11E12159ACF3_.wvu.Rows" localSheetId="24" hidden="1">'25'!#REF!,'25'!#REF!,'25'!#REF!,'25'!#REF!,'25'!$28:$52,'25'!$59:$75</definedName>
    <definedName name="Z_743813BC_E137_480B_B63F_29E16C4A5D78_.wvu.Rows" localSheetId="24" hidden="1">'25'!#REF!,'25'!#REF!,'25'!#REF!,'25'!#REF!,'25'!$4:$21,'25'!$28:$52,'25'!$59:$75</definedName>
    <definedName name="Z_7CD6C56D_7191_499D_884D_23F062610490_.wvu.Rows" localSheetId="24" hidden="1">'25'!#REF!,'25'!#REF!,'25'!#REF!,'25'!#REF!,'25'!$4:$21,'25'!$28:$52,'25'!$59:$75</definedName>
    <definedName name="Z_8AB826A3_3F9F_46E8_8B3C_5D723650CD25_.wvu.Rows" localSheetId="24" hidden="1">'25'!#REF!,'25'!#REF!,'25'!#REF!,'25'!#REF!,'25'!$4:$21,'25'!$28:$52,'25'!$59:$75</definedName>
    <definedName name="Z_9231B71C_ABB0_4122_BB61_A0E14ED7FAC4_.wvu.Rows" localSheetId="24" hidden="1">'25'!#REF!,'25'!#REF!,'25'!#REF!,'25'!#REF!,'25'!$4:$21,'25'!$28:$52,'25'!$59:$75</definedName>
    <definedName name="Z_9CE42830_1BFE_4EEE_AD75_1C30A69A86B1_.wvu.Rows" localSheetId="24" hidden="1">'25'!#REF!,'25'!#REF!,'25'!#REF!,'25'!#REF!,'25'!$4:$21,'25'!$28:$52,'25'!$59:$75</definedName>
    <definedName name="Z_9EA36D12_6C5C_4BE0_9897_E6710354124D_.wvu.Rows" localSheetId="24" hidden="1">'25'!#REF!,'25'!#REF!,'25'!#REF!,'25'!#REF!,'25'!$4:$21,'25'!$28:$52,'25'!$59:$75</definedName>
    <definedName name="Z_A0F29F5B_FB6E_4C5E_B7A7_CDA651D38207_.wvu.Rows" localSheetId="24" hidden="1">'25'!#REF!,'25'!#REF!,'25'!#REF!,'25'!#REF!,'25'!$4:$21,'25'!$28:$52,'25'!$59:$75</definedName>
    <definedName name="Z_A567DF6A_4F50_45D4_A9C8_0879E17AFD34_.wvu.Rows" localSheetId="24" hidden="1">'25'!#REF!,'25'!#REF!,'25'!#REF!,'25'!#REF!,'25'!$4:$21,'25'!$28:$52,'25'!$59:$75</definedName>
    <definedName name="Z_B2CFD8C8_F8F8_47F1_9207_6BE81612C01C_.wvu.Rows" localSheetId="24" hidden="1">'25'!#REF!,'25'!#REF!,'25'!#REF!,'25'!#REF!,'25'!$4:$21,'25'!$28:$52,'25'!$59:$75</definedName>
    <definedName name="Z_BBF15C7D_3EAF_4D98_9096_5B67F6C46C47_.wvu.Rows" localSheetId="24" hidden="1">'25'!#REF!,'25'!#REF!,'25'!#REF!,'25'!#REF!,'25'!$28:$52,'25'!$59:$75</definedName>
    <definedName name="Z_C122BF8D_C115_42E1_B73A_F9B38D5EC060_.wvu.Rows" localSheetId="24" hidden="1">'25'!#REF!,'25'!#REF!,'25'!#REF!,'25'!#REF!,'25'!$4:$21,'25'!$28:$52,'25'!$59:$75</definedName>
    <definedName name="Z_C4D254D6_9D1C_4B3C_972D_15957FD05DD2_.wvu.Rows" localSheetId="24" hidden="1">'25'!#REF!,'25'!#REF!,'25'!#REF!,'25'!#REF!,'25'!$4:$21,'25'!$28:$52,'25'!$59:$75</definedName>
    <definedName name="Z_D4664C56_FB8A_499D_8E24_CCA12F97FAE9_.wvu.Rows" localSheetId="24" hidden="1">'25'!#REF!,'25'!#REF!,'25'!#REF!,'25'!#REF!,'25'!$4:$21,'25'!$28:$52,'25'!$59:$75</definedName>
    <definedName name="Z_DD995061_F552_4E13_8D40_A47EBB03245B_.wvu.Rows" localSheetId="24" hidden="1">'25'!#REF!,'25'!#REF!,'25'!#REF!,'25'!#REF!,'25'!$4:$21,'25'!$28:$52,'25'!$59:$75</definedName>
    <definedName name="Z_DE2F0B4F_79DE_40A0_A13B_9C7F63D3F970_.wvu.Rows" localSheetId="24" hidden="1">'25'!#REF!,'25'!#REF!,'25'!#REF!,'25'!#REF!,'25'!$4:$21,'25'!$28:$52,'25'!$59:$75</definedName>
    <definedName name="Z_E765F84B_EAF3_44AE_A058_C602C1E67401_.wvu.Rows" localSheetId="24" hidden="1">'25'!#REF!,'25'!#REF!,'25'!#REF!,'25'!#REF!,'25'!$4:$21,'25'!$28:$52,'25'!$59:$75</definedName>
    <definedName name="Z_F34DD4D3_7189_47AF_B853_F133E36CF124_.wvu.Rows" localSheetId="24" hidden="1">'25'!#REF!,'25'!#REF!,'25'!#REF!,'25'!#REF!,'25'!$4:$21,'25'!$28:$52,'25'!$59:$75</definedName>
    <definedName name="Z_F82F81AB_9C82_4E79_8CA3_CEB2B994FC06_.wvu.Rows" localSheetId="24" hidden="1">'25'!#REF!,'25'!#REF!,'25'!#REF!,'25'!#REF!,'25'!$4:$21,'25'!$28:$52,'25'!$59:$75</definedName>
    <definedName name="Z_F89CD5B0_594D_4248_B45D_59008422D599_.wvu.Rows" localSheetId="24" hidden="1">'25'!#REF!,'25'!#REF!,'25'!#REF!,'25'!#REF!,'25'!$4:$21,'25'!$28:$52,'25'!$59:$75</definedName>
    <definedName name="Z_03FBB0AD_5353_49C6_B595_178BC13C96AE_.wvu.Rows" localSheetId="25" hidden="1">'26'!#REF!,'26'!#REF!,'26'!#REF!,'26'!#REF!,'26'!$4:$21,'26'!$28:$52,'26'!$59:$75</definedName>
    <definedName name="Z_070961C3_1DC2_4518_83D7_B3F54BC58AE2_.wvu.Rows" localSheetId="25" hidden="1">'26'!#REF!,'26'!#REF!,'26'!#REF!,'26'!#REF!,'26'!$4:$21,'26'!$28:$52,'26'!$59:$75</definedName>
    <definedName name="Z_0B87D63B_15AD_4587_A73B_CA4B62BDFA01_.wvu.Rows" localSheetId="25" hidden="1">'26'!#REF!,'26'!#REF!,'26'!#REF!,'26'!#REF!,'26'!$4:$21,'26'!$28:$52,'26'!$59:$75</definedName>
    <definedName name="Z_1B9AB2B5_0A50_46C3_981D_8BE75BF62E46_.wvu.Rows" localSheetId="25" hidden="1">'26'!#REF!,'26'!#REF!,'26'!#REF!,'26'!#REF!,'26'!$4:$21,'26'!$28:$52,'26'!$59:$75</definedName>
    <definedName name="Z_20A0B2F7_9F51_4E3D_A024_0877F1F98F8D_.wvu.Rows" localSheetId="25" hidden="1">'26'!#REF!,'26'!#REF!,'26'!#REF!,'26'!#REF!,'26'!$4:$21,'26'!$28:$52,'26'!$59:$75</definedName>
    <definedName name="Z_2C3A3C66_1522_4337_93AC_DFC422DC8462_.wvu.Rows" localSheetId="25" hidden="1">'26'!#REF!,'26'!#REF!,'26'!#REF!,'26'!#REF!,'26'!$4:$21,'26'!$28:$52,'26'!$59:$75</definedName>
    <definedName name="Z_2E074C0E_3584_4321_A729_0961B34312BF_.wvu.Rows" localSheetId="25" hidden="1">'26'!#REF!,'26'!#REF!,'26'!#REF!,'26'!#REF!,'26'!$4:$21,'26'!$28:$52,'26'!$59:$75</definedName>
    <definedName name="Z_2FFCC83E_A488_4450_9F9E_FF506EAEF5FC_.wvu.Rows" localSheetId="25" hidden="1">'26'!#REF!,'26'!#REF!,'26'!#REF!,'26'!#REF!,'26'!$4:$21,'26'!$28:$52,'26'!$59:$75</definedName>
    <definedName name="Z_3351A924_D23D_45D7_8354_55677D787CA4_.wvu.Rows" localSheetId="25" hidden="1">'26'!#REF!,'26'!#REF!,'26'!#REF!,'26'!#REF!,'26'!$4:$21,'26'!$28:$52,'26'!$59:$75</definedName>
    <definedName name="Z_51E3BC0E_B24A_447A_BC0A_03881122E44E_.wvu.Rows" localSheetId="25" hidden="1">'26'!#REF!,'26'!#REF!,'26'!#REF!,'26'!#REF!,'26'!$4:$21,'26'!$28:$52,'26'!$59:$75</definedName>
    <definedName name="Z_5C60C8F2_A96A_4286_AB69_6A192D48B52D_.wvu.Rows" localSheetId="25" hidden="1">'26'!#REF!,'26'!#REF!,'26'!#REF!,'26'!#REF!,'26'!$4:$21,'26'!$28:$52,'26'!$59:$75</definedName>
    <definedName name="Z_667B099C_8E79_4490_AC67_CFE2B9F8FC8D_.wvu.Rows" localSheetId="25" hidden="1">'26'!#REF!,'26'!#REF!,'26'!#REF!,'26'!#REF!,'26'!$4:$21,'26'!$28:$52,'26'!$59:$75</definedName>
    <definedName name="Z_696C5A08_6B5C_4B07_9B14_11E12159ACF3_.wvu.Rows" localSheetId="25" hidden="1">'26'!#REF!,'26'!#REF!,'26'!#REF!,'26'!#REF!,'26'!$28:$52,'26'!$59:$75</definedName>
    <definedName name="Z_743813BC_E137_480B_B63F_29E16C4A5D78_.wvu.Rows" localSheetId="25" hidden="1">'26'!#REF!,'26'!#REF!,'26'!#REF!,'26'!#REF!,'26'!$4:$21,'26'!$28:$52,'26'!$59:$75</definedName>
    <definedName name="Z_7CD6C56D_7191_499D_884D_23F062610490_.wvu.Rows" localSheetId="25" hidden="1">'26'!#REF!,'26'!#REF!,'26'!#REF!,'26'!#REF!,'26'!$4:$21,'26'!$28:$52,'26'!$59:$75</definedName>
    <definedName name="Z_8AB826A3_3F9F_46E8_8B3C_5D723650CD25_.wvu.Rows" localSheetId="25" hidden="1">'26'!#REF!,'26'!#REF!,'26'!#REF!,'26'!#REF!,'26'!$4:$21,'26'!$28:$52,'26'!$59:$75</definedName>
    <definedName name="Z_9231B71C_ABB0_4122_BB61_A0E14ED7FAC4_.wvu.Rows" localSheetId="25" hidden="1">'26'!#REF!,'26'!#REF!,'26'!#REF!,'26'!#REF!,'26'!$4:$21,'26'!$28:$52,'26'!$59:$75</definedName>
    <definedName name="Z_9CE42830_1BFE_4EEE_AD75_1C30A69A86B1_.wvu.Rows" localSheetId="25" hidden="1">'26'!#REF!,'26'!#REF!,'26'!#REF!,'26'!#REF!,'26'!$4:$21,'26'!$28:$52,'26'!$59:$75</definedName>
    <definedName name="Z_9EA36D12_6C5C_4BE0_9897_E6710354124D_.wvu.Rows" localSheetId="25" hidden="1">'26'!#REF!,'26'!#REF!,'26'!#REF!,'26'!#REF!,'26'!$4:$21,'26'!$28:$52,'26'!$59:$75</definedName>
    <definedName name="Z_A0F29F5B_FB6E_4C5E_B7A7_CDA651D38207_.wvu.Rows" localSheetId="25" hidden="1">'26'!#REF!,'26'!#REF!,'26'!#REF!,'26'!#REF!,'26'!$4:$21,'26'!$28:$52,'26'!$59:$75</definedName>
    <definedName name="Z_A567DF6A_4F50_45D4_A9C8_0879E17AFD34_.wvu.Rows" localSheetId="25" hidden="1">'26'!#REF!,'26'!#REF!,'26'!#REF!,'26'!#REF!,'26'!$4:$21,'26'!$28:$52,'26'!$59:$75</definedName>
    <definedName name="Z_B2CFD8C8_F8F8_47F1_9207_6BE81612C01C_.wvu.Rows" localSheetId="25" hidden="1">'26'!#REF!,'26'!#REF!,'26'!#REF!,'26'!#REF!,'26'!$4:$21,'26'!$28:$52,'26'!$59:$75</definedName>
    <definedName name="Z_BBF15C7D_3EAF_4D98_9096_5B67F6C46C47_.wvu.Rows" localSheetId="25" hidden="1">'26'!#REF!,'26'!#REF!,'26'!#REF!,'26'!#REF!,'26'!$28:$52,'26'!$59:$75</definedName>
    <definedName name="Z_C122BF8D_C115_42E1_B73A_F9B38D5EC060_.wvu.Rows" localSheetId="25" hidden="1">'26'!#REF!,'26'!#REF!,'26'!#REF!,'26'!#REF!,'26'!$4:$21,'26'!$28:$52,'26'!$59:$75</definedName>
    <definedName name="Z_C4D254D6_9D1C_4B3C_972D_15957FD05DD2_.wvu.Rows" localSheetId="25" hidden="1">'26'!#REF!,'26'!#REF!,'26'!#REF!,'26'!#REF!,'26'!$4:$21,'26'!$28:$52,'26'!$59:$75</definedName>
    <definedName name="Z_D4664C56_FB8A_499D_8E24_CCA12F97FAE9_.wvu.Rows" localSheetId="25" hidden="1">'26'!#REF!,'26'!#REF!,'26'!#REF!,'26'!#REF!,'26'!$4:$21,'26'!$28:$52,'26'!$59:$75</definedName>
    <definedName name="Z_DD995061_F552_4E13_8D40_A47EBB03245B_.wvu.Rows" localSheetId="25" hidden="1">'26'!#REF!,'26'!#REF!,'26'!#REF!,'26'!#REF!,'26'!$4:$21,'26'!$28:$52,'26'!$59:$75</definedName>
    <definedName name="Z_DE2F0B4F_79DE_40A0_A13B_9C7F63D3F970_.wvu.Rows" localSheetId="25" hidden="1">'26'!#REF!,'26'!#REF!,'26'!#REF!,'26'!#REF!,'26'!$4:$21,'26'!$28:$52,'26'!$59:$75</definedName>
    <definedName name="Z_E765F84B_EAF3_44AE_A058_C602C1E67401_.wvu.Rows" localSheetId="25" hidden="1">'26'!#REF!,'26'!#REF!,'26'!#REF!,'26'!#REF!,'26'!$4:$21,'26'!$28:$52,'26'!$59:$75</definedName>
    <definedName name="Z_F34DD4D3_7189_47AF_B853_F133E36CF124_.wvu.Rows" localSheetId="25" hidden="1">'26'!#REF!,'26'!#REF!,'26'!#REF!,'26'!#REF!,'26'!$4:$21,'26'!$28:$52,'26'!$59:$75</definedName>
    <definedName name="Z_F82F81AB_9C82_4E79_8CA3_CEB2B994FC06_.wvu.Rows" localSheetId="25" hidden="1">'26'!#REF!,'26'!#REF!,'26'!#REF!,'26'!#REF!,'26'!$4:$21,'26'!$28:$52,'26'!$59:$75</definedName>
    <definedName name="Z_F89CD5B0_594D_4248_B45D_59008422D599_.wvu.Rows" localSheetId="25" hidden="1">'26'!#REF!,'26'!#REF!,'26'!#REF!,'26'!#REF!,'26'!$4:$21,'26'!$28:$52,'26'!$59:$75</definedName>
    <definedName name="Z_03FBB0AD_5353_49C6_B595_178BC13C96AE_.wvu.Rows" localSheetId="26" hidden="1">'27'!#REF!,'27'!#REF!,'27'!#REF!,'27'!#REF!,'27'!$4:$21,'27'!$28:$52,'27'!$59:$75</definedName>
    <definedName name="Z_070961C3_1DC2_4518_83D7_B3F54BC58AE2_.wvu.Rows" localSheetId="26" hidden="1">'27'!#REF!,'27'!#REF!,'27'!#REF!,'27'!#REF!,'27'!$4:$21,'27'!$28:$52,'27'!$59:$75</definedName>
    <definedName name="Z_0B87D63B_15AD_4587_A73B_CA4B62BDFA01_.wvu.Rows" localSheetId="26" hidden="1">'27'!#REF!,'27'!#REF!,'27'!#REF!,'27'!#REF!,'27'!$4:$21,'27'!$28:$52,'27'!$59:$75</definedName>
    <definedName name="Z_1B9AB2B5_0A50_46C3_981D_8BE75BF62E46_.wvu.Rows" localSheetId="26" hidden="1">'27'!#REF!,'27'!#REF!,'27'!#REF!,'27'!#REF!,'27'!$4:$21,'27'!$28:$52,'27'!$59:$75</definedName>
    <definedName name="Z_20A0B2F7_9F51_4E3D_A024_0877F1F98F8D_.wvu.Rows" localSheetId="26" hidden="1">'27'!#REF!,'27'!#REF!,'27'!#REF!,'27'!#REF!,'27'!$4:$21,'27'!$28:$52,'27'!$59:$75</definedName>
    <definedName name="Z_2C3A3C66_1522_4337_93AC_DFC422DC8462_.wvu.Rows" localSheetId="26" hidden="1">'27'!#REF!,'27'!#REF!,'27'!#REF!,'27'!#REF!,'27'!$4:$21,'27'!$28:$52,'27'!$59:$75</definedName>
    <definedName name="Z_2E074C0E_3584_4321_A729_0961B34312BF_.wvu.Rows" localSheetId="26" hidden="1">'27'!#REF!,'27'!#REF!,'27'!#REF!,'27'!#REF!,'27'!$4:$21,'27'!$28:$52,'27'!$59:$75</definedName>
    <definedName name="Z_2FFCC83E_A488_4450_9F9E_FF506EAEF5FC_.wvu.Rows" localSheetId="26" hidden="1">'27'!#REF!,'27'!#REF!,'27'!#REF!,'27'!#REF!,'27'!$4:$21,'27'!$28:$52,'27'!$59:$75</definedName>
    <definedName name="Z_3351A924_D23D_45D7_8354_55677D787CA4_.wvu.Rows" localSheetId="26" hidden="1">'27'!#REF!,'27'!#REF!,'27'!#REF!,'27'!#REF!,'27'!$4:$21,'27'!$28:$52,'27'!$59:$75</definedName>
    <definedName name="Z_51E3BC0E_B24A_447A_BC0A_03881122E44E_.wvu.Rows" localSheetId="26" hidden="1">'27'!#REF!,'27'!#REF!,'27'!#REF!,'27'!#REF!,'27'!$4:$21,'27'!$28:$52,'27'!$59:$75</definedName>
    <definedName name="Z_5C60C8F2_A96A_4286_AB69_6A192D48B52D_.wvu.Rows" localSheetId="26" hidden="1">'27'!#REF!,'27'!#REF!,'27'!#REF!,'27'!#REF!,'27'!$4:$21,'27'!$28:$52,'27'!$59:$75</definedName>
    <definedName name="Z_667B099C_8E79_4490_AC67_CFE2B9F8FC8D_.wvu.Rows" localSheetId="26" hidden="1">'27'!#REF!,'27'!#REF!,'27'!#REF!,'27'!#REF!,'27'!$4:$21,'27'!$28:$52,'27'!$59:$75</definedName>
    <definedName name="Z_696C5A08_6B5C_4B07_9B14_11E12159ACF3_.wvu.Rows" localSheetId="26" hidden="1">'27'!#REF!,'27'!#REF!,'27'!#REF!,'27'!#REF!,'27'!$28:$52,'27'!$59:$75</definedName>
    <definedName name="Z_743813BC_E137_480B_B63F_29E16C4A5D78_.wvu.Rows" localSheetId="26" hidden="1">'27'!#REF!,'27'!#REF!,'27'!#REF!,'27'!#REF!,'27'!$4:$21,'27'!$28:$52,'27'!$59:$75</definedName>
    <definedName name="Z_7CD6C56D_7191_499D_884D_23F062610490_.wvu.Rows" localSheetId="26" hidden="1">'27'!#REF!,'27'!#REF!,'27'!#REF!,'27'!#REF!,'27'!$4:$21,'27'!$28:$52,'27'!$59:$75</definedName>
    <definedName name="Z_8AB826A3_3F9F_46E8_8B3C_5D723650CD25_.wvu.Rows" localSheetId="26" hidden="1">'27'!#REF!,'27'!#REF!,'27'!#REF!,'27'!#REF!,'27'!$4:$21,'27'!$28:$52,'27'!$59:$75</definedName>
    <definedName name="Z_9231B71C_ABB0_4122_BB61_A0E14ED7FAC4_.wvu.Rows" localSheetId="26" hidden="1">'27'!#REF!,'27'!#REF!,'27'!#REF!,'27'!#REF!,'27'!$4:$21,'27'!$28:$52,'27'!$59:$75</definedName>
    <definedName name="Z_9CE42830_1BFE_4EEE_AD75_1C30A69A86B1_.wvu.Rows" localSheetId="26" hidden="1">'27'!#REF!,'27'!#REF!,'27'!#REF!,'27'!#REF!,'27'!$4:$21,'27'!$28:$52,'27'!$59:$75</definedName>
    <definedName name="Z_9EA36D12_6C5C_4BE0_9897_E6710354124D_.wvu.Rows" localSheetId="26" hidden="1">'27'!#REF!,'27'!#REF!,'27'!#REF!,'27'!#REF!,'27'!$4:$21,'27'!$28:$52,'27'!$59:$75</definedName>
    <definedName name="Z_A0F29F5B_FB6E_4C5E_B7A7_CDA651D38207_.wvu.Rows" localSheetId="26" hidden="1">'27'!#REF!,'27'!#REF!,'27'!#REF!,'27'!#REF!,'27'!$4:$21,'27'!$28:$52,'27'!$59:$75</definedName>
    <definedName name="Z_A567DF6A_4F50_45D4_A9C8_0879E17AFD34_.wvu.Rows" localSheetId="26" hidden="1">'27'!#REF!,'27'!#REF!,'27'!#REF!,'27'!#REF!,'27'!$4:$21,'27'!$28:$52,'27'!$59:$75</definedName>
    <definedName name="Z_B2CFD8C8_F8F8_47F1_9207_6BE81612C01C_.wvu.Rows" localSheetId="26" hidden="1">'27'!#REF!,'27'!#REF!,'27'!#REF!,'27'!#REF!,'27'!$4:$21,'27'!$28:$52,'27'!$59:$75</definedName>
    <definedName name="Z_BBF15C7D_3EAF_4D98_9096_5B67F6C46C47_.wvu.Rows" localSheetId="26" hidden="1">'27'!#REF!,'27'!#REF!,'27'!#REF!,'27'!#REF!,'27'!$28:$52,'27'!$59:$75</definedName>
    <definedName name="Z_C122BF8D_C115_42E1_B73A_F9B38D5EC060_.wvu.Rows" localSheetId="26" hidden="1">'27'!#REF!,'27'!#REF!,'27'!#REF!,'27'!#REF!,'27'!$4:$21,'27'!$28:$52,'27'!$59:$75</definedName>
    <definedName name="Z_C4D254D6_9D1C_4B3C_972D_15957FD05DD2_.wvu.Rows" localSheetId="26" hidden="1">'27'!#REF!,'27'!#REF!,'27'!#REF!,'27'!#REF!,'27'!$4:$21,'27'!$28:$52,'27'!$59:$75</definedName>
    <definedName name="Z_D4664C56_FB8A_499D_8E24_CCA12F97FAE9_.wvu.Rows" localSheetId="26" hidden="1">'27'!#REF!,'27'!#REF!,'27'!#REF!,'27'!#REF!,'27'!$4:$21,'27'!$28:$52,'27'!$59:$75</definedName>
    <definedName name="Z_DD995061_F552_4E13_8D40_A47EBB03245B_.wvu.Rows" localSheetId="26" hidden="1">'27'!#REF!,'27'!#REF!,'27'!#REF!,'27'!#REF!,'27'!$4:$21,'27'!$28:$52,'27'!$59:$75</definedName>
    <definedName name="Z_DE2F0B4F_79DE_40A0_A13B_9C7F63D3F970_.wvu.Rows" localSheetId="26" hidden="1">'27'!#REF!,'27'!#REF!,'27'!#REF!,'27'!#REF!,'27'!$4:$21,'27'!$28:$52,'27'!$59:$75</definedName>
    <definedName name="Z_E765F84B_EAF3_44AE_A058_C602C1E67401_.wvu.Rows" localSheetId="26" hidden="1">'27'!#REF!,'27'!#REF!,'27'!#REF!,'27'!#REF!,'27'!$4:$21,'27'!$28:$52,'27'!$59:$75</definedName>
    <definedName name="Z_F34DD4D3_7189_47AF_B853_F133E36CF124_.wvu.Rows" localSheetId="26" hidden="1">'27'!#REF!,'27'!#REF!,'27'!#REF!,'27'!#REF!,'27'!$4:$21,'27'!$28:$52,'27'!$59:$75</definedName>
    <definedName name="Z_F82F81AB_9C82_4E79_8CA3_CEB2B994FC06_.wvu.Rows" localSheetId="26" hidden="1">'27'!#REF!,'27'!#REF!,'27'!#REF!,'27'!#REF!,'27'!$4:$21,'27'!$28:$52,'27'!$59:$75</definedName>
    <definedName name="Z_F89CD5B0_594D_4248_B45D_59008422D599_.wvu.Rows" localSheetId="26" hidden="1">'27'!#REF!,'27'!#REF!,'27'!#REF!,'27'!#REF!,'27'!$4:$21,'27'!$28:$52,'27'!$59:$75</definedName>
    <definedName name="Z_03FBB0AD_5353_49C6_B595_178BC13C96AE_.wvu.Rows" localSheetId="27" hidden="1">'28'!#REF!,'28'!#REF!,'28'!#REF!,'28'!#REF!,'28'!$4:$21,'28'!$28:$52,'28'!$59:$75</definedName>
    <definedName name="Z_070961C3_1DC2_4518_83D7_B3F54BC58AE2_.wvu.Rows" localSheetId="27" hidden="1">'28'!#REF!,'28'!#REF!,'28'!#REF!,'28'!#REF!,'28'!$4:$21,'28'!$28:$52,'28'!$59:$75</definedName>
    <definedName name="Z_0B87D63B_15AD_4587_A73B_CA4B62BDFA01_.wvu.Rows" localSheetId="27" hidden="1">'28'!#REF!,'28'!#REF!,'28'!#REF!,'28'!#REF!,'28'!$4:$21,'28'!$28:$52,'28'!$59:$75</definedName>
    <definedName name="Z_1B9AB2B5_0A50_46C3_981D_8BE75BF62E46_.wvu.Rows" localSheetId="27" hidden="1">'28'!#REF!,'28'!#REF!,'28'!#REF!,'28'!#REF!,'28'!$4:$21,'28'!$28:$52,'28'!$59:$75</definedName>
    <definedName name="Z_20A0B2F7_9F51_4E3D_A024_0877F1F98F8D_.wvu.Rows" localSheetId="27" hidden="1">'28'!#REF!,'28'!#REF!,'28'!#REF!,'28'!#REF!,'28'!$4:$21,'28'!$28:$52,'28'!$59:$75</definedName>
    <definedName name="Z_2C3A3C66_1522_4337_93AC_DFC422DC8462_.wvu.Rows" localSheetId="27" hidden="1">'28'!#REF!,'28'!#REF!,'28'!#REF!,'28'!#REF!,'28'!$4:$21,'28'!$28:$52,'28'!$59:$75</definedName>
    <definedName name="Z_2E074C0E_3584_4321_A729_0961B34312BF_.wvu.Rows" localSheetId="27" hidden="1">'28'!#REF!,'28'!#REF!,'28'!#REF!,'28'!#REF!,'28'!$4:$21,'28'!$28:$52,'28'!$59:$75</definedName>
    <definedName name="Z_2FFCC83E_A488_4450_9F9E_FF506EAEF5FC_.wvu.Rows" localSheetId="27" hidden="1">'28'!#REF!,'28'!#REF!,'28'!#REF!,'28'!#REF!,'28'!$4:$21,'28'!$28:$52,'28'!$59:$75</definedName>
    <definedName name="Z_3351A924_D23D_45D7_8354_55677D787CA4_.wvu.Rows" localSheetId="27" hidden="1">'28'!#REF!,'28'!#REF!,'28'!#REF!,'28'!#REF!,'28'!$4:$21,'28'!$28:$52,'28'!$59:$75</definedName>
    <definedName name="Z_51E3BC0E_B24A_447A_BC0A_03881122E44E_.wvu.Rows" localSheetId="27" hidden="1">'28'!#REF!,'28'!#REF!,'28'!#REF!,'28'!#REF!,'28'!$4:$21,'28'!$28:$52,'28'!$59:$75</definedName>
    <definedName name="Z_5C60C8F2_A96A_4286_AB69_6A192D48B52D_.wvu.Rows" localSheetId="27" hidden="1">'28'!#REF!,'28'!#REF!,'28'!#REF!,'28'!#REF!,'28'!$4:$21,'28'!$28:$52,'28'!$59:$75</definedName>
    <definedName name="Z_667B099C_8E79_4490_AC67_CFE2B9F8FC8D_.wvu.Rows" localSheetId="27" hidden="1">'28'!#REF!,'28'!#REF!,'28'!#REF!,'28'!#REF!,'28'!$4:$21,'28'!$28:$52,'28'!$59:$75</definedName>
    <definedName name="Z_696C5A08_6B5C_4B07_9B14_11E12159ACF3_.wvu.Rows" localSheetId="27" hidden="1">'28'!#REF!,'28'!#REF!,'28'!#REF!,'28'!#REF!,'28'!$28:$52,'28'!$59:$75</definedName>
    <definedName name="Z_743813BC_E137_480B_B63F_29E16C4A5D78_.wvu.Rows" localSheetId="27" hidden="1">'28'!#REF!,'28'!#REF!,'28'!#REF!,'28'!#REF!,'28'!$4:$21,'28'!$28:$52,'28'!$59:$75</definedName>
    <definedName name="Z_7CD6C56D_7191_499D_884D_23F062610490_.wvu.Rows" localSheetId="27" hidden="1">'28'!#REF!,'28'!#REF!,'28'!#REF!,'28'!#REF!,'28'!$4:$21,'28'!$28:$52,'28'!$59:$75</definedName>
    <definedName name="Z_8AB826A3_3F9F_46E8_8B3C_5D723650CD25_.wvu.Rows" localSheetId="27" hidden="1">'28'!#REF!,'28'!#REF!,'28'!#REF!,'28'!#REF!,'28'!$4:$21,'28'!$28:$52,'28'!$59:$75</definedName>
    <definedName name="Z_9231B71C_ABB0_4122_BB61_A0E14ED7FAC4_.wvu.Rows" localSheetId="27" hidden="1">'28'!#REF!,'28'!#REF!,'28'!#REF!,'28'!#REF!,'28'!$4:$21,'28'!$28:$52,'28'!$59:$75</definedName>
    <definedName name="Z_9CE42830_1BFE_4EEE_AD75_1C30A69A86B1_.wvu.Rows" localSheetId="27" hidden="1">'28'!#REF!,'28'!#REF!,'28'!#REF!,'28'!#REF!,'28'!$4:$21,'28'!$28:$52,'28'!$59:$75</definedName>
    <definedName name="Z_9EA36D12_6C5C_4BE0_9897_E6710354124D_.wvu.Rows" localSheetId="27" hidden="1">'28'!#REF!,'28'!#REF!,'28'!#REF!,'28'!#REF!,'28'!$4:$21,'28'!$28:$52,'28'!$59:$75</definedName>
    <definedName name="Z_A0F29F5B_FB6E_4C5E_B7A7_CDA651D38207_.wvu.Rows" localSheetId="27" hidden="1">'28'!#REF!,'28'!#REF!,'28'!#REF!,'28'!#REF!,'28'!$4:$21,'28'!$28:$52,'28'!$59:$75</definedName>
    <definedName name="Z_A567DF6A_4F50_45D4_A9C8_0879E17AFD34_.wvu.Rows" localSheetId="27" hidden="1">'28'!#REF!,'28'!#REF!,'28'!#REF!,'28'!#REF!,'28'!$4:$21,'28'!$28:$52,'28'!$59:$75</definedName>
    <definedName name="Z_B2CFD8C8_F8F8_47F1_9207_6BE81612C01C_.wvu.Rows" localSheetId="27" hidden="1">'28'!#REF!,'28'!#REF!,'28'!#REF!,'28'!#REF!,'28'!$4:$21,'28'!$28:$52,'28'!$59:$75</definedName>
    <definedName name="Z_BBF15C7D_3EAF_4D98_9096_5B67F6C46C47_.wvu.Rows" localSheetId="27" hidden="1">'28'!#REF!,'28'!#REF!,'28'!#REF!,'28'!#REF!,'28'!$28:$52,'28'!$59:$75</definedName>
    <definedName name="Z_C122BF8D_C115_42E1_B73A_F9B38D5EC060_.wvu.Rows" localSheetId="27" hidden="1">'28'!#REF!,'28'!#REF!,'28'!#REF!,'28'!#REF!,'28'!$4:$21,'28'!$28:$52,'28'!$59:$75</definedName>
    <definedName name="Z_C4D254D6_9D1C_4B3C_972D_15957FD05DD2_.wvu.Rows" localSheetId="27" hidden="1">'28'!#REF!,'28'!#REF!,'28'!#REF!,'28'!#REF!,'28'!$4:$21,'28'!$28:$52,'28'!$59:$75</definedName>
    <definedName name="Z_D4664C56_FB8A_499D_8E24_CCA12F97FAE9_.wvu.Rows" localSheetId="27" hidden="1">'28'!#REF!,'28'!#REF!,'28'!#REF!,'28'!#REF!,'28'!$4:$21,'28'!$28:$52,'28'!$59:$75</definedName>
    <definedName name="Z_DD995061_F552_4E13_8D40_A47EBB03245B_.wvu.Rows" localSheetId="27" hidden="1">'28'!#REF!,'28'!#REF!,'28'!#REF!,'28'!#REF!,'28'!$4:$21,'28'!$28:$52,'28'!$59:$75</definedName>
    <definedName name="Z_DE2F0B4F_79DE_40A0_A13B_9C7F63D3F970_.wvu.Rows" localSheetId="27" hidden="1">'28'!#REF!,'28'!#REF!,'28'!#REF!,'28'!#REF!,'28'!$4:$21,'28'!$28:$52,'28'!$59:$75</definedName>
    <definedName name="Z_E765F84B_EAF3_44AE_A058_C602C1E67401_.wvu.Rows" localSheetId="27" hidden="1">'28'!#REF!,'28'!#REF!,'28'!#REF!,'28'!#REF!,'28'!$4:$21,'28'!$28:$52,'28'!$59:$75</definedName>
    <definedName name="Z_F34DD4D3_7189_47AF_B853_F133E36CF124_.wvu.Rows" localSheetId="27" hidden="1">'28'!#REF!,'28'!#REF!,'28'!#REF!,'28'!#REF!,'28'!$4:$21,'28'!$28:$52,'28'!$59:$75</definedName>
    <definedName name="Z_F82F81AB_9C82_4E79_8CA3_CEB2B994FC06_.wvu.Rows" localSheetId="27" hidden="1">'28'!#REF!,'28'!#REF!,'28'!#REF!,'28'!#REF!,'28'!$4:$21,'28'!$28:$52,'28'!$59:$75</definedName>
    <definedName name="Z_F89CD5B0_594D_4248_B45D_59008422D599_.wvu.Rows" localSheetId="27" hidden="1">'28'!#REF!,'28'!#REF!,'28'!#REF!,'28'!#REF!,'28'!$4:$21,'28'!$28:$52,'28'!$59:$75</definedName>
    <definedName name="Z_03FBB0AD_5353_49C6_B595_178BC13C96AE_.wvu.Rows" localSheetId="28" hidden="1">'29'!#REF!,'29'!#REF!,'29'!#REF!,'29'!#REF!,'29'!$4:$21,'29'!$28:$52,'29'!$59:$75</definedName>
    <definedName name="Z_070961C3_1DC2_4518_83D7_B3F54BC58AE2_.wvu.Rows" localSheetId="28" hidden="1">'29'!#REF!,'29'!#REF!,'29'!#REF!,'29'!#REF!,'29'!$4:$21,'29'!$28:$52,'29'!$59:$75</definedName>
    <definedName name="Z_0B87D63B_15AD_4587_A73B_CA4B62BDFA01_.wvu.Rows" localSheetId="28" hidden="1">'29'!#REF!,'29'!#REF!,'29'!#REF!,'29'!#REF!,'29'!$4:$21,'29'!$28:$52,'29'!$59:$75</definedName>
    <definedName name="Z_1B9AB2B5_0A50_46C3_981D_8BE75BF62E46_.wvu.Rows" localSheetId="28" hidden="1">'29'!#REF!,'29'!#REF!,'29'!#REF!,'29'!#REF!,'29'!$4:$21,'29'!$28:$52,'29'!$59:$75</definedName>
    <definedName name="Z_20A0B2F7_9F51_4E3D_A024_0877F1F98F8D_.wvu.Rows" localSheetId="28" hidden="1">'29'!#REF!,'29'!#REF!,'29'!#REF!,'29'!#REF!,'29'!$4:$21,'29'!$28:$52,'29'!$59:$75</definedName>
    <definedName name="Z_2C3A3C66_1522_4337_93AC_DFC422DC8462_.wvu.Rows" localSheetId="28" hidden="1">'29'!#REF!,'29'!#REF!,'29'!#REF!,'29'!#REF!,'29'!$4:$21,'29'!$28:$52,'29'!$59:$75</definedName>
    <definedName name="Z_2E074C0E_3584_4321_A729_0961B34312BF_.wvu.Rows" localSheetId="28" hidden="1">'29'!#REF!,'29'!#REF!,'29'!#REF!,'29'!#REF!,'29'!$4:$21,'29'!$28:$52,'29'!$59:$75</definedName>
    <definedName name="Z_2FFCC83E_A488_4450_9F9E_FF506EAEF5FC_.wvu.Rows" localSheetId="28" hidden="1">'29'!#REF!,'29'!#REF!,'29'!#REF!,'29'!#REF!,'29'!$4:$21,'29'!$28:$52,'29'!$59:$75</definedName>
    <definedName name="Z_3351A924_D23D_45D7_8354_55677D787CA4_.wvu.Rows" localSheetId="28" hidden="1">'29'!#REF!,'29'!#REF!,'29'!#REF!,'29'!#REF!,'29'!$4:$21,'29'!$28:$52,'29'!$59:$75</definedName>
    <definedName name="Z_51E3BC0E_B24A_447A_BC0A_03881122E44E_.wvu.Rows" localSheetId="28" hidden="1">'29'!#REF!,'29'!#REF!,'29'!#REF!,'29'!#REF!,'29'!$4:$21,'29'!$28:$52,'29'!$59:$75</definedName>
    <definedName name="Z_5C60C8F2_A96A_4286_AB69_6A192D48B52D_.wvu.Rows" localSheetId="28" hidden="1">'29'!#REF!,'29'!#REF!,'29'!#REF!,'29'!#REF!,'29'!$4:$21,'29'!$28:$52,'29'!$59:$75</definedName>
    <definedName name="Z_667B099C_8E79_4490_AC67_CFE2B9F8FC8D_.wvu.Rows" localSheetId="28" hidden="1">'29'!#REF!,'29'!#REF!,'29'!#REF!,'29'!#REF!,'29'!$4:$21,'29'!$28:$52,'29'!$59:$75</definedName>
    <definedName name="Z_696C5A08_6B5C_4B07_9B14_11E12159ACF3_.wvu.Rows" localSheetId="28" hidden="1">'29'!#REF!,'29'!#REF!,'29'!#REF!,'29'!#REF!,'29'!$28:$52,'29'!$59:$75</definedName>
    <definedName name="Z_743813BC_E137_480B_B63F_29E16C4A5D78_.wvu.Rows" localSheetId="28" hidden="1">'29'!#REF!,'29'!#REF!,'29'!#REF!,'29'!#REF!,'29'!$4:$21,'29'!$28:$52,'29'!$59:$75</definedName>
    <definedName name="Z_7CD6C56D_7191_499D_884D_23F062610490_.wvu.Rows" localSheetId="28" hidden="1">'29'!#REF!,'29'!#REF!,'29'!#REF!,'29'!#REF!,'29'!$4:$21,'29'!$28:$52,'29'!$59:$75</definedName>
    <definedName name="Z_8AB826A3_3F9F_46E8_8B3C_5D723650CD25_.wvu.Rows" localSheetId="28" hidden="1">'29'!#REF!,'29'!#REF!,'29'!#REF!,'29'!#REF!,'29'!$4:$21,'29'!$28:$52,'29'!$59:$75</definedName>
    <definedName name="Z_9231B71C_ABB0_4122_BB61_A0E14ED7FAC4_.wvu.Rows" localSheetId="28" hidden="1">'29'!#REF!,'29'!#REF!,'29'!#REF!,'29'!#REF!,'29'!$4:$21,'29'!$28:$52,'29'!$59:$75</definedName>
    <definedName name="Z_9CE42830_1BFE_4EEE_AD75_1C30A69A86B1_.wvu.Rows" localSheetId="28" hidden="1">'29'!#REF!,'29'!#REF!,'29'!#REF!,'29'!#REF!,'29'!$4:$21,'29'!$28:$52,'29'!$59:$75</definedName>
    <definedName name="Z_9EA36D12_6C5C_4BE0_9897_E6710354124D_.wvu.Rows" localSheetId="28" hidden="1">'29'!#REF!,'29'!#REF!,'29'!#REF!,'29'!#REF!,'29'!$4:$21,'29'!$28:$52,'29'!$59:$75</definedName>
    <definedName name="Z_A0F29F5B_FB6E_4C5E_B7A7_CDA651D38207_.wvu.Rows" localSheetId="28" hidden="1">'29'!#REF!,'29'!#REF!,'29'!#REF!,'29'!#REF!,'29'!$4:$21,'29'!$28:$52,'29'!$59:$75</definedName>
    <definedName name="Z_A567DF6A_4F50_45D4_A9C8_0879E17AFD34_.wvu.Rows" localSheetId="28" hidden="1">'29'!#REF!,'29'!#REF!,'29'!#REF!,'29'!#REF!,'29'!$4:$21,'29'!$28:$52,'29'!$59:$75</definedName>
    <definedName name="Z_B2CFD8C8_F8F8_47F1_9207_6BE81612C01C_.wvu.Rows" localSheetId="28" hidden="1">'29'!#REF!,'29'!#REF!,'29'!#REF!,'29'!#REF!,'29'!$4:$21,'29'!$28:$52,'29'!$59:$75</definedName>
    <definedName name="Z_BBF15C7D_3EAF_4D98_9096_5B67F6C46C47_.wvu.Rows" localSheetId="28" hidden="1">'29'!#REF!,'29'!#REF!,'29'!#REF!,'29'!#REF!,'29'!$28:$52,'29'!$59:$75</definedName>
    <definedName name="Z_C122BF8D_C115_42E1_B73A_F9B38D5EC060_.wvu.Rows" localSheetId="28" hidden="1">'29'!#REF!,'29'!#REF!,'29'!#REF!,'29'!#REF!,'29'!$4:$21,'29'!$28:$52,'29'!$59:$75</definedName>
    <definedName name="Z_C4D254D6_9D1C_4B3C_972D_15957FD05DD2_.wvu.Rows" localSheetId="28" hidden="1">'29'!#REF!,'29'!#REF!,'29'!#REF!,'29'!#REF!,'29'!$4:$21,'29'!$28:$52,'29'!$59:$75</definedName>
    <definedName name="Z_D4664C56_FB8A_499D_8E24_CCA12F97FAE9_.wvu.Rows" localSheetId="28" hidden="1">'29'!#REF!,'29'!#REF!,'29'!#REF!,'29'!#REF!,'29'!$4:$21,'29'!$28:$52,'29'!$59:$75</definedName>
    <definedName name="Z_DD995061_F552_4E13_8D40_A47EBB03245B_.wvu.Rows" localSheetId="28" hidden="1">'29'!#REF!,'29'!#REF!,'29'!#REF!,'29'!#REF!,'29'!$4:$21,'29'!$28:$52,'29'!$59:$75</definedName>
    <definedName name="Z_DE2F0B4F_79DE_40A0_A13B_9C7F63D3F970_.wvu.Rows" localSheetId="28" hidden="1">'29'!#REF!,'29'!#REF!,'29'!#REF!,'29'!#REF!,'29'!$4:$21,'29'!$28:$52,'29'!$59:$75</definedName>
    <definedName name="Z_E765F84B_EAF3_44AE_A058_C602C1E67401_.wvu.Rows" localSheetId="28" hidden="1">'29'!#REF!,'29'!#REF!,'29'!#REF!,'29'!#REF!,'29'!$4:$21,'29'!$28:$52,'29'!$59:$75</definedName>
    <definedName name="Z_F34DD4D3_7189_47AF_B853_F133E36CF124_.wvu.Rows" localSheetId="28" hidden="1">'29'!#REF!,'29'!#REF!,'29'!#REF!,'29'!#REF!,'29'!$4:$21,'29'!$28:$52,'29'!$59:$75</definedName>
    <definedName name="Z_F82F81AB_9C82_4E79_8CA3_CEB2B994FC06_.wvu.Rows" localSheetId="28" hidden="1">'29'!#REF!,'29'!#REF!,'29'!#REF!,'29'!#REF!,'29'!$4:$21,'29'!$28:$52,'29'!$59:$75</definedName>
    <definedName name="Z_F89CD5B0_594D_4248_B45D_59008422D599_.wvu.Rows" localSheetId="28" hidden="1">'29'!#REF!,'29'!#REF!,'29'!#REF!,'29'!#REF!,'29'!$4:$21,'29'!$28:$52,'29'!$59:$75</definedName>
    <definedName name="Z_03FBB0AD_5353_49C6_B595_178BC13C96AE_.wvu.Rows" localSheetId="29" hidden="1">'30'!#REF!,'30'!#REF!,'30'!#REF!,'30'!#REF!,'30'!$4:$21,'30'!$28:$52,'30'!$59:$75</definedName>
    <definedName name="Z_070961C3_1DC2_4518_83D7_B3F54BC58AE2_.wvu.Rows" localSheetId="29" hidden="1">'30'!#REF!,'30'!#REF!,'30'!#REF!,'30'!#REF!,'30'!$4:$21,'30'!$28:$52,'30'!$59:$75</definedName>
    <definedName name="Z_0B87D63B_15AD_4587_A73B_CA4B62BDFA01_.wvu.Rows" localSheetId="29" hidden="1">'30'!#REF!,'30'!#REF!,'30'!#REF!,'30'!#REF!,'30'!$4:$21,'30'!$28:$52,'30'!$59:$75</definedName>
    <definedName name="Z_1B9AB2B5_0A50_46C3_981D_8BE75BF62E46_.wvu.Rows" localSheetId="29" hidden="1">'30'!#REF!,'30'!#REF!,'30'!#REF!,'30'!#REF!,'30'!$4:$21,'30'!$28:$52,'30'!$59:$75</definedName>
    <definedName name="Z_20A0B2F7_9F51_4E3D_A024_0877F1F98F8D_.wvu.Rows" localSheetId="29" hidden="1">'30'!#REF!,'30'!#REF!,'30'!#REF!,'30'!#REF!,'30'!$4:$21,'30'!$28:$52,'30'!$59:$75</definedName>
    <definedName name="Z_2C3A3C66_1522_4337_93AC_DFC422DC8462_.wvu.Rows" localSheetId="29" hidden="1">'30'!#REF!,'30'!#REF!,'30'!#REF!,'30'!#REF!,'30'!$4:$21,'30'!$28:$52,'30'!$59:$75</definedName>
    <definedName name="Z_2E074C0E_3584_4321_A729_0961B34312BF_.wvu.Rows" localSheetId="29" hidden="1">'30'!#REF!,'30'!#REF!,'30'!#REF!,'30'!#REF!,'30'!$4:$21,'30'!$28:$52,'30'!$59:$75</definedName>
    <definedName name="Z_2FFCC83E_A488_4450_9F9E_FF506EAEF5FC_.wvu.Rows" localSheetId="29" hidden="1">'30'!#REF!,'30'!#REF!,'30'!#REF!,'30'!#REF!,'30'!$4:$21,'30'!$28:$52,'30'!$59:$75</definedName>
    <definedName name="Z_3351A924_D23D_45D7_8354_55677D787CA4_.wvu.Rows" localSheetId="29" hidden="1">'30'!#REF!,'30'!#REF!,'30'!#REF!,'30'!#REF!,'30'!$4:$21,'30'!$28:$52,'30'!$59:$75</definedName>
    <definedName name="Z_51E3BC0E_B24A_447A_BC0A_03881122E44E_.wvu.Rows" localSheetId="29" hidden="1">'30'!#REF!,'30'!#REF!,'30'!#REF!,'30'!#REF!,'30'!$4:$21,'30'!$28:$52,'30'!$59:$75</definedName>
    <definedName name="Z_5C60C8F2_A96A_4286_AB69_6A192D48B52D_.wvu.Rows" localSheetId="29" hidden="1">'30'!#REF!,'30'!#REF!,'30'!#REF!,'30'!#REF!,'30'!$4:$21,'30'!$28:$52,'30'!$59:$75</definedName>
    <definedName name="Z_667B099C_8E79_4490_AC67_CFE2B9F8FC8D_.wvu.Rows" localSheetId="29" hidden="1">'30'!#REF!,'30'!#REF!,'30'!#REF!,'30'!#REF!,'30'!$4:$21,'30'!$28:$52,'30'!$59:$75</definedName>
    <definedName name="Z_696C5A08_6B5C_4B07_9B14_11E12159ACF3_.wvu.Rows" localSheetId="29" hidden="1">'30'!#REF!,'30'!#REF!,'30'!#REF!,'30'!#REF!,'30'!$28:$52,'30'!$59:$75</definedName>
    <definedName name="Z_743813BC_E137_480B_B63F_29E16C4A5D78_.wvu.Rows" localSheetId="29" hidden="1">'30'!#REF!,'30'!#REF!,'30'!#REF!,'30'!#REF!,'30'!$4:$21,'30'!$28:$52,'30'!$59:$75</definedName>
    <definedName name="Z_7CD6C56D_7191_499D_884D_23F062610490_.wvu.Rows" localSheetId="29" hidden="1">'30'!#REF!,'30'!#REF!,'30'!#REF!,'30'!#REF!,'30'!$4:$21,'30'!$28:$52,'30'!$59:$75</definedName>
    <definedName name="Z_8AB826A3_3F9F_46E8_8B3C_5D723650CD25_.wvu.Rows" localSheetId="29" hidden="1">'30'!#REF!,'30'!#REF!,'30'!#REF!,'30'!#REF!,'30'!$4:$21,'30'!$28:$52,'30'!$59:$75</definedName>
    <definedName name="Z_9231B71C_ABB0_4122_BB61_A0E14ED7FAC4_.wvu.Rows" localSheetId="29" hidden="1">'30'!#REF!,'30'!#REF!,'30'!#REF!,'30'!#REF!,'30'!$4:$21,'30'!$28:$52,'30'!$59:$75</definedName>
    <definedName name="Z_9CE42830_1BFE_4EEE_AD75_1C30A69A86B1_.wvu.Rows" localSheetId="29" hidden="1">'30'!#REF!,'30'!#REF!,'30'!#REF!,'30'!#REF!,'30'!$4:$21,'30'!$28:$52,'30'!$59:$75</definedName>
    <definedName name="Z_9EA36D12_6C5C_4BE0_9897_E6710354124D_.wvu.Rows" localSheetId="29" hidden="1">'30'!#REF!,'30'!#REF!,'30'!#REF!,'30'!#REF!,'30'!$4:$21,'30'!$28:$52,'30'!$59:$75</definedName>
    <definedName name="Z_A0F29F5B_FB6E_4C5E_B7A7_CDA651D38207_.wvu.Rows" localSheetId="29" hidden="1">'30'!#REF!,'30'!#REF!,'30'!#REF!,'30'!#REF!,'30'!$4:$21,'30'!$28:$52,'30'!$59:$75</definedName>
    <definedName name="Z_A567DF6A_4F50_45D4_A9C8_0879E17AFD34_.wvu.Rows" localSheetId="29" hidden="1">'30'!#REF!,'30'!#REF!,'30'!#REF!,'30'!#REF!,'30'!$4:$21,'30'!$28:$52,'30'!$59:$75</definedName>
    <definedName name="Z_B2CFD8C8_F8F8_47F1_9207_6BE81612C01C_.wvu.Rows" localSheetId="29" hidden="1">'30'!#REF!,'30'!#REF!,'30'!#REF!,'30'!#REF!,'30'!$4:$21,'30'!$28:$52,'30'!$59:$75</definedName>
    <definedName name="Z_BBF15C7D_3EAF_4D98_9096_5B67F6C46C47_.wvu.Rows" localSheetId="29" hidden="1">'30'!#REF!,'30'!#REF!,'30'!#REF!,'30'!#REF!,'30'!$28:$52,'30'!$59:$75</definedName>
    <definedName name="Z_C122BF8D_C115_42E1_B73A_F9B38D5EC060_.wvu.Rows" localSheetId="29" hidden="1">'30'!#REF!,'30'!#REF!,'30'!#REF!,'30'!#REF!,'30'!$4:$21,'30'!$28:$52,'30'!$59:$75</definedName>
    <definedName name="Z_C4D254D6_9D1C_4B3C_972D_15957FD05DD2_.wvu.Rows" localSheetId="29" hidden="1">'30'!#REF!,'30'!#REF!,'30'!#REF!,'30'!#REF!,'30'!$4:$21,'30'!$28:$52,'30'!$59:$75</definedName>
    <definedName name="Z_D4664C56_FB8A_499D_8E24_CCA12F97FAE9_.wvu.Rows" localSheetId="29" hidden="1">'30'!#REF!,'30'!#REF!,'30'!#REF!,'30'!#REF!,'30'!$4:$21,'30'!$28:$52,'30'!$59:$75</definedName>
    <definedName name="Z_DD995061_F552_4E13_8D40_A47EBB03245B_.wvu.Rows" localSheetId="29" hidden="1">'30'!#REF!,'30'!#REF!,'30'!#REF!,'30'!#REF!,'30'!$4:$21,'30'!$28:$52,'30'!$59:$75</definedName>
    <definedName name="Z_DE2F0B4F_79DE_40A0_A13B_9C7F63D3F970_.wvu.Rows" localSheetId="29" hidden="1">'30'!#REF!,'30'!#REF!,'30'!#REF!,'30'!#REF!,'30'!$4:$21,'30'!$28:$52,'30'!$59:$75</definedName>
    <definedName name="Z_E765F84B_EAF3_44AE_A058_C602C1E67401_.wvu.Rows" localSheetId="29" hidden="1">'30'!#REF!,'30'!#REF!,'30'!#REF!,'30'!#REF!,'30'!$4:$21,'30'!$28:$52,'30'!$59:$75</definedName>
    <definedName name="Z_F34DD4D3_7189_47AF_B853_F133E36CF124_.wvu.Rows" localSheetId="29" hidden="1">'30'!#REF!,'30'!#REF!,'30'!#REF!,'30'!#REF!,'30'!$4:$21,'30'!$28:$52,'30'!$59:$75</definedName>
    <definedName name="Z_F82F81AB_9C82_4E79_8CA3_CEB2B994FC06_.wvu.Rows" localSheetId="29" hidden="1">'30'!#REF!,'30'!#REF!,'30'!#REF!,'30'!#REF!,'30'!$4:$21,'30'!$28:$52,'30'!$59:$75</definedName>
    <definedName name="Z_F89CD5B0_594D_4248_B45D_59008422D599_.wvu.Rows" localSheetId="29" hidden="1">'30'!#REF!,'30'!#REF!,'30'!#REF!,'30'!#REF!,'30'!$4:$21,'30'!$28:$52,'30'!$59:$75</definedName>
    <definedName name="ДаНет">Тех.Лист!$A$1:$A$2</definedName>
  </definedNames>
  <calcPr/>
</workbook>
</file>

<file path=xl/sharedStrings.xml><?xml version="1.0" encoding="utf-8"?>
<sst xmlns="http://schemas.openxmlformats.org/spreadsheetml/2006/main" count="693" uniqueCount="693">
  <si>
    <t xml:space="preserve">_____________________________ Согласовано</t>
  </si>
  <si>
    <t xml:space="preserve">Реестр разбит по Юр. лицам!!! КРУТИТЕ ВНИЗ</t>
  </si>
  <si>
    <t xml:space="preserve">ООО РИК  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</si>
  <si>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СБ 745</t>
    </r>
  </si>
  <si>
    <t xml:space="preserve">счет ПСБ 572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</si>
  <si>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ГТБ </t>
    </r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</si>
  <si>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</si>
  <si>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</si>
  <si>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</si>
  <si>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</si>
  <si>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</si>
  <si>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</si>
  <si>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</si>
  <si>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</si>
  <si>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</si>
  <si>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</si>
  <si>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 / Приоритет</t>
  </si>
  <si>
    <t xml:space="preserve">Строительство (ПТО / Инженерная служба / Логистика / Снабжение)</t>
  </si>
  <si>
    <t xml:space="preserve">АХР (Продажи / IT служба / Юр служба / Секретариат / Кадры)</t>
  </si>
  <si>
    <t xml:space="preserve">Бухгалтерия  (Налоги / ЗП / ЕСН / прочие платежи бух. службы)</t>
  </si>
  <si>
    <t xml:space="preserve">ФЭО  (Кредиты/ Лизинг / Проценты / прочие платежи)</t>
  </si>
  <si>
    <t xml:space="preserve">ИТОГО РИК РАСХОДЫ ПО РЕЕСТРУ</t>
  </si>
  <si>
    <t xml:space="preserve">ДЕФИЦИТ  /  ПРОФИЦИТ с Остатка на начало дня</t>
  </si>
  <si>
    <t xml:space="preserve">УК   ЯСНАЯ   ПОЛЯНА</t>
  </si>
  <si>
    <r>
      <rPr>
        <i/>
        <sz val="11"/>
        <color theme="1"/>
        <rFont val="Times New Roman"/>
      </rPr>
      <t xml:space="preserve">счет </t>
    </r>
    <r>
      <rPr>
        <b/>
        <i/>
        <sz val="11"/>
        <color theme="1"/>
        <rFont val="Times New Roman"/>
      </rPr>
      <t xml:space="preserve">Сбер 364</t>
    </r>
  </si>
  <si>
    <t xml:space="preserve">Коммерческая деятельность (Закупка ТМЦ Снабжение / Логистика / Транзит)</t>
  </si>
  <si>
    <t xml:space="preserve">АХР (Продажи / IT служба / Юр служба / ФЭО /Секретариат)</t>
  </si>
  <si>
    <t xml:space="preserve">ИТОГО УК ЯСНАЯ ПОЛЯНА  РАСХОДЫ ПО РЕЕСТРУ</t>
  </si>
  <si>
    <t xml:space="preserve">ООО Мини Сити</t>
  </si>
  <si>
    <r>
      <t xml:space="preserve">счёт ВТБ</t>
    </r>
    <r>
      <rPr>
        <b/>
        <i/>
        <sz val="11"/>
        <color theme="1"/>
        <rFont val="Times New Roman"/>
      </rPr>
      <t xml:space="preserve">  1870</t>
    </r>
  </si>
  <si>
    <t xml:space="preserve">ВСЕ расходы по деятельности предприятия</t>
  </si>
  <si>
    <t xml:space="preserve">ИТОГО ТЦ МИНИ СИТИ РАСХОДЫ ПО РЕЕСТРУ</t>
  </si>
  <si>
    <t xml:space="preserve">ИП Слащук В.А.</t>
  </si>
  <si>
    <t xml:space="preserve">Счет Альфа-Банк 4252</t>
  </si>
  <si>
    <t xml:space="preserve">Счет ПСБ 3956</t>
  </si>
  <si>
    <t xml:space="preserve"> </t>
  </si>
  <si>
    <t xml:space="preserve">ИТОГО ИП Слащук В.А.  РАСХОДЫ ПО РЕЕСТРУ</t>
  </si>
  <si>
    <t xml:space="preserve">ИП Малый П.А.</t>
  </si>
  <si>
    <t xml:space="preserve">Счет Альфа-Банк 5637</t>
  </si>
  <si>
    <t xml:space="preserve">Счет ПСБ 6645</t>
  </si>
  <si>
    <t xml:space="preserve">Сумма к оплате</t>
  </si>
  <si>
    <t xml:space="preserve">                     Коммерческая деятельность (Закупка ТМЦ Снабжение / Логистика / Транзит)</t>
  </si>
  <si>
    <t xml:space="preserve">ИТОГО ИП Малый П.А. РАСХОДЫ ПО РЕЕСТРУ</t>
  </si>
  <si>
    <t xml:space="preserve">ДЕФИЦИТ / ПРОФИЦИТ с Остатка на начало дня</t>
  </si>
  <si>
    <t xml:space="preserve">Реестр закрыт!!!</t>
  </si>
  <si>
    <t xml:space="preserve">Лысенко Н.С.</t>
  </si>
  <si>
    <t xml:space="preserve">%% ГТБ</t>
  </si>
  <si>
    <t>оплачен</t>
  </si>
  <si>
    <t xml:space="preserve">Ченский М.В.</t>
  </si>
  <si>
    <t xml:space="preserve">Синергия ТД ООО</t>
  </si>
  <si>
    <t xml:space="preserve">Договор поставки № 14/07/2025-1Р от 14.07.2025</t>
  </si>
  <si>
    <t>металлопрокат</t>
  </si>
  <si>
    <t>РИК</t>
  </si>
  <si>
    <t xml:space="preserve">№ 02/18-Р от 01.01.2018г Договор аренды объектов электросетевого хозяйства </t>
  </si>
  <si>
    <t xml:space="preserve">на ГТБ</t>
  </si>
  <si>
    <t xml:space="preserve"> ﻿</t>
  </si>
  <si>
    <t xml:space="preserve">с СБ на ГТБ</t>
  </si>
  <si>
    <t xml:space="preserve">Кухнов С.Н.</t>
  </si>
  <si>
    <t xml:space="preserve">ООО "Югпром"</t>
  </si>
  <si>
    <t xml:space="preserve">счет №12552 от 23.12.2025</t>
  </si>
  <si>
    <t>.28400</t>
  </si>
  <si>
    <t xml:space="preserve">за геотекстиль 150 для благоустройства</t>
  </si>
  <si>
    <t>Бюджет</t>
  </si>
  <si>
    <t xml:space="preserve">ООО "Окна Профиль"</t>
  </si>
  <si>
    <t xml:space="preserve">счет №423 б/н от 01.12.2025</t>
  </si>
  <si>
    <t>.516900</t>
  </si>
  <si>
    <t xml:space="preserve">доплата 50 % за окна ГП 391</t>
  </si>
  <si>
    <t xml:space="preserve">долг, ПДЗ</t>
  </si>
  <si>
    <t xml:space="preserve">ИП Двинянинов М.Н.</t>
  </si>
  <si>
    <t xml:space="preserve">Счет №28 от 06.02.2026</t>
  </si>
  <si>
    <t>.303750</t>
  </si>
  <si>
    <t xml:space="preserve">за плитку фасадную для ГП 391</t>
  </si>
  <si>
    <t xml:space="preserve">ИП Бобик М.Ю.</t>
  </si>
  <si>
    <t xml:space="preserve">счет №00005 от 19.02.2026</t>
  </si>
  <si>
    <t>.508800</t>
  </si>
  <si>
    <t xml:space="preserve">за кирпич облицовочный  Кортен, Белый город ГП 339</t>
  </si>
  <si>
    <t xml:space="preserve">счет №00006 от 19.02.2026</t>
  </si>
  <si>
    <t>.503200</t>
  </si>
  <si>
    <t xml:space="preserve">за кирпич М125 для ГП 339</t>
  </si>
  <si>
    <t xml:space="preserve">ООО Альтус</t>
  </si>
  <si>
    <t xml:space="preserve">Счет № ОР00-004133 от 27.02.2026 </t>
  </si>
  <si>
    <t xml:space="preserve">.411 038,80</t>
  </si>
  <si>
    <t xml:space="preserve">за фасадные материалы для ГП 391</t>
  </si>
  <si>
    <t xml:space="preserve">Сотникова В.С.</t>
  </si>
  <si>
    <t xml:space="preserve">ИП Яровой Г.А.</t>
  </si>
  <si>
    <t xml:space="preserve">Счет №13 от 09.02.2026 г.</t>
  </si>
  <si>
    <t>.284380,52</t>
  </si>
  <si>
    <t xml:space="preserve">Окончательный платеж по Дог. №1253/Р от 10.11.2025 г. (кровля ГП 402)</t>
  </si>
  <si>
    <t xml:space="preserve">Счет №14 от 09.02.2026 г.</t>
  </si>
  <si>
    <t>.180590,25</t>
  </si>
  <si>
    <t xml:space="preserve">Авансовый платеж по Дог. №1257/Р от 12.12.2025 г. ( ГП 330 кровля)</t>
  </si>
  <si>
    <t xml:space="preserve">ИП Сердечная О.Ю.</t>
  </si>
  <si>
    <t xml:space="preserve">Счет №324 от 20.10.2025 </t>
  </si>
  <si>
    <t>.139400,00</t>
  </si>
  <si>
    <t xml:space="preserve">Оплата по договору № 21 от 01.06.2020 транспортные услуги </t>
  </si>
  <si>
    <t xml:space="preserve">Счет № 333 от 29.10.2025 г.</t>
  </si>
  <si>
    <t>.86600,00</t>
  </si>
  <si>
    <t xml:space="preserve">Счет №348 от 13.11.2025 г.</t>
  </si>
  <si>
    <t>.12400,00</t>
  </si>
  <si>
    <t xml:space="preserve">Счет №353 от 24.11.2025 г.</t>
  </si>
  <si>
    <t>.49600,00</t>
  </si>
  <si>
    <t xml:space="preserve">Счет №361 от 01.12.2025 г.</t>
  </si>
  <si>
    <t>.37200</t>
  </si>
  <si>
    <t xml:space="preserve">Счет №364 от 15.12.2025 г.</t>
  </si>
  <si>
    <t>.24800,00</t>
  </si>
  <si>
    <t xml:space="preserve">Счет №370 от 29.12.2025 г.</t>
  </si>
  <si>
    <t>.25600,00</t>
  </si>
  <si>
    <t xml:space="preserve">Счет №365 от 22.12.2025 г.</t>
  </si>
  <si>
    <t>.94400,00</t>
  </si>
  <si>
    <t xml:space="preserve">ООО "Зептоэлектроник"</t>
  </si>
  <si>
    <t xml:space="preserve">Счет №134 от 29.09.2025 г.</t>
  </si>
  <si>
    <t>.=791205,39-350000</t>
  </si>
  <si>
    <t xml:space="preserve">Авансовый платеж по Договору №1220/Р от 21.04.2025 г. (ул. Крылова)</t>
  </si>
  <si>
    <t xml:space="preserve">Счет №128 от 13.08.2025 </t>
  </si>
  <si>
    <t>.80000,00</t>
  </si>
  <si>
    <t xml:space="preserve">Окончательный расчет по Дог. 1228/Р серия прил №3 от 26.05.2025 г. (ГП 334 отмостка)</t>
  </si>
  <si>
    <t xml:space="preserve">Счет №129 от 13.08.2025 </t>
  </si>
  <si>
    <t>.43875</t>
  </si>
  <si>
    <t xml:space="preserve">Окончательный расчет по Дог. 1228/Р серия прил №5 от 26.05.2025 г. (ГП 197 ремонт отмостка)</t>
  </si>
  <si>
    <t xml:space="preserve">ООО "Спецаренда"</t>
  </si>
  <si>
    <t xml:space="preserve">Счет №10 от 06.02.2026 г.</t>
  </si>
  <si>
    <t>.=1348251,9-300000</t>
  </si>
  <si>
    <t xml:space="preserve">Оплата по промежуточному закрытию Дог. №947/Р от 18.10.2023 г.</t>
  </si>
  <si>
    <t xml:space="preserve">Ильин И.В.</t>
  </si>
  <si>
    <t xml:space="preserve">ООО ДОН</t>
  </si>
  <si>
    <t xml:space="preserve">счет № 6 от 20.01.2025</t>
  </si>
  <si>
    <t>.30000</t>
  </si>
  <si>
    <t xml:space="preserve">Внесение изменений в проектно-сметную документацию договор №1204/Р от 09.01.2025</t>
  </si>
  <si>
    <t xml:space="preserve">Попова Е.П.</t>
  </si>
  <si>
    <t xml:space="preserve">Счёт №10 от 06.03.2025</t>
  </si>
  <si>
    <t>.=471110,88-15000</t>
  </si>
  <si>
    <t xml:space="preserve">Оплата за общестроительные работы жилого дома по договору №1037/Р от 05.04.2024</t>
  </si>
  <si>
    <t xml:space="preserve">ИП Полежаев</t>
  </si>
  <si>
    <t xml:space="preserve">Счет №48 от 05.11.2025 г.</t>
  </si>
  <si>
    <t>.=724102,38-300000</t>
  </si>
  <si>
    <t xml:space="preserve">Окончательный расчет по Дог. №1233 от 23.06.2025 г (ГП 344 фасад)</t>
  </si>
  <si>
    <t xml:space="preserve">ИП Сердечный С.Ю.</t>
  </si>
  <si>
    <t xml:space="preserve">Счет №43 от 04.12.2025 </t>
  </si>
  <si>
    <t>.1028704,63</t>
  </si>
  <si>
    <t xml:space="preserve">Окончательный платеж по Дог. №1239/Р от 11.08.2025 (ГП 391 кладка)</t>
  </si>
  <si>
    <t>.2511429,5</t>
  </si>
  <si>
    <t>Да</t>
  </si>
  <si>
    <t>.807215</t>
  </si>
  <si>
    <t xml:space="preserve">ИП Лесняк О.М.</t>
  </si>
  <si>
    <t xml:space="preserve">Счет №3 от 02.02.2026 г.</t>
  </si>
  <si>
    <t>.711155,00</t>
  </si>
  <si>
    <t xml:space="preserve">Расчет по Дог. №882/Р от 17.07.2023 г. (благоустройство ГП 258)</t>
  </si>
  <si>
    <t xml:space="preserve">ООО "АБ "Фабрика проектов"</t>
  </si>
  <si>
    <t xml:space="preserve">Счет №602 от 09.12.2025 г.</t>
  </si>
  <si>
    <t>.398800,00</t>
  </si>
  <si>
    <t xml:space="preserve">Аванс Придомовые территории по дог. №ФП-10660-14 от 06.05.2022 г. прил. 35 от 27.11.2025 г.</t>
  </si>
  <si>
    <t xml:space="preserve">Счет № 550 от 12.11.2025 г. </t>
  </si>
  <si>
    <t xml:space="preserve">Аванс посадка растений по Дог. №ФП-10660-14 от 06.05.2022 г. прил. 34 от 12.11.2025 г.</t>
  </si>
  <si>
    <t xml:space="preserve">Чибизова Л.В.</t>
  </si>
  <si>
    <t xml:space="preserve">ООО УК Ясная Поляна</t>
  </si>
  <si>
    <t xml:space="preserve">Сч.№44 от 03.03.26 г.</t>
  </si>
  <si>
    <t xml:space="preserve">Компенсация охр.услуг за февраль 2026 г.</t>
  </si>
  <si>
    <t xml:space="preserve">ИП Алты-Садых С.Ю.</t>
  </si>
  <si>
    <t xml:space="preserve">Счет №19/1 от 15.12.2025 г.</t>
  </si>
  <si>
    <t xml:space="preserve">Аванс по Дог. 630 прил. 74 от 12.12.2025 (ГП 330 ограждения)</t>
  </si>
  <si>
    <t xml:space="preserve">Счет №20/1 от 15.12.2025 г.</t>
  </si>
  <si>
    <t xml:space="preserve">Аванс по Дог. 630 прил. 73 от 15.09.2025 г. (ГП 332 ограждения)</t>
  </si>
  <si>
    <t xml:space="preserve">ИП Кравченко О.Е.</t>
  </si>
  <si>
    <t xml:space="preserve">Счет №1 от 21.01.2026 г.</t>
  </si>
  <si>
    <t xml:space="preserve">2 аванс по Дог. №547 прил. 45 от 03.12.2025 г. (ГП 337 забор)</t>
  </si>
  <si>
    <t xml:space="preserve">ИП Галстян А.Г.</t>
  </si>
  <si>
    <t xml:space="preserve">счет №154 от 02.12.2025</t>
  </si>
  <si>
    <t xml:space="preserve">за щебень 20-40; 40-70 для дороги</t>
  </si>
  <si>
    <t xml:space="preserve">ООО "Альтус"</t>
  </si>
  <si>
    <t xml:space="preserve"> Счет № ОР00-000021 от 06.01.2026 </t>
  </si>
  <si>
    <t xml:space="preserve">за утеплитель Технолайт для кровли ГП 330</t>
  </si>
  <si>
    <t xml:space="preserve">ООО "Гермес"</t>
  </si>
  <si>
    <t xml:space="preserve">6 счетов №554, 559, 561, 564 ,571, 583 от 22.12.2025, №590 от 29.12.2025</t>
  </si>
  <si>
    <t xml:space="preserve">за бетон Б20 для ГП 257</t>
  </si>
  <si>
    <t xml:space="preserve">аванс  50 % за окна ГП 391</t>
  </si>
  <si>
    <t xml:space="preserve">ИП Кравченко К.Н.</t>
  </si>
  <si>
    <t xml:space="preserve">счет № 612 от 23.12.2025 </t>
  </si>
  <si>
    <t xml:space="preserve">за  пиломатериал для кровли ГП 330</t>
  </si>
  <si>
    <t xml:space="preserve">ООО "КМП ЮГ"</t>
  </si>
  <si>
    <t xml:space="preserve">счет №00U26002289 от 12.02.2026</t>
  </si>
  <si>
    <t xml:space="preserve">за сайдинг для кровли ГП 330</t>
  </si>
  <si>
    <t xml:space="preserve">Счет №40 от 04.12.2025</t>
  </si>
  <si>
    <t xml:space="preserve">Окончательный платеж по Дог. №1244/Р от 15.09.2025 (ГП 385-398 кровля)</t>
  </si>
  <si>
    <t xml:space="preserve">Счет № 314 от 08.10.2025 </t>
  </si>
  <si>
    <t xml:space="preserve">Счет №313 от 08.10.2025 </t>
  </si>
  <si>
    <t xml:space="preserve">Счет №307 от 30.09.2025</t>
  </si>
  <si>
    <t xml:space="preserve">Счет №321 от 14.10.2025</t>
  </si>
  <si>
    <t xml:space="preserve">ООО "Стройиндустрия"</t>
  </si>
  <si>
    <t xml:space="preserve">Счет № 13 от 29.04.2025 г.</t>
  </si>
  <si>
    <t xml:space="preserve">Оплата по Дог. №1191/Р от 02.09.2024 г. ДС №1 от 16.01.2025 г. (реконструкция узла учета)</t>
  </si>
  <si>
    <t xml:space="preserve">Счет №6 от 06.02.2026 г.</t>
  </si>
  <si>
    <t xml:space="preserve">Оплата по промежуточному закрытию к Дог. №945/Р от 18.10.2023 г.</t>
  </si>
  <si>
    <t xml:space="preserve">Счет №52 от 01.12.2025 г.</t>
  </si>
  <si>
    <t xml:space="preserve">Авансовый платеж по Дог. 1252/Р от 10.11.2025 (ГП 402 фасад)</t>
  </si>
  <si>
    <t xml:space="preserve">Счет №39 от 27.10.2025</t>
  </si>
  <si>
    <t xml:space="preserve">Окончательный платеж по Дог. 1231/Р от 26.06.2025 г. (кладка ГП 382/398)</t>
  </si>
  <si>
    <t xml:space="preserve">ИП Стрижакова У.А.</t>
  </si>
  <si>
    <t xml:space="preserve">Счет №26 от 15.10.2025 г.</t>
  </si>
  <si>
    <t xml:space="preserve">Окончательный платеж по Дог. №1201/Р от 24.12.2024 г. (Магистраль ул. Барто и Ахматовой)</t>
  </si>
  <si>
    <t>Гаркушенко</t>
  </si>
  <si>
    <t xml:space="preserve">ИП Данилов Вд</t>
  </si>
  <si>
    <t xml:space="preserve">сч 8 от 13.01.26</t>
  </si>
  <si>
    <t>.=132650,8-20000</t>
  </si>
  <si>
    <t xml:space="preserve">аренда декабрь,январь</t>
  </si>
  <si>
    <t xml:space="preserve">Дубинец М.Ю.</t>
  </si>
  <si>
    <t xml:space="preserve">ООО МЦ Гиппократ</t>
  </si>
  <si>
    <t xml:space="preserve">счет №25 от 26.06.26</t>
  </si>
  <si>
    <t>.4400</t>
  </si>
  <si>
    <t xml:space="preserve">оплата за медицинский осмотр </t>
  </si>
  <si>
    <t>Антоненко</t>
  </si>
  <si>
    <t xml:space="preserve">ИП Живой Н.Ю.</t>
  </si>
  <si>
    <t xml:space="preserve">Счет на оплату №360 от 09 октября 2025 г.</t>
  </si>
  <si>
    <t xml:space="preserve">Услуги по размещению рекламных материалов за 24 октября 2025 г - 24 октября 2026 г.(оплата №3)</t>
  </si>
  <si>
    <t xml:space="preserve">ООО «СМБ-Сервис»</t>
  </si>
  <si>
    <t xml:space="preserve">Счёт № ОПЛ-22259707519 ЛСС-5250098645-1 от 5 февраля 2026 г.</t>
  </si>
  <si>
    <t xml:space="preserve">Рекламные услуги в сети Интернет, счет номер ОПЛ-22259707519
ЛСС-5250098645-1.</t>
  </si>
  <si>
    <t xml:space="preserve">ООО «КЕХ еКоммерц»</t>
  </si>
  <si>
    <t xml:space="preserve">Счет №№ 01-2013480575 от 06 февраля 2026 г.</t>
  </si>
  <si>
    <t xml:space="preserve">Внесение аванса в личный кабинет 208993464 по счёту № 01-2013480575 от
06.02.2026 в сумме 40 000,00 руб., в т. ч. НДС 7 213,11 руб.</t>
  </si>
  <si>
    <t xml:space="preserve">ООО ЭЛТА</t>
  </si>
  <si>
    <t xml:space="preserve">сч 115 от 03.12.25</t>
  </si>
  <si>
    <t xml:space="preserve">аренда офис ноябрь декабрь</t>
  </si>
  <si>
    <t xml:space="preserve">Дмитриева О. В.</t>
  </si>
  <si>
    <t xml:space="preserve">ИФНС по ЕНП</t>
  </si>
  <si>
    <t xml:space="preserve">КБК 182 01 06 12 01 01 0000 510</t>
  </si>
  <si>
    <t xml:space="preserve">НДФЛ (период с 23.02.2026-28.02.2026)</t>
  </si>
  <si>
    <t xml:space="preserve">НДФЛ (период с 01.02.2026-22.02.2026)</t>
  </si>
  <si>
    <t xml:space="preserve">КБК 18201061201010000510</t>
  </si>
  <si>
    <t>ЕНП</t>
  </si>
  <si>
    <t xml:space="preserve">Имущество год 2025 г.</t>
  </si>
  <si>
    <t xml:space="preserve">До 27.02.26 г.</t>
  </si>
  <si>
    <t xml:space="preserve">Зем.налог 2025 г.</t>
  </si>
  <si>
    <t xml:space="preserve">Тр.налог 2025 г.</t>
  </si>
  <si>
    <t xml:space="preserve">ИП Глазунов Е.А.</t>
  </si>
  <si>
    <t xml:space="preserve">Сч.№283 от 19.12.25 г.</t>
  </si>
  <si>
    <t xml:space="preserve">Уборка за декабрь 2025 г.</t>
  </si>
  <si>
    <t xml:space="preserve">Страховые взносы за январь 2026 г (налоги с фот)</t>
  </si>
  <si>
    <t xml:space="preserve">Кириленко О.А.</t>
  </si>
  <si>
    <t xml:space="preserve">ООО АФ Стандарт</t>
  </si>
  <si>
    <t xml:space="preserve">сч№48 от 08.11.25г</t>
  </si>
  <si>
    <t xml:space="preserve">Аудиторское заключение</t>
  </si>
  <si>
    <t xml:space="preserve">НДС </t>
  </si>
  <si>
    <t>.1033747</t>
  </si>
  <si>
    <t xml:space="preserve">ТНС энерго</t>
  </si>
  <si>
    <t xml:space="preserve">Сч.№61250200258/200507 от 31.12.25 г.</t>
  </si>
  <si>
    <t>.1707,99</t>
  </si>
  <si>
    <t>ПЕНЯ</t>
  </si>
  <si>
    <t xml:space="preserve">Сч.№16 от 22.01.26 г.</t>
  </si>
  <si>
    <t>.61613</t>
  </si>
  <si>
    <t xml:space="preserve">Уборка за январь 2026 г.</t>
  </si>
  <si>
    <t>Вертикаль</t>
  </si>
  <si>
    <t xml:space="preserve">Оплата по договору № 211123.01 от 21.11.2023г. НДС не облагается.</t>
  </si>
  <si>
    <t xml:space="preserve">с СБ на ПСБ</t>
  </si>
  <si>
    <t xml:space="preserve">Метком Инвест</t>
  </si>
  <si>
    <t xml:space="preserve">Оплата по договору №27.12-3 от 27.12.2017г. за оказание комплекса услуг в области бухучета, правового обеспечения, кадрового делопроизводства, администрирования.  НДС не облагается.</t>
  </si>
  <si>
    <t xml:space="preserve">с ГТБ</t>
  </si>
  <si>
    <t>ГТБ</t>
  </si>
  <si>
    <t xml:space="preserve">Частичное досрочное погашение ссудной задолженности в сумме 1 500 000 руб., по кредитному договору № № 25/07/00003-Л от «07» марта 2025 г.</t>
  </si>
  <si>
    <t xml:space="preserve">375 000 с РИК</t>
  </si>
  <si>
    <t xml:space="preserve">Светличный А.В.</t>
  </si>
  <si>
    <t xml:space="preserve">АО Ростовводоканал</t>
  </si>
  <si>
    <t xml:space="preserve">Сч. 1002543/02 от 31.01.2026г.</t>
  </si>
  <si>
    <t>.2417,37</t>
  </si>
  <si>
    <t xml:space="preserve">Пеня за январь 2026г.</t>
  </si>
  <si>
    <t xml:space="preserve">Сч. 1006125 от 31.01.2026г.</t>
  </si>
  <si>
    <t>.556026,95</t>
  </si>
  <si>
    <t xml:space="preserve">водоотведение за январь 2026г.</t>
  </si>
  <si>
    <t xml:space="preserve">ПАО ТНС энерго</t>
  </si>
  <si>
    <t xml:space="preserve">Сч. 61250204923/14938 от 31.01.2026г.</t>
  </si>
  <si>
    <t>.979387,83</t>
  </si>
  <si>
    <t xml:space="preserve">Окончательный расчёт за январь 2026г.</t>
  </si>
  <si>
    <t xml:space="preserve">145 от 12 января 2026г.</t>
  </si>
  <si>
    <t>.40000</t>
  </si>
  <si>
    <t xml:space="preserve">ТО ворот и шлагбаумов октябрь, ноябрь, декабрь 2025г.</t>
  </si>
  <si>
    <t xml:space="preserve">Светличный А.В,</t>
  </si>
  <si>
    <t xml:space="preserve">ИП Липкович Е.А.</t>
  </si>
  <si>
    <t xml:space="preserve">121 от 30 сентября 2025г.</t>
  </si>
  <si>
    <t>.136000</t>
  </si>
  <si>
    <t xml:space="preserve">Аренда движимого имущества (насосы КНС) за сентябрь</t>
  </si>
  <si>
    <t xml:space="preserve">Хацкевич Д.А. </t>
  </si>
  <si>
    <t xml:space="preserve">Счёт №2 от 12.02.2025</t>
  </si>
  <si>
    <t>.127065</t>
  </si>
  <si>
    <t xml:space="preserve">Ремонт крана</t>
  </si>
  <si>
    <t xml:space="preserve">Филь М.М.</t>
  </si>
  <si>
    <t xml:space="preserve">ИП Фролова О.А.</t>
  </si>
  <si>
    <t xml:space="preserve">Счет № 02/07-2 от 02.07.25</t>
  </si>
  <si>
    <t>.46200</t>
  </si>
  <si>
    <t xml:space="preserve">ремонт привода ворот </t>
  </si>
  <si>
    <t xml:space="preserve">ИП Липкович</t>
  </si>
  <si>
    <t xml:space="preserve">Счёт №104 от 31 марта 2025г.</t>
  </si>
  <si>
    <t xml:space="preserve">Аренда насосов КНС за март 2025г. по дог. 01.01.25ЯП от 01 января 2025г.</t>
  </si>
  <si>
    <t xml:space="preserve">Счёт №106 от 31 мая 2025г.</t>
  </si>
  <si>
    <t xml:space="preserve">Аренда насосов КНС за май 2025г. по дог. 01.01.25ЯП от 01 января 2025г.</t>
  </si>
  <si>
    <t xml:space="preserve">Счёт №107 от 30 июня 2025г.</t>
  </si>
  <si>
    <t xml:space="preserve">Аренда насосов КНС за июнь 2025г. по дог. 01.01.25ЯП от 01 января 2025г.</t>
  </si>
  <si>
    <t xml:space="preserve">Счёт №108 от 31 июля 2025г.</t>
  </si>
  <si>
    <t xml:space="preserve">Аренда насосов КНС за июль 2025г. по дог. 01.01.25ЯП от 01 января 2025г.</t>
  </si>
  <si>
    <t xml:space="preserve">Счёт №109 от 31 августа 2025г.</t>
  </si>
  <si>
    <t xml:space="preserve">Аренда насосов КНС за август 2025г. по дог. 01.01.25ЯП от 01 января 2025г.</t>
  </si>
  <si>
    <t xml:space="preserve">Сч. 186 от 31.10.25</t>
  </si>
  <si>
    <t xml:space="preserve">Аренда насосов КНС за октябрь 2025г.</t>
  </si>
  <si>
    <t xml:space="preserve">Счёт 198 от 30 ноября 2025г.</t>
  </si>
  <si>
    <t xml:space="preserve">Аренда насосов КНС за ноябрь 2025г. по дог. 01.01.25ЯП от 01 января 2025г.</t>
  </si>
  <si>
    <t xml:space="preserve">Газпром межрегионгаз</t>
  </si>
  <si>
    <t xml:space="preserve">Счёт Ф-7750 от 01.01.2026г.</t>
  </si>
  <si>
    <t>.1214650,87-50000-50000-50000</t>
  </si>
  <si>
    <t xml:space="preserve">Газ природный за декабрь 2025г. население</t>
  </si>
  <si>
    <t xml:space="preserve">ООО "ОП "КРИСТАЛЛ ГРУПП"</t>
  </si>
  <si>
    <t xml:space="preserve">Счёт №122 от 01.12.2025г.</t>
  </si>
  <si>
    <t>.650000-325000-175000</t>
  </si>
  <si>
    <t xml:space="preserve">Услуги охраны за декабрь 2025г.</t>
  </si>
  <si>
    <t xml:space="preserve">Счет №2 от 15.01.2026.</t>
  </si>
  <si>
    <t>.61200</t>
  </si>
  <si>
    <t xml:space="preserve">Ремонтные работы трактора Беларус </t>
  </si>
  <si>
    <t xml:space="preserve">Счёт 1477508 от 31.12.2025г.</t>
  </si>
  <si>
    <t>.175642,72</t>
  </si>
  <si>
    <t xml:space="preserve">Декабрь 2025г.</t>
  </si>
  <si>
    <t xml:space="preserve">Счёт 61250204923/213289 от 31.12.2025г.</t>
  </si>
  <si>
    <t>.749357,94-50000-50000-25000-100000-124357,94</t>
  </si>
  <si>
    <t xml:space="preserve">Окончательный расчёт за декабрь 2025г.</t>
  </si>
  <si>
    <t xml:space="preserve">Хацкевич Д.А. </t>
  </si>
  <si>
    <t xml:space="preserve">ООО ЭКОГРАД-Н</t>
  </si>
  <si>
    <t xml:space="preserve">Сч№АП-1237 от 31.01.26.</t>
  </si>
  <si>
    <t>.136659,68</t>
  </si>
  <si>
    <t xml:space="preserve">Услуги по обращению с ТКО(за Январь)</t>
  </si>
  <si>
    <t xml:space="preserve">ООО "Дон-Энергосервис"</t>
  </si>
  <si>
    <t xml:space="preserve">Акт сверки 01.01.25-30.01.2026</t>
  </si>
  <si>
    <t>.44000-20000</t>
  </si>
  <si>
    <t xml:space="preserve">Страхование ОПО за 2025г.</t>
  </si>
  <si>
    <t xml:space="preserve">ООО Газпром МРГ</t>
  </si>
  <si>
    <t xml:space="preserve">Счёт Ф-19249 от 01.02.26</t>
  </si>
  <si>
    <t>.1672349,39</t>
  </si>
  <si>
    <t xml:space="preserve">Предоплата за газ по физикам</t>
  </si>
  <si>
    <t xml:space="preserve">Счёт Ф-61942 от 01.12.25</t>
  </si>
  <si>
    <t>.254681,59</t>
  </si>
  <si>
    <t xml:space="preserve">Предоплата по физ. дог. 20681/15-Н</t>
  </si>
  <si>
    <t xml:space="preserve">ООО "ОП "КРИСТАЛЛ ГРУПП" </t>
  </si>
  <si>
    <t>.375000</t>
  </si>
  <si>
    <t xml:space="preserve">Услуги охраны за январь 2026г.</t>
  </si>
  <si>
    <t xml:space="preserve">Счёт №14 от 02.02.2026г.</t>
  </si>
  <si>
    <t>.750000-375000</t>
  </si>
  <si>
    <t xml:space="preserve">Услуги охраны за февраль 2026г.</t>
  </si>
  <si>
    <t xml:space="preserve">ООО "Интернет Решения"</t>
  </si>
  <si>
    <t xml:space="preserve">Счет-Оферта № 0167846192-0071 от 03.03.2026</t>
  </si>
  <si>
    <t xml:space="preserve">за пломбы для счетчиков газа, воды, проволока</t>
  </si>
  <si>
    <t xml:space="preserve">Потаралова И.В.</t>
  </si>
  <si>
    <t xml:space="preserve">ИП Исаев О.Ю.</t>
  </si>
  <si>
    <t xml:space="preserve">Счёт №26571,26572 от 02.03.2026г.</t>
  </si>
  <si>
    <t xml:space="preserve">Вода питьевая "Каньон" 8шт.</t>
  </si>
  <si>
    <t xml:space="preserve">ООО "ЛЕ МОНЛИД</t>
  </si>
  <si>
    <t xml:space="preserve">счет №014 000-067128/7890</t>
  </si>
  <si>
    <t xml:space="preserve">за средство от болезней деревьев.</t>
  </si>
  <si>
    <t xml:space="preserve">ООО МК ВЕКТОР</t>
  </si>
  <si>
    <t xml:space="preserve">Сч.№108 от 31.01.2026.</t>
  </si>
  <si>
    <t xml:space="preserve">Вывоз мульды ( за Январь ) </t>
  </si>
  <si>
    <t xml:space="preserve">Индивидуальный предприниматель Кретова Екатерина Владимировна</t>
  </si>
  <si>
    <t xml:space="preserve">Счет на оплату № 1311 от 26 февраля 2026 г.</t>
  </si>
  <si>
    <t xml:space="preserve">макет табличек 40х30см, Табличка 40х30см пвх 5мм</t>
  </si>
  <si>
    <t xml:space="preserve">ОПЛАТА ЗА УХОДОВЫЕ РАБОТЫ ПО ДОГ. №ФП-10660-15 ОТ 05.05.2022Г. НДС НЕ ОБЛАГАЕТСЯ.</t>
  </si>
  <si>
    <t xml:space="preserve">Хацкевич Дмитрий Алексеевич</t>
  </si>
  <si>
    <t>Заявление</t>
  </si>
  <si>
    <t xml:space="preserve">На хоз.нужды</t>
  </si>
  <si>
    <t xml:space="preserve">НДФЛ (период с 23.02-28.02.2026)</t>
  </si>
  <si>
    <t>.99539</t>
  </si>
  <si>
    <t>УСН</t>
  </si>
  <si>
    <t xml:space="preserve">УСН 2025 г.</t>
  </si>
  <si>
    <t xml:space="preserve">Оплата за услуги по Договору об оказании инжиниринговых услуг №01.10.21-01 от 01.10.2021 в т.ч. НДС 20%</t>
  </si>
  <si>
    <t xml:space="preserve">на обработке</t>
  </si>
  <si>
    <t xml:space="preserve">Договор аренды оборудования и сетей канализации № 02/24-Р от 01.06.2024 г</t>
  </si>
  <si>
    <t xml:space="preserve">зайдет 5 000 000 от клиента</t>
  </si>
  <si>
    <t xml:space="preserve">Счет №ОРУТ-004419 от 03.03.2026 </t>
  </si>
  <si>
    <t>.147640,32</t>
  </si>
  <si>
    <t xml:space="preserve">за утеплитель Технониколь для  ГП 339.</t>
  </si>
  <si>
    <t xml:space="preserve">ООО "Технология и Материалы"</t>
  </si>
  <si>
    <t xml:space="preserve">счет №170 от 03.03.2026</t>
  </si>
  <si>
    <t>.116928</t>
  </si>
  <si>
    <t xml:space="preserve">за клей для кладки ТИМ-22, белый, для ГП 339.</t>
  </si>
  <si>
    <t>.=1348251,9-300000-300000</t>
  </si>
  <si>
    <t>.=1028704,63-300000</t>
  </si>
  <si>
    <t>.=398800,00-200000</t>
  </si>
  <si>
    <t xml:space="preserve">Аванс Придомовые территории по дог. №ФП-10660-14 от 06.05.2022 г. прил. 35 от 27.11.2025 г., НДС 5%</t>
  </si>
  <si>
    <t xml:space="preserve">с поступлений</t>
  </si>
  <si>
    <t xml:space="preserve">ИП Королева Е. С.</t>
  </si>
  <si>
    <t xml:space="preserve">Счет на оплату № 560326У от 25 февраля 2026 г.</t>
  </si>
  <si>
    <t xml:space="preserve">Разработка стратегии, медиаплана, рекламных офферов,
создание рим</t>
  </si>
  <si>
    <t xml:space="preserve">Ясная Поляна</t>
  </si>
  <si>
    <t xml:space="preserve">Оплата по дог. 99/Р-1 от 03.04.2017 за оказание услуг, выполнение работ по обслуживанию Малоэтажного жилого комплекса  НДС не облагается.</t>
  </si>
  <si>
    <t>.=1214650,87-50000-50000-50000-500000</t>
  </si>
  <si>
    <t>.=749357,94-50000-50000-25000-100000-124357,94</t>
  </si>
  <si>
    <t xml:space="preserve">ООО Баском</t>
  </si>
  <si>
    <t xml:space="preserve">Сч.-оферта 1549 от 03.03.2026г.</t>
  </si>
  <si>
    <t>.18993</t>
  </si>
  <si>
    <t xml:space="preserve">Трос нерж. для насоса скважины СОВ</t>
  </si>
  <si>
    <t xml:space="preserve">ООО "Успех"</t>
  </si>
  <si>
    <t xml:space="preserve">Счет № 9513 от 04.03.2026 </t>
  </si>
  <si>
    <t>.19789,56</t>
  </si>
  <si>
    <t xml:space="preserve">Сбер Ростов</t>
  </si>
  <si>
    <t>реестр</t>
  </si>
  <si>
    <t xml:space="preserve">отпускные за март 2026 г.</t>
  </si>
  <si>
    <t xml:space="preserve">Сбер Ростов/ОП Темерницкий</t>
  </si>
  <si>
    <t>отпускные</t>
  </si>
  <si>
    <t xml:space="preserve">100 000 с Вертикаль</t>
  </si>
  <si>
    <t>.1357,24</t>
  </si>
  <si>
    <t xml:space="preserve">с ГТБ на СБ</t>
  </si>
  <si>
    <t xml:space="preserve">Счет №16 от 03.03.2026 г.</t>
  </si>
  <si>
    <t xml:space="preserve">2 Аванс по Договору №1257/Р от 12.12.2025 г. (ГП 330 кровля)</t>
  </si>
  <si>
    <t xml:space="preserve">Амитон Д.Д.</t>
  </si>
  <si>
    <t xml:space="preserve">ПАО Вымпелком</t>
  </si>
  <si>
    <t xml:space="preserve">счёт 101189696952 от 28.02.26</t>
  </si>
  <si>
    <t>.14194,72</t>
  </si>
  <si>
    <t xml:space="preserve">оплата услуг связи</t>
  </si>
  <si>
    <t xml:space="preserve">ООО ТТК-Связь Межригиональный филиал Запад</t>
  </si>
  <si>
    <t xml:space="preserve">счёт 6101/ONS/2602664395380 от 28.02.2026</t>
  </si>
  <si>
    <t>.1220</t>
  </si>
  <si>
    <t xml:space="preserve">на карту третьих лиц/ Голик Вероника Андреевна</t>
  </si>
  <si>
    <t xml:space="preserve">отдельным платежом</t>
  </si>
  <si>
    <t xml:space="preserve">заработная плата за февраль 2026 г.</t>
  </si>
  <si>
    <t xml:space="preserve">Сбер Ростов/АУП</t>
  </si>
  <si>
    <t xml:space="preserve">ОСФР ПО РОСТОВСКОЙ ОБЛАСТИ , Л/С 04584Ф58010)</t>
  </si>
  <si>
    <t xml:space="preserve">КБК 79710212000061000160</t>
  </si>
  <si>
    <t xml:space="preserve">Страховые взносы по НС и ПЗ за февраль 2026 г (налоги с фот)</t>
  </si>
  <si>
    <t xml:space="preserve">Сч.№61250200258/22679 от 01.03.26 г.</t>
  </si>
  <si>
    <t>.3569,01</t>
  </si>
  <si>
    <t xml:space="preserve">Аванс 30% за электроэнергию за март 2026 г.</t>
  </si>
  <si>
    <t>.1500000</t>
  </si>
  <si>
    <t>.556026,95-60000</t>
  </si>
  <si>
    <t>.979387,83-400000</t>
  </si>
  <si>
    <t>.650000-325000-175000-50000</t>
  </si>
  <si>
    <t>Нет</t>
  </si>
  <si>
    <t xml:space="preserve">нужно оплатить</t>
  </si>
  <si>
    <t xml:space="preserve">Ефремов А.В.</t>
  </si>
  <si>
    <t xml:space="preserve">ИП Стрижакова У.А,</t>
  </si>
  <si>
    <t xml:space="preserve">Счет №7 от 06.03.26г.</t>
  </si>
  <si>
    <t xml:space="preserve">ТО КНС</t>
  </si>
  <si>
    <t xml:space="preserve">ООО Офисмаг</t>
  </si>
  <si>
    <t xml:space="preserve">сч-кор-со-152534 от 02.03.26</t>
  </si>
  <si>
    <t xml:space="preserve">канц товары</t>
  </si>
  <si>
    <t xml:space="preserve">Фабрика проектов</t>
  </si>
  <si>
    <t xml:space="preserve">Оплата  за уходовые работы по дог. №ФП-10660-15 от 05.05.2022г. НДС не облагается.</t>
  </si>
  <si>
    <t xml:space="preserve">на АБ</t>
  </si>
  <si>
    <t xml:space="preserve">на карту третьих лиц/Коноваленко Анатолий Георгиевич</t>
  </si>
  <si>
    <t xml:space="preserve">Заработная плата за февраль  2026 г</t>
  </si>
  <si>
    <t xml:space="preserve">КБ КУБАНЬ КРЕДИТ</t>
  </si>
  <si>
    <t xml:space="preserve">Железнодорожное РОСП г.Ростова-на-Дону</t>
  </si>
  <si>
    <t>Исп.лист</t>
  </si>
  <si>
    <t xml:space="preserve">Удержание из заработной платы Есенского Игоря Викторовича</t>
  </si>
  <si>
    <t xml:space="preserve">на карту третьих лиц/Голик Вероника Андреевна</t>
  </si>
  <si>
    <t xml:space="preserve">больничные листы за март 2026 г.</t>
  </si>
  <si>
    <t xml:space="preserve">с вертикаль</t>
  </si>
  <si>
    <t xml:space="preserve">Лазарева Л.Ю</t>
  </si>
  <si>
    <t xml:space="preserve">Страховые взносы за февраль 2026г(налоги с фот)</t>
  </si>
  <si>
    <t>.9172,95</t>
  </si>
  <si>
    <t xml:space="preserve">Чуприна Ю.Ю.</t>
  </si>
  <si>
    <t xml:space="preserve">ТНС Энерго</t>
  </si>
  <si>
    <t xml:space="preserve">сч.№61250204841/23343 от 01.03.2026</t>
  </si>
  <si>
    <t xml:space="preserve">оплата 30% за март 2026. Срок оплаты до 10.03.2026</t>
  </si>
  <si>
    <t xml:space="preserve">на карту третьих лиц</t>
  </si>
  <si>
    <t xml:space="preserve">Зар.плата за февраль 2026г</t>
  </si>
  <si>
    <t xml:space="preserve">Страховые взносы за февраль 2026г(налоги с фот)+ НДФЛ (период с 01.03-22.03.2026)</t>
  </si>
  <si>
    <t xml:space="preserve">Страховые взносы по НС и ПЗ за февраль 2026г (налоги с фот)</t>
  </si>
  <si>
    <t xml:space="preserve">Страховые взносы за февраль 2026 г (налоги с фот)</t>
  </si>
  <si>
    <t xml:space="preserve">Счет №29 от 12.03.2026 г.</t>
  </si>
  <si>
    <t>.55700,00</t>
  </si>
  <si>
    <t xml:space="preserve">Промежуточный платеж за посадку растений по Дог. №ФП-10660-14 от 06.05.2022 г. прил. 34 от 12.11.2025 г.</t>
  </si>
  <si>
    <t xml:space="preserve">Счет №30 от 12.03.2026 г.</t>
  </si>
  <si>
    <t>.326200,00</t>
  </si>
  <si>
    <t xml:space="preserve">Промежуточный платеж придомовые территории по Дог. №ФП-10660-14 от 06.05.2022 г. прил. №35 от 27.11.2025 г.</t>
  </si>
  <si>
    <t xml:space="preserve">Счёт № ОПЛ-22413274693 ЛСС-5250098645-1 от 10 марта 2026 г.</t>
  </si>
  <si>
    <t>.100000</t>
  </si>
  <si>
    <t xml:space="preserve">Рекламные услуги в сети Интернет, счет номер ОПЛ-22413274693
ЛСС-5250098645-1.</t>
  </si>
  <si>
    <t xml:space="preserve">Ткаченко Олег Александрович</t>
  </si>
  <si>
    <t xml:space="preserve">Авансовый отчет</t>
  </si>
  <si>
    <t xml:space="preserve">Сч. 1477508 от 31.12.2025г.</t>
  </si>
  <si>
    <t>.175642,72-50000</t>
  </si>
  <si>
    <t xml:space="preserve">водоотведение за декабрь 2025г.</t>
  </si>
  <si>
    <t>.282368-60000</t>
  </si>
  <si>
    <t>.979387,83-400000-70000</t>
  </si>
  <si>
    <t>.=1214650,87-50000-50000-50000-500000-150000</t>
  </si>
  <si>
    <t xml:space="preserve">Счёт Ф-23268 от 01 марта 2026г.</t>
  </si>
  <si>
    <t>.50613,1</t>
  </si>
  <si>
    <t xml:space="preserve">ЮЛ за февраль 2026г.</t>
  </si>
  <si>
    <t xml:space="preserve">Счёт Ф-31374 от 01 марта 2026г.</t>
  </si>
  <si>
    <t>.1695758,75</t>
  </si>
  <si>
    <t xml:space="preserve">ФЛ за февраль 2026г.</t>
  </si>
  <si>
    <t xml:space="preserve">Счёт 1048097 от 28.02.2026г.</t>
  </si>
  <si>
    <t>.622710,68</t>
  </si>
  <si>
    <t xml:space="preserve">Водоотведение за февраль 2026г.</t>
  </si>
  <si>
    <t>100000-50000</t>
  </si>
  <si>
    <t xml:space="preserve">Бюджет </t>
  </si>
  <si>
    <t xml:space="preserve">ПАО Ростелеком</t>
  </si>
  <si>
    <t xml:space="preserve">счёт 44100058248/0408 / 5410705 от 28.02.2026 г.</t>
  </si>
  <si>
    <t xml:space="preserve">ООО Яндекс 360 для бизнеса</t>
  </si>
  <si>
    <t xml:space="preserve">счёт ЛС-5001390123-1 от 11 марта 2026 г.</t>
  </si>
  <si>
    <t xml:space="preserve">оплата доступа к сервису электронной почты</t>
  </si>
  <si>
    <t>.340000</t>
  </si>
  <si>
    <t>Стадников</t>
  </si>
  <si>
    <t xml:space="preserve">ИП Малыш-Федорцов С.В.</t>
  </si>
  <si>
    <t xml:space="preserve">счет №32 от 28.02.2026</t>
  </si>
  <si>
    <t xml:space="preserve">аренда Невинка</t>
  </si>
  <si>
    <t xml:space="preserve">счет №19 от 12.03.2026</t>
  </si>
  <si>
    <t xml:space="preserve">за бетон Б15 для огр-ния ГП 337</t>
  </si>
  <si>
    <t>долг</t>
  </si>
  <si>
    <t xml:space="preserve">счет №21 от 13.03.2026</t>
  </si>
  <si>
    <t xml:space="preserve">за бетон Б15 для отмостки ГП 391</t>
  </si>
  <si>
    <t xml:space="preserve">Счет на оплату № 560326АЯД от 12 марта 2026 г.</t>
  </si>
  <si>
    <t xml:space="preserve">Пополнение бюджета рекламного кабинета сервиса Яндекс
Директ (ООО «Яндекс», ИНН 7736207543) по агентскому
договору № 20/01/2026А от 20.01.2026 на март 2026</t>
  </si>
  <si>
    <t>Луганская</t>
  </si>
  <si>
    <t xml:space="preserve">УФК по РО</t>
  </si>
  <si>
    <t xml:space="preserve">Государственная регистрация</t>
  </si>
  <si>
    <t xml:space="preserve">Госдарственная регистрация здания по адресу ул. Крылова, 9</t>
  </si>
  <si>
    <t xml:space="preserve">Сч.№94 от 16.03.26 г.</t>
  </si>
  <si>
    <t>.56255</t>
  </si>
  <si>
    <t xml:space="preserve">Уборка за февраль 2026 г.</t>
  </si>
  <si>
    <t xml:space="preserve">Сч.№93 от 16.03.26 г.</t>
  </si>
  <si>
    <t>.164699,96</t>
  </si>
  <si>
    <t xml:space="preserve">Счёт 61250204923/30152 от 28.02.2026г.</t>
  </si>
  <si>
    <t>.523928,38</t>
  </si>
  <si>
    <t xml:space="preserve">Окончательный расчёт за февраль 2026г.</t>
  </si>
  <si>
    <t>.342858,60-400000-70000</t>
  </si>
  <si>
    <t>.24000</t>
  </si>
  <si>
    <t xml:space="preserve">Счёт 25 от 28 февраля 2026г.</t>
  </si>
  <si>
    <t xml:space="preserve">Аренда насосов КНС за февраль 2026г.</t>
  </si>
  <si>
    <t>.=1214650,87-50000-50000-50000-500000-150000-60000</t>
  </si>
  <si>
    <t xml:space="preserve">Счёт 61250204923/16484 от 28.02.2026г.</t>
  </si>
  <si>
    <t>.24720,22</t>
  </si>
  <si>
    <t xml:space="preserve">Пеня за несвоевременную и неполную оплату</t>
  </si>
  <si>
    <t xml:space="preserve">Давыдова Н.Ю.</t>
  </si>
  <si>
    <t xml:space="preserve">ООО "Всеинструменты.ру"</t>
  </si>
  <si>
    <t xml:space="preserve">Сч №2603-106100-06900 от 13.03.2026г</t>
  </si>
  <si>
    <t xml:space="preserve">Опрыскиватель бензиновый для хим обработки растений КП "Ясная Поляна"</t>
  </si>
  <si>
    <t>Скан</t>
  </si>
  <si>
    <t xml:space="preserve">Счёт №27068, №27069 от 11.03.2026</t>
  </si>
  <si>
    <t xml:space="preserve">За воду питьевую "Каньон" 19 литров</t>
  </si>
  <si>
    <t xml:space="preserve">ФБУ Центр гигиены и эпидемиологии</t>
  </si>
  <si>
    <t xml:space="preserve">Счёт 1066/094 от 16.03.2026г.</t>
  </si>
  <si>
    <t xml:space="preserve">Испытания воды за март 2026г.</t>
  </si>
  <si>
    <t xml:space="preserve">сч№ 61250204841/39180 от 28.0.2026</t>
  </si>
  <si>
    <t xml:space="preserve">Окончат.расчет за февраль 2026. Срок опл. до 18.03.2026</t>
  </si>
  <si>
    <t xml:space="preserve">счет №27 от 17.03.2026</t>
  </si>
  <si>
    <t>.47600</t>
  </si>
  <si>
    <t xml:space="preserve">за бетон Б15 для ограждения ГП 337</t>
  </si>
  <si>
    <t>долг.</t>
  </si>
  <si>
    <t xml:space="preserve">ООО "ПКФ Эверест"</t>
  </si>
  <si>
    <t xml:space="preserve">Счет № СТ-25849 от 17.03.2026 </t>
  </si>
  <si>
    <t>.73285,70</t>
  </si>
  <si>
    <t xml:space="preserve">за штукатурку акрил, силикон Террако для ГП 391</t>
  </si>
  <si>
    <t xml:space="preserve">ООО "Донщебень"</t>
  </si>
  <si>
    <t xml:space="preserve">счет №28 от 13.03.2026</t>
  </si>
  <si>
    <t>.71200</t>
  </si>
  <si>
    <t xml:space="preserve">за щебень терриконовый для временных дорог</t>
  </si>
  <si>
    <t>.342858,60-400000-70000-100000</t>
  </si>
  <si>
    <t>.=1214650,87-50000-50000-50000-500000-150000-60000-50000-50000</t>
  </si>
  <si>
    <t>.=749357,94-50000-50000-25000-100000-124357,94-100000</t>
  </si>
  <si>
    <t xml:space="preserve">ООО "Лунда"</t>
  </si>
  <si>
    <t xml:space="preserve">Счёт 6577793 от 18 марта 2026г.</t>
  </si>
  <si>
    <t xml:space="preserve">Счётчики воды в колодцы, взамен вышедших из строя</t>
  </si>
  <si>
    <t xml:space="preserve">ИП Глазунов Е.А. </t>
  </si>
  <si>
    <t xml:space="preserve">Счёт №56 от 24.02.2026г.</t>
  </si>
  <si>
    <t xml:space="preserve">Ежедневная уборка помещения в феврале 2026г.</t>
  </si>
  <si>
    <t>.72980</t>
  </si>
  <si>
    <t xml:space="preserve">Счет №29 от 10.03.2026 г.</t>
  </si>
  <si>
    <t>.14000,00</t>
  </si>
  <si>
    <t xml:space="preserve">Счет №37 от 23.03.2026 г.</t>
  </si>
  <si>
    <t>.28000,00</t>
  </si>
  <si>
    <t xml:space="preserve">Счет №35 от 19.03.2026 г.</t>
  </si>
  <si>
    <t>.56000,00</t>
  </si>
  <si>
    <t xml:space="preserve">Счет №8 от 23.03.2026 г.</t>
  </si>
  <si>
    <t>.98550,00</t>
  </si>
  <si>
    <t xml:space="preserve">Оплата по Дог. №856/Р прил. 15 от 23.12.2025 г. (Отмостка ГП 391)</t>
  </si>
  <si>
    <t xml:space="preserve">ООО "Росттехплан"</t>
  </si>
  <si>
    <t xml:space="preserve">Счет №16/03 от 16.03.2026 г.</t>
  </si>
  <si>
    <t>.10000,00</t>
  </si>
  <si>
    <t xml:space="preserve">Оплата по Дог. №1260/Р ото 05.03.2026 г. (тех.план ГП 399)</t>
  </si>
  <si>
    <t xml:space="preserve">Федоров А.А .</t>
  </si>
  <si>
    <t xml:space="preserve">Счёт № ОПЛ-22463585116 ЛСС-5250098645-1 от 23 марта 2026 г.</t>
  </si>
  <si>
    <t xml:space="preserve">Рекламные услуги в сети Интернет, счет номер ОПЛ-22463585116
ЛСС-5250098645-1.</t>
  </si>
  <si>
    <t xml:space="preserve">ООО "Колтач Солюшнс"</t>
  </si>
  <si>
    <t xml:space="preserve">Счет на оплату № 31110 от 22 марта 2026 г.</t>
  </si>
  <si>
    <t>.8000</t>
  </si>
  <si>
    <t xml:space="preserve">Предоставление права на использование ПО по лицензионному
договору SL4/2/241016 за период 01.04.2026 - 30.04.2026 для
проекта clearglade.ru</t>
  </si>
  <si>
    <t xml:space="preserve">В назначении платежа необходимо указывать: "Оплата по счету №31110 от 22 марта 2026 г за
предоставление неисключительных прав на ПО, НДС не облагается"</t>
  </si>
  <si>
    <t xml:space="preserve">ООО "Телемир"</t>
  </si>
  <si>
    <t xml:space="preserve">Счет на оплату № 33171 от 22 марта 2026 г.</t>
  </si>
  <si>
    <t>.2200</t>
  </si>
  <si>
    <t xml:space="preserve">Предоставление услуг связи по договору T4/2/241016 за период
01.04.2026 - 30.04.2026 для проекта clearglade.ru</t>
  </si>
  <si>
    <t xml:space="preserve">В назначении платежа необходимо указывать: "Оплата по счету №33171 от 22 марта 2026 г, в
том числе НДС 22%, 396,72 руб."</t>
  </si>
  <si>
    <t xml:space="preserve">АНИСКОВИЧ ОЛЬГА ВИКТОРОВНА</t>
  </si>
  <si>
    <t xml:space="preserve">Счёт на оплату №27552363 от 23 марта 2026 г.</t>
  </si>
  <si>
    <t>.15000</t>
  </si>
  <si>
    <t xml:space="preserve">Ведение контекстной рекламы</t>
  </si>
  <si>
    <t xml:space="preserve">ИП Панов В.А,</t>
  </si>
  <si>
    <t xml:space="preserve">№450 от 18.03.26</t>
  </si>
  <si>
    <t>.126000</t>
  </si>
  <si>
    <t xml:space="preserve">Промывка колодцев от щебня</t>
  </si>
  <si>
    <t xml:space="preserve">№472 от 20.03.26</t>
  </si>
  <si>
    <t>.174300</t>
  </si>
  <si>
    <t xml:space="preserve">Промывка Фонвизина</t>
  </si>
  <si>
    <t xml:space="preserve">№261 от 17.02.26</t>
  </si>
  <si>
    <t>.4725</t>
  </si>
  <si>
    <t xml:space="preserve">Промывка Есенина д.6</t>
  </si>
  <si>
    <t xml:space="preserve">ООО ЛЕ МОНЛИД </t>
  </si>
  <si>
    <t xml:space="preserve">Сч.№067128 от20.03.26.</t>
  </si>
  <si>
    <t xml:space="preserve">Аванс Леруа Мерлен </t>
  </si>
  <si>
    <t xml:space="preserve">ООО МК ВЕКТОР </t>
  </si>
  <si>
    <t xml:space="preserve">Сч.№ 232 от 28.02.26.</t>
  </si>
  <si>
    <t>.50400</t>
  </si>
  <si>
    <t xml:space="preserve">Вывоз мульды ( оплата за Февраль ) </t>
  </si>
  <si>
    <t xml:space="preserve">ООО Медпрофдиагностика </t>
  </si>
  <si>
    <t xml:space="preserve">Сч.№ 155 от 18.03.26.</t>
  </si>
  <si>
    <t>.3800</t>
  </si>
  <si>
    <t xml:space="preserve">Предрейсовый медосмотр водителей УК</t>
  </si>
  <si>
    <t xml:space="preserve">ООО БИО-СЕРВИС</t>
  </si>
  <si>
    <t xml:space="preserve">Сч.№ 648 от 17.03.26.</t>
  </si>
  <si>
    <t>.13125</t>
  </si>
  <si>
    <t xml:space="preserve">Обслуживание МТК кабин </t>
  </si>
  <si>
    <t xml:space="preserve">Сч.№ 6 от 10.03.26.</t>
  </si>
  <si>
    <t>.4000</t>
  </si>
  <si>
    <t xml:space="preserve">Ремонтные работы автомобиля Газель </t>
  </si>
  <si>
    <t xml:space="preserve">ООО ЭКОГРАД -Н</t>
  </si>
  <si>
    <t>Сч№АП-2717от28.02.26.</t>
  </si>
  <si>
    <t xml:space="preserve">Вывоз мусора ( оплата за Февраль ) </t>
  </si>
  <si>
    <t xml:space="preserve">Счёт №27521,27520 от 19.03.2026</t>
  </si>
  <si>
    <t>.5100</t>
  </si>
  <si>
    <t xml:space="preserve">Вода питьевая "Ледяная капля" 15шт.</t>
  </si>
  <si>
    <t>.21178,86</t>
  </si>
  <si>
    <t xml:space="preserve">зарплата за первую половину марта 2026 г.</t>
  </si>
  <si>
    <t>.24347,71</t>
  </si>
  <si>
    <t>.339813,47</t>
  </si>
  <si>
    <t>.1819,76</t>
  </si>
  <si>
    <t>Заявления</t>
  </si>
  <si>
    <t>.8814</t>
  </si>
  <si>
    <t xml:space="preserve">сч.№61250204841/39774 от 01.03.2026</t>
  </si>
  <si>
    <t>.76658,18</t>
  </si>
  <si>
    <t xml:space="preserve">40% за март 2026, Срок оплаты до 25.03.2026</t>
  </si>
  <si>
    <t>.3869,06</t>
  </si>
  <si>
    <t xml:space="preserve">Зар.плата за 1 половину марта 2026г</t>
  </si>
  <si>
    <t>.600</t>
  </si>
  <si>
    <t xml:space="preserve">НДФЛ (период с 23.03-31.03.2026)</t>
  </si>
  <si>
    <t xml:space="preserve">ЕВРАЗ Маркет АО в г.Таганрог</t>
  </si>
  <si>
    <t xml:space="preserve">Договор № ИН-79519/0/23 от 03.04.2023</t>
  </si>
  <si>
    <t xml:space="preserve">Оплата за металлопрокат по счету № ИН00-060369 от 25.03.2026</t>
  </si>
  <si>
    <t xml:space="preserve">НДФЛ (период с 01.03.2026-22.03.2026)</t>
  </si>
  <si>
    <t xml:space="preserve">Коткова ОБ</t>
  </si>
  <si>
    <t>ИНТЕРФАКС</t>
  </si>
  <si>
    <t xml:space="preserve">Счет №С2026-01-52754 от 23.03.26</t>
  </si>
  <si>
    <t xml:space="preserve">публикация аудиторского заключения в Федресурсе</t>
  </si>
  <si>
    <t xml:space="preserve">НДФЛ (период с 01.03-22.03.2026)</t>
  </si>
  <si>
    <t xml:space="preserve">Перенесено с 24.03.26</t>
  </si>
  <si>
    <t xml:space="preserve">Счет №21 от 24.03.2026 г.</t>
  </si>
  <si>
    <t>.260869,50</t>
  </si>
  <si>
    <t xml:space="preserve">Окончательный платеж по Договору №1257/Р от 12.12.2025 г. (ГП 330 кровля)</t>
  </si>
  <si>
    <t xml:space="preserve">ООО Вертикаль</t>
  </si>
  <si>
    <t xml:space="preserve">На АБ</t>
  </si>
  <si>
    <t>.321049</t>
  </si>
  <si>
    <t xml:space="preserve">1/3 НДС 4 кв.25 г.</t>
  </si>
  <si>
    <t>.=749357,94-50000-50000-25000-100000-124357,94-100000-84744,07</t>
  </si>
  <si>
    <t>,36659,68</t>
  </si>
  <si>
    <t>.84744,07</t>
  </si>
  <si>
    <t xml:space="preserve">№486 от 23.03.26г.</t>
  </si>
  <si>
    <t>.53550</t>
  </si>
  <si>
    <t xml:space="preserve">Промывка круг</t>
  </si>
  <si>
    <t>бюджет</t>
  </si>
  <si>
    <t xml:space="preserve">по акту сверки</t>
  </si>
  <si>
    <t xml:space="preserve">Сукиасов К. А.</t>
  </si>
  <si>
    <t xml:space="preserve">ФНС России</t>
  </si>
  <si>
    <t xml:space="preserve">По реквизитам</t>
  </si>
  <si>
    <t xml:space="preserve">Госпошлина за выдачу судебного приказа по Матвееву С. Ю.</t>
  </si>
  <si>
    <t xml:space="preserve">Госпошлина за выдачу судебного приказа по Доценко А. А.</t>
  </si>
  <si>
    <t xml:space="preserve">Госпошлина за выдачу судебного приказа по Алферовой К. Ю.</t>
  </si>
  <si>
    <t xml:space="preserve">ИП Слащук ВА</t>
  </si>
  <si>
    <t xml:space="preserve">Оплата по договору №09/07 от 09.07.2019г. за стройматериалы. НДС не облагается.</t>
  </si>
  <si>
    <t xml:space="preserve">с СБ на АБ</t>
  </si>
  <si>
    <t xml:space="preserve">Фабрика Проектов</t>
  </si>
  <si>
    <t xml:space="preserve">ожидает средства для списания комиссии</t>
  </si>
  <si>
    <t xml:space="preserve">Сенин Е.И.</t>
  </si>
  <si>
    <t xml:space="preserve">Федоров А.А.</t>
  </si>
  <si>
    <t xml:space="preserve">Cчет № ИН00-064333 от 30.03.2026</t>
  </si>
  <si>
    <t xml:space="preserve">металлопрокат, Оплата за металлопрокат по счету № ИН00-064333 от 30.03.2026</t>
  </si>
  <si>
    <t xml:space="preserve">ООО "Агроцентр Дон"</t>
  </si>
  <si>
    <t xml:space="preserve">счет №38 от 31.03.2026</t>
  </si>
  <si>
    <t>.25000</t>
  </si>
  <si>
    <t xml:space="preserve">за химикат Граунд от амброзии.</t>
  </si>
  <si>
    <t xml:space="preserve">ООО "ЛЕ МОНЛИД"</t>
  </si>
  <si>
    <t xml:space="preserve">счет №014 000-067128/3221 от 31.03.2026</t>
  </si>
  <si>
    <t>.41480,4</t>
  </si>
  <si>
    <t xml:space="preserve">за 4 триммера Патриот 3 л.с.</t>
  </si>
  <si>
    <t xml:space="preserve">Сч 014 000-067128 от 31.03.2026</t>
  </si>
  <si>
    <t xml:space="preserve">Туя западная Даника (вазоны у Мэрии), респираторы для хим обработки</t>
  </si>
  <si>
    <t xml:space="preserve">ИП Панов В.А.</t>
  </si>
  <si>
    <t xml:space="preserve">Сч. 486 от 23 марта 2026г.</t>
  </si>
  <si>
    <t xml:space="preserve">Прочистка канализационной сети</t>
  </si>
  <si>
    <t xml:space="preserve">Сч. 6598179 от 25 марта 2026г.</t>
  </si>
  <si>
    <t xml:space="preserve">Краны и муфты на полив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</si>
</sst>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0" formatCode="_-* #,##0.00\ _₽_-;\-* #,##0.00\ _₽_-;_-* &quot;-&quot;??\ _₽_-;_-@_-"/>
    <numFmt numFmtId="161" formatCode="[$-F800]dddd\,\ mmmm\ dd\,\ yyyy"/>
    <numFmt numFmtId="162" formatCode="_-* #,##0.00_р_._-;\-* #,##0.00_р_._-;_-* &quot;-&quot;??_р_._-;_-@_-"/>
    <numFmt numFmtId="163" formatCode="#,##0.00_ ;[Red]\-#,##0.00\ "/>
  </numFmts>
  <fonts count="27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1.000000"/>
      <color indexed="2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sz val="9.000000"/>
      <color theme="1"/>
      <name val="Times New Roman"/>
    </font>
    <font>
      <b val="0"/>
      <i val="0"/>
      <strike val="0"/>
      <u val="none"/>
      <sz val="11.000000"/>
      <name val="Times New Roman"/>
    </font>
    <font>
      <sz val="11.000000"/>
      <name val="Times New Roman"/>
    </font>
    <font>
      <b/>
      <sz val="11.000000"/>
      <name val="Times New Roman"/>
    </font>
    <font>
      <b/>
      <sz val="11.000000"/>
      <name val="Calibri"/>
    </font>
    <font>
      <b/>
      <sz val="11.000000"/>
      <color indexed="2"/>
      <name val="Calibri"/>
      <scheme val="minor"/>
    </font>
    <font>
      <b/>
      <u/>
      <sz val="11.000000"/>
      <name val="Times New Roman"/>
    </font>
    <font>
      <b/>
      <sz val="13.000000"/>
      <name val="Times New Roman"/>
    </font>
    <font>
      <sz val="11.000000"/>
      <name val="Calibri"/>
      <scheme val="minor"/>
    </font>
    <font>
      <b/>
      <i/>
      <sz val="11.000000"/>
      <name val="Times New Roman"/>
    </font>
    <font>
      <i/>
      <sz val="11.000000"/>
      <name val="Times New Roman"/>
    </font>
    <font>
      <b/>
      <sz val="9.000000"/>
      <name val="Times New Roman"/>
    </font>
    <font>
      <b val="0"/>
      <i val="0"/>
      <strike val="0"/>
      <u val="none"/>
      <sz val="8.000000"/>
      <name val="Arial"/>
    </font>
    <font>
      <b val="0"/>
      <i val="0"/>
      <strike val="0"/>
      <u val="none"/>
      <sz val="11.000000"/>
      <color theme="1" tint="0"/>
      <name val="Times New Roman"/>
    </font>
    <font>
      <i val="0"/>
      <strike val="0"/>
      <u val="none"/>
      <sz val="11.000000"/>
      <name val="Times New Roman"/>
    </font>
    <font>
      <sz val="11.000000"/>
      <color indexed="2"/>
      <name val="Calibri"/>
      <scheme val="minor"/>
    </font>
    <font>
      <b val="0"/>
      <i val="0"/>
      <strike val="0"/>
      <u val="none"/>
      <sz val="12.000000"/>
      <name val="Times New Roman"/>
    </font>
    <font>
      <i val="0"/>
      <strike val="0"/>
      <u val="none"/>
      <sz val="11.000000"/>
      <color theme="1" tint="0"/>
      <name val="Times New Roman"/>
    </font>
    <font>
      <sz val="11.000000"/>
      <color theme="1" tint="0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26"/>
      </patternFill>
    </fill>
    <fill>
      <patternFill patternType="solid">
        <fgColor theme="0"/>
        <bgColor rgb="FFFFFFC1"/>
      </patternFill>
    </fill>
    <fill>
      <patternFill patternType="solid">
        <fgColor theme="0"/>
        <bgColor rgb="FFC5E0B4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29"/>
      </patternFill>
    </fill>
    <fill>
      <patternFill patternType="solid">
        <fgColor theme="0"/>
        <bgColor rgb="FFE2F0D9"/>
      </patternFill>
    </fill>
    <fill>
      <patternFill patternType="solid">
        <fgColor rgb="FFC5DFB2"/>
        <bgColor rgb="FFC5DFB2"/>
      </patternFill>
    </fill>
    <fill>
      <patternFill patternType="solid">
        <fgColor rgb="FFE2EFD8"/>
        <bgColor rgb="FFE2EFD8"/>
      </patternFill>
    </fill>
    <fill>
      <patternFill patternType="solid">
        <fgColor indexed="65"/>
        <bgColor indexed="65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rgb="FFFFCCFF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0"/>
        <bgColor theme="0" tint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</fills>
  <borders count="116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theme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thin">
        <color theme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theme="1"/>
      </right>
      <top style="none"/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theme="1"/>
      </top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</borders>
  <cellStyleXfs count="3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901">
    <xf fontId="0" fillId="0" borderId="0" numFmtId="0" xfId="0"/>
    <xf fontId="0" fillId="0" borderId="0" numFmtId="0" xfId="1"/>
    <xf fontId="1" fillId="0" borderId="0" numFmtId="0" xfId="1" applyFont="1"/>
    <xf fontId="1" fillId="0" borderId="0" numFmtId="0" xfId="1" applyFont="1" applyAlignment="1">
      <alignment horizontal="center" wrapText="1"/>
    </xf>
    <xf fontId="2" fillId="0" borderId="0" numFmtId="0" xfId="1" applyFont="1"/>
    <xf fontId="3" fillId="2" borderId="1" numFmtId="161" xfId="1" applyNumberFormat="1" applyFont="1" applyFill="1" applyBorder="1" applyAlignment="1" applyProtection="1">
      <alignment horizontal="center" vertical="center"/>
      <protection locked="0"/>
    </xf>
    <xf fontId="4" fillId="0" borderId="0" numFmtId="162" xfId="1" applyNumberFormat="1" applyFont="1"/>
    <xf fontId="2" fillId="0" borderId="0" numFmtId="162" xfId="1" applyNumberFormat="1" applyFont="1"/>
    <xf fontId="2" fillId="0" borderId="0" numFmtId="0" xfId="1" applyFont="1" applyAlignment="1">
      <alignment wrapText="1"/>
    </xf>
    <xf fontId="5" fillId="3" borderId="2" numFmtId="0" xfId="1" applyFont="1" applyFill="1" applyBorder="1" applyAlignment="1" applyProtection="1">
      <alignment horizontal="center" vertical="center" wrapText="1"/>
      <protection locked="0"/>
    </xf>
    <xf fontId="5" fillId="3" borderId="3" numFmtId="0" xfId="1" applyFont="1" applyFill="1" applyBorder="1" applyAlignment="1" applyProtection="1">
      <alignment horizontal="center" vertical="center" wrapText="1"/>
      <protection locked="0"/>
    </xf>
    <xf fontId="5" fillId="3" borderId="4" numFmtId="0" xfId="1" applyFont="1" applyFill="1" applyBorder="1" applyAlignment="1" applyProtection="1">
      <alignment horizontal="center" vertical="center" wrapText="1"/>
      <protection locked="0"/>
    </xf>
    <xf fontId="5" fillId="3" borderId="1" numFmtId="163" xfId="1" applyNumberFormat="1" applyFont="1" applyFill="1" applyBorder="1" applyAlignment="1" applyProtection="1">
      <alignment horizontal="center" vertical="center"/>
      <protection locked="0"/>
    </xf>
    <xf fontId="2" fillId="0" borderId="0" numFmtId="0" xfId="1" applyFont="1" applyAlignment="1">
      <alignment horizontal="center" vertical="center" wrapText="1"/>
    </xf>
    <xf fontId="6" fillId="0" borderId="2" numFmtId="0" xfId="1" applyFont="1" applyBorder="1" applyAlignment="1" applyProtection="1">
      <alignment horizontal="right" vertical="center" wrapText="1"/>
      <protection locked="0"/>
    </xf>
    <xf fontId="6" fillId="0" borderId="3" numFmtId="0" xfId="1" applyFont="1" applyBorder="1" applyAlignment="1" applyProtection="1">
      <alignment horizontal="right" vertical="center" wrapText="1"/>
      <protection locked="0"/>
    </xf>
    <xf fontId="6" fillId="0" borderId="4" numFmtId="0" xfId="1" applyFont="1" applyBorder="1" applyAlignment="1" applyProtection="1">
      <alignment horizontal="right" vertical="center" wrapText="1"/>
      <protection locked="0"/>
    </xf>
    <xf fontId="7" fillId="0" borderId="1" numFmtId="163" xfId="1" applyNumberFormat="1" applyFont="1" applyBorder="1" applyAlignment="1" applyProtection="1">
      <alignment horizontal="right" vertical="center" wrapText="1"/>
      <protection locked="0"/>
    </xf>
    <xf fontId="8" fillId="0" borderId="1" numFmtId="0" xfId="1" applyFont="1" applyBorder="1" applyAlignment="1">
      <alignment horizontal="center" vertical="center" wrapText="1"/>
    </xf>
    <xf fontId="8" fillId="0" borderId="1" numFmtId="162" xfId="1" applyNumberFormat="1" applyFont="1" applyBorder="1" applyAlignment="1">
      <alignment horizontal="center" vertical="center" wrapText="1"/>
    </xf>
    <xf fontId="8" fillId="4" borderId="1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2" fillId="5" borderId="2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vertical="center"/>
    </xf>
    <xf fontId="2" fillId="5" borderId="3" numFmtId="0" xfId="1" applyFont="1" applyFill="1" applyBorder="1" applyAlignment="1">
      <alignment horizontal="center" vertical="center"/>
    </xf>
    <xf fontId="2" fillId="5" borderId="3" numFmtId="0" xfId="1" applyFont="1" applyFill="1" applyBorder="1" applyAlignment="1">
      <alignment horizontal="left" vertical="center"/>
    </xf>
    <xf fontId="2" fillId="5" borderId="3" numFmtId="163" xfId="1" applyNumberFormat="1" applyFont="1" applyFill="1" applyBorder="1" applyAlignment="1">
      <alignment vertical="center"/>
    </xf>
    <xf fontId="2" fillId="5" borderId="4" numFmtId="0" xfId="1" applyFont="1" applyFill="1" applyBorder="1" applyAlignment="1">
      <alignment vertical="center"/>
    </xf>
    <xf fontId="1" fillId="6" borderId="5" numFmtId="0" xfId="1" applyFont="1" applyFill="1" applyBorder="1" applyProtection="1">
      <protection locked="0"/>
    </xf>
    <xf fontId="9" fillId="7" borderId="6" numFmtId="0" xfId="1" applyFont="1" applyFill="1" applyBorder="1" applyAlignment="1" applyProtection="1">
      <alignment horizontal="left"/>
      <protection locked="0"/>
    </xf>
    <xf fontId="9" fillId="7" borderId="7" numFmtId="0" xfId="1" applyFont="1" applyFill="1" applyBorder="1" applyAlignment="1" applyProtection="1">
      <alignment horizontal="left" wrapText="1"/>
      <protection locked="0"/>
    </xf>
    <xf fontId="9" fillId="7" borderId="7" numFmtId="0" xfId="1" applyFont="1" applyFill="1" applyBorder="1" applyAlignment="1" applyProtection="1">
      <alignment horizontal="left"/>
      <protection locked="0"/>
    </xf>
    <xf fontId="9" fillId="7" borderId="7" numFmtId="163" xfId="1" applyNumberFormat="1" applyFont="1" applyFill="1" applyBorder="1" applyAlignment="1" applyProtection="1">
      <alignment horizontal="right"/>
      <protection locked="0"/>
    </xf>
    <xf fontId="10" fillId="7" borderId="6" numFmtId="0" xfId="1" applyFont="1" applyFill="1" applyBorder="1" applyAlignment="1" applyProtection="1">
      <alignment vertical="center" wrapText="1"/>
      <protection locked="0"/>
    </xf>
    <xf fontId="10" fillId="7" borderId="6" numFmtId="0" xfId="1" applyFont="1" applyFill="1" applyBorder="1" applyAlignment="1" applyProtection="1">
      <alignment vertical="center"/>
      <protection locked="0"/>
    </xf>
    <xf fontId="11" fillId="8" borderId="6" numFmtId="0" xfId="1" applyFont="1" applyFill="1" applyBorder="1" applyAlignment="1" applyProtection="1">
      <alignment horizontal="center" vertical="center"/>
      <protection locked="0"/>
    </xf>
    <xf fontId="0" fillId="7" borderId="6" numFmtId="0" xfId="1" applyFill="1" applyBorder="1" applyAlignment="1">
      <alignment vertical="center"/>
    </xf>
    <xf fontId="12" fillId="9" borderId="8" numFmtId="0" xfId="1" applyFont="1" applyFill="1" applyBorder="1" applyAlignment="1">
      <alignment vertical="center" wrapText="1"/>
    </xf>
    <xf fontId="1" fillId="6" borderId="9" numFmtId="0" xfId="1" applyFont="1" applyFill="1" applyBorder="1" applyProtection="1">
      <protection locked="0"/>
    </xf>
    <xf fontId="10" fillId="6" borderId="6" numFmtId="0" xfId="1" applyFont="1" applyFill="1" applyBorder="1" applyProtection="1">
      <protection locked="0"/>
    </xf>
    <xf fontId="10" fillId="6" borderId="6" numFmtId="163" xfId="1" applyNumberFormat="1" applyFont="1" applyFill="1" applyBorder="1" applyProtection="1">
      <protection locked="0"/>
    </xf>
    <xf fontId="10" fillId="6" borderId="6" numFmtId="0" xfId="1" applyFont="1" applyFill="1" applyBorder="1" applyAlignment="1" applyProtection="1">
      <alignment wrapText="1"/>
      <protection locked="0"/>
    </xf>
    <xf fontId="1" fillId="6" borderId="6" numFmtId="0" xfId="1" applyFont="1" applyFill="1" applyBorder="1" applyProtection="1">
      <protection locked="0"/>
    </xf>
    <xf fontId="0" fillId="6" borderId="6" numFmtId="0" xfId="1" applyFill="1" applyBorder="1"/>
    <xf fontId="0" fillId="6" borderId="8" numFmtId="0" xfId="1" applyFill="1" applyBorder="1"/>
    <xf fontId="10" fillId="10" borderId="6" numFmtId="163" xfId="1" applyNumberFormat="1" applyFont="1" applyFill="1" applyBorder="1" applyProtection="1">
      <protection locked="0"/>
    </xf>
    <xf fontId="10" fillId="6" borderId="10" numFmtId="0" xfId="1" applyFont="1" applyFill="1" applyBorder="1" applyProtection="1">
      <protection locked="0"/>
    </xf>
    <xf fontId="10" fillId="6" borderId="10" numFmtId="163" xfId="1" applyNumberFormat="1" applyFont="1" applyFill="1" applyBorder="1" applyProtection="1">
      <protection locked="0"/>
    </xf>
    <xf fontId="10" fillId="6" borderId="10" numFmtId="0" xfId="1" applyFont="1" applyFill="1" applyBorder="1" applyAlignment="1" applyProtection="1">
      <alignment wrapText="1"/>
      <protection locked="0"/>
    </xf>
    <xf fontId="10" fillId="10" borderId="6" numFmtId="0" xfId="1" applyFont="1" applyFill="1" applyBorder="1" applyProtection="1">
      <protection locked="0"/>
    </xf>
    <xf fontId="10" fillId="10" borderId="6" numFmtId="0" xfId="1" applyFont="1" applyFill="1" applyBorder="1" applyAlignment="1" applyProtection="1">
      <alignment wrapText="1"/>
      <protection locked="0"/>
    </xf>
    <xf fontId="10" fillId="7" borderId="10" numFmtId="0" xfId="1" applyFont="1" applyFill="1" applyBorder="1" applyProtection="1">
      <protection locked="0"/>
    </xf>
    <xf fontId="10" fillId="7" borderId="6" numFmtId="0" xfId="1" applyFont="1" applyFill="1" applyBorder="1" applyProtection="1">
      <protection locked="0"/>
    </xf>
    <xf fontId="1" fillId="6" borderId="10" numFmtId="0" xfId="1" applyFont="1" applyFill="1" applyBorder="1" applyProtection="1">
      <protection locked="0"/>
    </xf>
    <xf fontId="1" fillId="6" borderId="10" numFmtId="163" xfId="1" applyNumberFormat="1" applyFont="1" applyFill="1" applyBorder="1" applyProtection="1">
      <protection locked="0"/>
    </xf>
    <xf fontId="1" fillId="6" borderId="10" numFmtId="0" xfId="1" applyFont="1" applyFill="1" applyBorder="1" applyAlignment="1" applyProtection="1">
      <alignment wrapText="1"/>
      <protection locked="0"/>
    </xf>
    <xf fontId="1" fillId="0" borderId="10" numFmtId="0" xfId="1" applyFont="1" applyBorder="1" applyProtection="1">
      <protection locked="0"/>
    </xf>
    <xf fontId="0" fillId="0" borderId="6" numFmtId="0" xfId="1" applyBorder="1"/>
    <xf fontId="0" fillId="0" borderId="8" numFmtId="0" xfId="1" applyBorder="1"/>
    <xf fontId="1" fillId="0" borderId="6" numFmtId="0" xfId="1" applyFont="1" applyBorder="1" applyProtection="1">
      <protection locked="0"/>
    </xf>
    <xf fontId="1" fillId="0" borderId="6" numFmtId="163" xfId="1" applyNumberFormat="1" applyFont="1" applyBorder="1" applyProtection="1">
      <protection locked="0"/>
    </xf>
    <xf fontId="1" fillId="0" borderId="6" numFmtId="0" xfId="1" applyFont="1" applyBorder="1" applyAlignment="1" applyProtection="1">
      <alignment wrapText="1"/>
      <protection locked="0"/>
    </xf>
    <xf fontId="1" fillId="0" borderId="5" numFmtId="0" xfId="1" applyFont="1" applyBorder="1" applyProtection="1">
      <protection locked="0"/>
    </xf>
    <xf fontId="1" fillId="0" borderId="11" numFmtId="0" xfId="1" applyFont="1" applyBorder="1" applyProtection="1">
      <protection locked="0"/>
    </xf>
    <xf fontId="1" fillId="0" borderId="11" numFmtId="163" xfId="1" applyNumberFormat="1" applyFont="1" applyBorder="1" applyProtection="1">
      <protection locked="0"/>
    </xf>
    <xf fontId="1" fillId="0" borderId="11" numFmtId="0" xfId="1" applyFont="1" applyBorder="1" applyAlignment="1" applyProtection="1">
      <alignment wrapText="1"/>
      <protection locked="0"/>
    </xf>
    <xf fontId="0" fillId="0" borderId="11" numFmtId="0" xfId="1" applyBorder="1"/>
    <xf fontId="0" fillId="0" borderId="12" numFmtId="0" xfId="1" applyBorder="1"/>
    <xf fontId="1" fillId="0" borderId="9" numFmtId="0" xfId="1" applyFont="1" applyBorder="1" applyProtection="1">
      <protection locked="0"/>
    </xf>
    <xf fontId="1" fillId="0" borderId="13" numFmtId="0" xfId="1" applyFont="1" applyBorder="1" applyProtection="1">
      <protection locked="0"/>
    </xf>
    <xf fontId="1" fillId="0" borderId="14" numFmtId="0" xfId="1" applyFont="1" applyBorder="1" applyProtection="1">
      <protection locked="0"/>
    </xf>
    <xf fontId="1" fillId="0" borderId="14" numFmtId="163" xfId="1" applyNumberFormat="1" applyFont="1" applyBorder="1" applyProtection="1">
      <protection locked="0"/>
    </xf>
    <xf fontId="1" fillId="0" borderId="14" numFmtId="0" xfId="1" applyFont="1" applyBorder="1" applyAlignment="1" applyProtection="1">
      <alignment wrapText="1"/>
      <protection locked="0"/>
    </xf>
    <xf fontId="0" fillId="0" borderId="14" numFmtId="0" xfId="1" applyBorder="1"/>
    <xf fontId="0" fillId="0" borderId="15" numFmtId="0" xfId="1" applyBorder="1"/>
    <xf fontId="10" fillId="0" borderId="6" numFmtId="0" xfId="1" applyFont="1" applyBorder="1" applyProtection="1">
      <protection locked="0"/>
    </xf>
    <xf fontId="10" fillId="0" borderId="6" numFmtId="0" xfId="1" applyFont="1" applyBorder="1" applyAlignment="1" applyProtection="1">
      <alignment wrapText="1"/>
      <protection locked="0"/>
    </xf>
    <xf fontId="1" fillId="0" borderId="16" numFmtId="0" xfId="1" applyFont="1" applyBorder="1" applyProtection="1">
      <protection locked="0"/>
    </xf>
    <xf fontId="1" fillId="0" borderId="10" numFmtId="163" xfId="1" applyNumberFormat="1" applyFont="1" applyBorder="1" applyProtection="1">
      <protection locked="0"/>
    </xf>
    <xf fontId="1" fillId="0" borderId="10" numFmtId="0" xfId="1" applyFont="1" applyBorder="1" applyAlignment="1" applyProtection="1">
      <alignment wrapText="1"/>
      <protection locked="0"/>
    </xf>
    <xf fontId="0" fillId="0" borderId="10" numFmtId="0" xfId="1" applyBorder="1"/>
    <xf fontId="0" fillId="0" borderId="17" numFmtId="0" xfId="1" applyBorder="1"/>
    <xf fontId="2" fillId="3" borderId="2" numFmtId="0" xfId="1" applyFont="1" applyFill="1" applyBorder="1" applyAlignment="1">
      <alignment horizontal="left" vertical="center"/>
    </xf>
    <xf fontId="2" fillId="3" borderId="3" numFmtId="0" xfId="1" applyFont="1" applyFill="1" applyBorder="1" applyAlignment="1">
      <alignment horizontal="left" vertical="center"/>
    </xf>
    <xf fontId="2" fillId="3" borderId="18" numFmtId="0" xfId="1" applyFont="1" applyFill="1" applyBorder="1" applyAlignment="1">
      <alignment horizontal="left" vertical="center"/>
    </xf>
    <xf fontId="2" fillId="3" borderId="19" numFmtId="163" xfId="1" applyNumberFormat="1" applyFont="1" applyFill="1" applyBorder="1" applyAlignment="1">
      <alignment vertical="center"/>
    </xf>
    <xf fontId="13" fillId="0" borderId="0" numFmtId="0" xfId="1" applyFont="1" applyAlignment="1">
      <alignment vertical="center"/>
    </xf>
    <xf fontId="8" fillId="0" borderId="20" numFmtId="0" xfId="1" applyFont="1" applyBorder="1" applyAlignment="1">
      <alignment horizontal="center" vertical="center" wrapText="1"/>
    </xf>
    <xf fontId="8" fillId="0" borderId="20" numFmtId="162" xfId="1" applyNumberFormat="1" applyFont="1" applyBorder="1" applyAlignment="1">
      <alignment horizontal="center" vertical="center" wrapText="1"/>
    </xf>
    <xf fontId="8" fillId="4" borderId="20" numFmtId="0" xfId="1" applyFont="1" applyFill="1" applyBorder="1" applyAlignment="1">
      <alignment horizontal="center" vertical="center" wrapText="1"/>
    </xf>
    <xf fontId="1" fillId="6" borderId="6" numFmtId="0" xfId="1" applyFont="1" applyFill="1" applyBorder="1" applyAlignment="1" applyProtection="1">
      <alignment vertical="center"/>
      <protection locked="0"/>
    </xf>
    <xf fontId="1" fillId="6" borderId="6" numFmtId="0" xfId="1" applyFont="1" applyFill="1" applyBorder="1" applyAlignment="1" applyProtection="1">
      <alignment vertical="center" wrapText="1"/>
      <protection locked="0"/>
    </xf>
    <xf fontId="1" fillId="6" borderId="6" numFmtId="163" xfId="1" applyNumberFormat="1" applyFont="1" applyFill="1" applyBorder="1" applyAlignment="1" applyProtection="1">
      <alignment vertical="center"/>
      <protection locked="0"/>
    </xf>
    <xf fontId="1" fillId="6" borderId="6" numFmtId="163" xfId="1" applyNumberFormat="1" applyFont="1" applyFill="1" applyBorder="1" applyProtection="1">
      <protection locked="0"/>
    </xf>
    <xf fontId="1" fillId="6" borderId="6" numFmtId="0" xfId="1" applyFont="1" applyFill="1" applyBorder="1" applyAlignment="1" applyProtection="1">
      <alignment wrapText="1"/>
      <protection locked="0"/>
    </xf>
    <xf fontId="1" fillId="6" borderId="21" numFmtId="0" xfId="1" applyFont="1" applyFill="1" applyBorder="1" applyProtection="1">
      <protection locked="0"/>
    </xf>
    <xf fontId="1" fillId="6" borderId="21" numFmtId="163" xfId="1" applyNumberFormat="1" applyFont="1" applyFill="1" applyBorder="1" applyProtection="1">
      <protection locked="0"/>
    </xf>
    <xf fontId="1" fillId="6" borderId="21" numFmtId="0" xfId="1" applyFont="1" applyFill="1" applyBorder="1" applyAlignment="1" applyProtection="1">
      <alignment wrapText="1"/>
      <protection locked="0"/>
    </xf>
    <xf fontId="2" fillId="0" borderId="21" numFmtId="0" xfId="1" applyFont="1" applyBorder="1" applyProtection="1">
      <protection locked="0"/>
    </xf>
    <xf fontId="1" fillId="0" borderId="21" numFmtId="0" xfId="1" applyFont="1" applyBorder="1" applyProtection="1">
      <protection locked="0"/>
    </xf>
    <xf fontId="1" fillId="0" borderId="21" numFmtId="163" xfId="1" applyNumberFormat="1" applyFont="1" applyBorder="1" applyProtection="1">
      <protection locked="0"/>
    </xf>
    <xf fontId="1" fillId="0" borderId="21" numFmtId="0" xfId="1" applyFont="1" applyBorder="1" applyAlignment="1" applyProtection="1">
      <alignment wrapText="1"/>
      <protection locked="0"/>
    </xf>
    <xf fontId="1" fillId="0" borderId="22" numFmtId="0" xfId="1" applyFont="1" applyBorder="1" applyProtection="1">
      <protection locked="0"/>
    </xf>
    <xf fontId="2" fillId="3" borderId="4" numFmtId="0" xfId="1" applyFont="1" applyFill="1" applyBorder="1" applyAlignment="1">
      <alignment horizontal="left" vertical="center"/>
    </xf>
    <xf fontId="2" fillId="3" borderId="1" numFmtId="163" xfId="1" applyNumberFormat="1" applyFont="1" applyFill="1" applyBorder="1" applyAlignment="1">
      <alignment vertical="center"/>
    </xf>
    <xf fontId="7" fillId="0" borderId="2" numFmtId="0" xfId="1" applyFont="1" applyBorder="1" applyAlignment="1" applyProtection="1">
      <alignment horizontal="right" vertical="center" wrapText="1"/>
      <protection locked="0"/>
    </xf>
    <xf fontId="1" fillId="0" borderId="6" numFmtId="0" xfId="1" applyFont="1" applyBorder="1" applyAlignment="1" applyProtection="1">
      <alignment vertical="center"/>
      <protection locked="0"/>
    </xf>
    <xf fontId="1" fillId="0" borderId="6" numFmtId="0" xfId="1" applyFont="1" applyBorder="1" applyAlignment="1" applyProtection="1">
      <alignment vertical="center" wrapText="1"/>
      <protection locked="0"/>
    </xf>
    <xf fontId="10" fillId="8" borderId="6" numFmtId="0" xfId="1" applyFont="1" applyFill="1" applyBorder="1" applyAlignment="1" applyProtection="1">
      <alignment vertical="center"/>
      <protection locked="0"/>
    </xf>
    <xf fontId="11" fillId="8" borderId="6" numFmtId="0" xfId="1" applyFont="1" applyFill="1" applyBorder="1" applyAlignment="1" applyProtection="1">
      <alignment vertical="center"/>
      <protection locked="0"/>
    </xf>
    <xf fontId="10" fillId="8" borderId="6" numFmtId="0" xfId="1" applyFont="1" applyFill="1" applyBorder="1" applyAlignment="1" applyProtection="1">
      <alignment vertical="center" wrapText="1"/>
      <protection locked="0"/>
    </xf>
    <xf fontId="10" fillId="8" borderId="6" numFmtId="163" xfId="1" applyNumberFormat="1" applyFont="1" applyFill="1" applyBorder="1" applyProtection="1">
      <protection locked="0"/>
    </xf>
    <xf fontId="14" fillId="8" borderId="6" numFmtId="0" xfId="1" applyFont="1" applyFill="1" applyBorder="1" applyAlignment="1" applyProtection="1">
      <alignment vertical="center" wrapText="1"/>
      <protection locked="0"/>
    </xf>
    <xf fontId="10" fillId="8" borderId="6" numFmtId="0" xfId="1" applyFont="1" applyFill="1" applyBorder="1" applyProtection="1">
      <protection locked="0"/>
    </xf>
    <xf fontId="0" fillId="8" borderId="6" numFmtId="0" xfId="1" applyFill="1" applyBorder="1"/>
    <xf fontId="12" fillId="11" borderId="8" numFmtId="0" xfId="1" applyFont="1" applyFill="1" applyBorder="1" applyAlignment="1">
      <alignment vertical="center" wrapText="1"/>
    </xf>
    <xf fontId="12" fillId="12" borderId="8" numFmtId="0" xfId="1" applyFont="1" applyFill="1" applyBorder="1" applyAlignment="1">
      <alignment vertical="center" wrapText="1"/>
    </xf>
    <xf fontId="11" fillId="6" borderId="6" numFmtId="0" xfId="1" applyFont="1" applyFill="1" applyBorder="1" applyProtection="1">
      <protection locked="0"/>
    </xf>
    <xf fontId="2" fillId="0" borderId="6" numFmtId="0" xfId="1" applyFont="1" applyBorder="1" applyProtection="1">
      <protection locked="0"/>
    </xf>
    <xf fontId="11" fillId="0" borderId="6" numFmtId="0" xfId="1" applyFont="1" applyBorder="1" applyAlignment="1" applyProtection="1">
      <alignment wrapText="1"/>
      <protection locked="0"/>
    </xf>
    <xf fontId="15" fillId="13" borderId="1" numFmtId="0" xfId="0" applyFont="1" applyFill="1" applyBorder="1" applyAlignment="1">
      <alignment horizontal="center" vertical="center" wrapText="1"/>
    </xf>
    <xf fontId="15" fillId="13" borderId="1" numFmtId="4" xfId="0" applyNumberFormat="1" applyFont="1" applyFill="1" applyBorder="1" applyAlignment="1">
      <alignment horizontal="center" vertical="center"/>
    </xf>
    <xf fontId="11" fillId="6" borderId="0" numFmtId="0" xfId="0" applyFont="1" applyFill="1" applyAlignment="1">
      <alignment horizontal="center" vertical="center" wrapText="1"/>
    </xf>
    <xf fontId="11" fillId="0" borderId="0" numFmtId="0" xfId="0" applyFont="1" applyAlignment="1">
      <alignment horizontal="center" vertical="center" wrapText="1"/>
    </xf>
    <xf fontId="16" fillId="0" borderId="0" numFmtId="0" xfId="0" applyFont="1"/>
    <xf fontId="17" fillId="0" borderId="1" numFmtId="0" xfId="0" applyFont="1" applyBorder="1" applyAlignment="1">
      <alignment horizontal="right" vertical="center" wrapText="1"/>
    </xf>
    <xf fontId="18" fillId="0" borderId="1" numFmtId="4" xfId="0" applyNumberFormat="1" applyFont="1" applyBorder="1" applyAlignment="1">
      <alignment horizontal="right" vertical="center" wrapText="1"/>
    </xf>
    <xf fontId="19" fillId="0" borderId="1" numFmtId="0" xfId="0" applyFont="1" applyBorder="1" applyAlignment="1">
      <alignment horizontal="center" vertical="center" wrapText="1"/>
    </xf>
    <xf fontId="19" fillId="4" borderId="1" numFmtId="0" xfId="0" applyFont="1" applyFill="1" applyBorder="1" applyAlignment="1">
      <alignment horizontal="center" vertical="center" wrapText="1"/>
    </xf>
    <xf fontId="11" fillId="14" borderId="2" numFmtId="0" xfId="0" applyFont="1" applyFill="1" applyBorder="1" applyAlignment="1">
      <alignment horizontal="left" vertical="center"/>
    </xf>
    <xf fontId="11" fillId="14" borderId="3" numFmtId="0" xfId="0" applyFont="1" applyFill="1" applyBorder="1" applyAlignment="1">
      <alignment horizontal="left" vertical="center"/>
    </xf>
    <xf fontId="11" fillId="14" borderId="4" numFmtId="0" xfId="0" applyFont="1" applyFill="1" applyBorder="1" applyAlignment="1">
      <alignment horizontal="left" vertical="center"/>
    </xf>
    <xf fontId="10" fillId="0" borderId="5" numFmtId="0" xfId="0" applyFont="1" applyBorder="1"/>
    <xf fontId="10" fillId="0" borderId="11" numFmtId="0" xfId="0" applyFont="1" applyBorder="1" applyAlignment="1">
      <alignment vertical="center"/>
    </xf>
    <xf fontId="10" fillId="0" borderId="11" numFmtId="0" xfId="0" applyFont="1" applyBorder="1" applyAlignment="1">
      <alignment vertical="center" wrapText="1"/>
    </xf>
    <xf fontId="10" fillId="15" borderId="11" numFmtId="0" xfId="0" applyFont="1" applyFill="1" applyBorder="1" applyAlignment="1">
      <alignment vertical="center"/>
    </xf>
    <xf fontId="10" fillId="15" borderId="11" numFmtId="0" xfId="0" applyFont="1" applyFill="1" applyBorder="1"/>
    <xf fontId="16" fillId="0" borderId="11" numFmtId="0" xfId="0" applyFont="1" applyBorder="1"/>
    <xf fontId="16" fillId="0" borderId="12" numFmtId="0" xfId="0" applyFont="1" applyBorder="1"/>
    <xf fontId="10" fillId="0" borderId="9" numFmtId="0" xfId="0" applyFont="1" applyBorder="1"/>
    <xf fontId="10" fillId="0" borderId="6" numFmtId="0" xfId="0" applyFont="1" applyBorder="1" applyAlignment="1">
      <alignment vertical="center"/>
    </xf>
    <xf fontId="10" fillId="0" borderId="6" numFmtId="0" xfId="0" applyFont="1" applyBorder="1" applyAlignment="1">
      <alignment vertical="center" wrapText="1"/>
    </xf>
    <xf fontId="10" fillId="15" borderId="6" numFmtId="0" xfId="0" applyFont="1" applyFill="1" applyBorder="1"/>
    <xf fontId="10" fillId="0" borderId="6" numFmtId="0" xfId="0" applyFont="1" applyBorder="1"/>
    <xf fontId="16" fillId="0" borderId="6" numFmtId="0" xfId="0" applyFont="1" applyBorder="1"/>
    <xf fontId="16" fillId="0" borderId="8" numFmtId="0" xfId="0" applyFont="1" applyBorder="1"/>
    <xf fontId="10" fillId="0" borderId="6" numFmtId="0" xfId="0" applyFont="1" applyBorder="1" applyAlignment="1">
      <alignment wrapText="1"/>
    </xf>
    <xf fontId="10" fillId="0" borderId="13" numFmtId="0" xfId="0" applyFont="1" applyBorder="1"/>
    <xf fontId="10" fillId="0" borderId="14" numFmtId="0" xfId="0" applyFont="1" applyBorder="1"/>
    <xf fontId="10" fillId="0" borderId="14" numFmtId="0" xfId="0" applyFont="1" applyBorder="1" applyAlignment="1">
      <alignment wrapText="1"/>
    </xf>
    <xf fontId="10" fillId="15" borderId="14" numFmtId="0" xfId="0" applyFont="1" applyFill="1" applyBorder="1"/>
    <xf fontId="16" fillId="0" borderId="14" numFmtId="0" xfId="0" applyFont="1" applyBorder="1"/>
    <xf fontId="16" fillId="0" borderId="15" numFmtId="0" xfId="0" applyFont="1" applyBorder="1"/>
    <xf fontId="10" fillId="0" borderId="11" numFmtId="0" xfId="0" applyFont="1" applyBorder="1"/>
    <xf fontId="10" fillId="0" borderId="11" numFmtId="0" xfId="0" applyFont="1" applyBorder="1" applyAlignment="1">
      <alignment wrapText="1"/>
    </xf>
    <xf fontId="11" fillId="15" borderId="6" numFmtId="0" xfId="0" applyFont="1" applyFill="1" applyBorder="1"/>
    <xf fontId="11" fillId="0" borderId="6" numFmtId="0" xfId="0" applyFont="1" applyBorder="1"/>
    <xf fontId="11" fillId="0" borderId="6" numFmtId="0" xfId="0" applyFont="1" applyBorder="1" applyAlignment="1">
      <alignment wrapText="1"/>
    </xf>
    <xf fontId="11" fillId="13" borderId="1" numFmtId="0" xfId="0" applyFont="1" applyFill="1" applyBorder="1" applyAlignment="1">
      <alignment horizontal="left" vertical="center"/>
    </xf>
    <xf fontId="11" fillId="13" borderId="1" numFmtId="0" xfId="0" applyFont="1" applyFill="1" applyBorder="1" applyAlignment="1">
      <alignment vertical="center"/>
    </xf>
    <xf fontId="16" fillId="0" borderId="0" numFmtId="0" xfId="0" applyFont="1" applyAlignment="1">
      <alignment vertical="center"/>
    </xf>
    <xf fontId="11" fillId="13" borderId="1" numFmtId="4" xfId="0" applyNumberFormat="1" applyFont="1" applyFill="1" applyBorder="1" applyAlignment="1">
      <alignment vertical="center"/>
    </xf>
    <xf fontId="13" fillId="0" borderId="0" numFmtId="0" xfId="0" applyFont="1" applyAlignment="1">
      <alignment vertical="center"/>
    </xf>
    <xf fontId="2" fillId="16" borderId="0" numFmtId="0" xfId="1" applyFont="1" applyFill="1" applyAlignment="1">
      <alignment horizontal="center" vertical="center" wrapText="1"/>
    </xf>
    <xf fontId="10" fillId="17" borderId="6" numFmtId="4" xfId="1" applyNumberFormat="1" applyFont="1" applyFill="1" applyBorder="1" applyAlignment="1" applyProtection="1">
      <alignment vertical="center"/>
      <protection locked="0"/>
    </xf>
    <xf fontId="10" fillId="17" borderId="6" numFmtId="163" xfId="1" applyNumberFormat="1" applyFont="1" applyFill="1" applyBorder="1" applyAlignment="1" applyProtection="1">
      <alignment vertical="center"/>
      <protection locked="0"/>
    </xf>
    <xf fontId="1" fillId="18" borderId="11" numFmtId="0" xfId="1" applyFont="1" applyFill="1" applyBorder="1" applyProtection="1">
      <protection locked="0"/>
    </xf>
    <xf fontId="1" fillId="18" borderId="11" numFmtId="163" xfId="1" applyNumberFormat="1" applyFont="1" applyFill="1" applyBorder="1" applyProtection="1">
      <protection locked="0"/>
    </xf>
    <xf fontId="1" fillId="18" borderId="21" numFmtId="0" xfId="1" applyFont="1" applyFill="1" applyBorder="1" applyAlignment="1" applyProtection="1">
      <alignment wrapText="1"/>
      <protection locked="0"/>
    </xf>
    <xf fontId="1" fillId="4" borderId="11" numFmtId="0" xfId="1" applyFont="1" applyFill="1" applyBorder="1" applyProtection="1">
      <protection locked="0"/>
    </xf>
    <xf fontId="20" fillId="0" borderId="6" numFmtId="0" xfId="1" applyFont="1" applyBorder="1" applyAlignment="1" applyProtection="1">
      <alignment horizontal="left" wrapText="1"/>
      <protection locked="0"/>
    </xf>
    <xf fontId="2" fillId="5" borderId="23" numFmtId="0" xfId="1" applyFont="1" applyFill="1" applyBorder="1" applyAlignment="1">
      <alignment vertical="center"/>
    </xf>
    <xf fontId="2" fillId="5" borderId="24" numFmtId="0" xfId="1" applyFont="1" applyFill="1" applyBorder="1" applyAlignment="1">
      <alignment vertical="center"/>
    </xf>
    <xf fontId="2" fillId="5" borderId="24" numFmtId="0" xfId="1" applyFont="1" applyFill="1" applyBorder="1" applyAlignment="1">
      <alignment horizontal="center" vertical="center"/>
    </xf>
    <xf fontId="2" fillId="5" borderId="24" numFmtId="0" xfId="1" applyFont="1" applyFill="1" applyBorder="1" applyAlignment="1">
      <alignment horizontal="left" vertical="center"/>
    </xf>
    <xf fontId="2" fillId="5" borderId="24" numFmtId="163" xfId="1" applyNumberFormat="1" applyFont="1" applyFill="1" applyBorder="1" applyAlignment="1">
      <alignment vertical="center"/>
    </xf>
    <xf fontId="1" fillId="6" borderId="25" numFmtId="0" xfId="1" applyFont="1" applyFill="1" applyBorder="1" applyProtection="1">
      <protection locked="0"/>
    </xf>
    <xf fontId="10" fillId="6" borderId="7" numFmtId="0" xfId="1" applyFont="1" applyFill="1" applyBorder="1" applyProtection="1">
      <protection locked="0"/>
    </xf>
    <xf fontId="10" fillId="17" borderId="6" numFmtId="163" xfId="1" applyNumberFormat="1" applyFont="1" applyFill="1" applyBorder="1" applyProtection="1">
      <protection locked="0"/>
    </xf>
    <xf fontId="10" fillId="7" borderId="7" numFmtId="0" xfId="1" applyFont="1" applyFill="1" applyBorder="1" applyAlignment="1" applyProtection="1">
      <alignment vertical="center" wrapText="1"/>
      <protection locked="0"/>
    </xf>
    <xf fontId="10" fillId="16" borderId="6" numFmtId="163" xfId="1" applyNumberFormat="1" applyFont="1" applyFill="1" applyBorder="1" applyAlignment="1" applyProtection="1">
      <alignment vertical="center"/>
      <protection locked="0"/>
    </xf>
    <xf fontId="10" fillId="7" borderId="26" numFmtId="0" xfId="1" applyFont="1" applyFill="1" applyBorder="1" applyAlignment="1" applyProtection="1">
      <alignment vertical="center"/>
      <protection locked="0"/>
    </xf>
    <xf fontId="9" fillId="0" borderId="25" numFmtId="0" xfId="1" applyFont="1" applyBorder="1" applyAlignment="1" applyProtection="1">
      <alignment horizontal="left" wrapText="1"/>
      <protection locked="0"/>
    </xf>
    <xf fontId="10" fillId="8" borderId="6" numFmtId="0" xfId="1" applyFont="1" applyFill="1" applyBorder="1" applyAlignment="1" applyProtection="1">
      <alignment horizontal="left" vertical="center"/>
      <protection locked="0"/>
    </xf>
    <xf fontId="0" fillId="19" borderId="8" numFmtId="0" xfId="1" applyFill="1" applyBorder="1"/>
    <xf fontId="10" fillId="6" borderId="27" numFmtId="0" xfId="1" applyFont="1" applyFill="1" applyBorder="1" applyProtection="1">
      <protection locked="0"/>
    </xf>
    <xf fontId="10" fillId="16" borderId="27" numFmtId="163" xfId="1" applyNumberFormat="1" applyFont="1" applyFill="1" applyBorder="1" applyProtection="1">
      <protection locked="0"/>
    </xf>
    <xf fontId="10" fillId="6" borderId="28" numFmtId="0" xfId="1" applyFont="1" applyFill="1" applyBorder="1" applyProtection="1">
      <protection locked="0"/>
    </xf>
    <xf fontId="1" fillId="6" borderId="29" numFmtId="0" xfId="1" applyFont="1" applyFill="1" applyBorder="1" applyProtection="1">
      <protection locked="0"/>
    </xf>
    <xf fontId="10" fillId="8" borderId="27" numFmtId="0" xfId="1" applyFont="1" applyFill="1" applyBorder="1" applyAlignment="1" applyProtection="1">
      <alignment horizontal="left" vertical="center"/>
      <protection locked="0"/>
    </xf>
    <xf fontId="1" fillId="0" borderId="25" numFmtId="0" xfId="1" applyFont="1" applyBorder="1" applyAlignment="1" applyProtection="1">
      <alignment wrapText="1"/>
      <protection locked="0"/>
    </xf>
    <xf fontId="1" fillId="0" borderId="25" numFmtId="0" xfId="1" applyFont="1" applyBorder="1" applyProtection="1">
      <protection locked="0"/>
    </xf>
    <xf fontId="10" fillId="16" borderId="25" numFmtId="4" xfId="1" applyNumberFormat="1" applyFont="1" applyFill="1" applyBorder="1" applyAlignment="1" applyProtection="1">
      <alignment horizontal="left" vertical="center"/>
      <protection locked="0"/>
    </xf>
    <xf fontId="1" fillId="6" borderId="25" numFmtId="0" xfId="1" applyFont="1" applyFill="1" applyBorder="1" applyAlignment="1" applyProtection="1">
      <alignment wrapText="1"/>
      <protection locked="0"/>
    </xf>
    <xf fontId="1" fillId="0" borderId="30" numFmtId="0" xfId="1" applyFont="1" applyBorder="1" applyProtection="1">
      <protection locked="0"/>
    </xf>
    <xf fontId="10" fillId="16" borderId="30" numFmtId="4" xfId="1" applyNumberFormat="1" applyFont="1" applyFill="1" applyBorder="1" applyAlignment="1" applyProtection="1">
      <alignment horizontal="left" vertical="center"/>
      <protection locked="0"/>
    </xf>
    <xf fontId="1" fillId="6" borderId="30" numFmtId="0" xfId="1" applyFont="1" applyFill="1" applyBorder="1" applyAlignment="1" applyProtection="1">
      <alignment wrapText="1"/>
      <protection locked="0"/>
    </xf>
    <xf fontId="1" fillId="6" borderId="31" numFmtId="0" xfId="1" applyFont="1" applyFill="1" applyBorder="1" applyAlignment="1" applyProtection="1">
      <alignment wrapText="1"/>
      <protection locked="0"/>
    </xf>
    <xf fontId="9" fillId="15" borderId="25" numFmtId="0" xfId="1" applyFont="1" applyFill="1" applyBorder="1" applyAlignment="1" applyProtection="1">
      <alignment horizontal="left"/>
      <protection locked="0"/>
    </xf>
    <xf fontId="9" fillId="15" borderId="7" numFmtId="0" xfId="1" applyFont="1" applyFill="1" applyBorder="1" applyAlignment="1" applyProtection="1">
      <alignment horizontal="left"/>
      <protection locked="0"/>
    </xf>
    <xf fontId="21" fillId="16" borderId="6" numFmtId="2" xfId="1" applyNumberFormat="1" applyFont="1" applyFill="1" applyBorder="1" applyAlignment="1" applyProtection="1">
      <alignment horizontal="left"/>
      <protection locked="0"/>
    </xf>
    <xf fontId="9" fillId="0" borderId="26" numFmtId="0" xfId="1" applyFont="1" applyBorder="1" applyAlignment="1" applyProtection="1">
      <alignment horizontal="left"/>
      <protection locked="0"/>
    </xf>
    <xf fontId="1" fillId="6" borderId="7" numFmtId="0" xfId="1" applyFont="1" applyFill="1" applyBorder="1" applyAlignment="1" applyProtection="1">
      <alignment wrapText="1"/>
      <protection locked="0"/>
    </xf>
    <xf fontId="0" fillId="0" borderId="7" numFmtId="0" xfId="1" applyBorder="1"/>
    <xf fontId="9" fillId="0" borderId="25" numFmtId="0" xfId="1" applyFont="1" applyBorder="1" applyAlignment="1" applyProtection="1">
      <alignment horizontal="left"/>
      <protection locked="0"/>
    </xf>
    <xf fontId="9" fillId="0" borderId="7" numFmtId="0" xfId="1" applyFont="1" applyBorder="1" applyAlignment="1" applyProtection="1">
      <alignment horizontal="left"/>
      <protection locked="0"/>
    </xf>
    <xf fontId="1" fillId="16" borderId="6" numFmtId="2" xfId="1" applyNumberFormat="1" applyFont="1" applyFill="1" applyBorder="1" applyAlignment="1" applyProtection="1">
      <alignment horizontal="left"/>
      <protection locked="0"/>
    </xf>
    <xf fontId="9" fillId="16" borderId="6" numFmtId="2" xfId="1" applyNumberFormat="1" applyFont="1" applyFill="1" applyBorder="1" applyAlignment="1" applyProtection="1">
      <alignment horizontal="left"/>
      <protection locked="0"/>
    </xf>
    <xf fontId="10" fillId="16" borderId="6" numFmtId="2" xfId="1" applyNumberFormat="1" applyFont="1" applyFill="1" applyBorder="1" applyAlignment="1" applyProtection="1">
      <alignment horizontal="left"/>
      <protection locked="0"/>
    </xf>
    <xf fontId="9" fillId="15" borderId="25" numFmtId="0" xfId="1" applyFont="1" applyFill="1" applyBorder="1" applyAlignment="1" applyProtection="1">
      <alignment horizontal="left" wrapText="1"/>
      <protection locked="0"/>
    </xf>
    <xf fontId="10" fillId="6" borderId="25" numFmtId="0" xfId="1" applyFont="1" applyFill="1" applyBorder="1" applyProtection="1">
      <protection locked="0"/>
    </xf>
    <xf fontId="10" fillId="16" borderId="6" numFmtId="163" xfId="1" applyNumberFormat="1" applyFont="1" applyFill="1" applyBorder="1" applyProtection="1">
      <protection locked="0"/>
    </xf>
    <xf fontId="10" fillId="6" borderId="26" numFmtId="0" xfId="1" applyFont="1" applyFill="1" applyBorder="1" applyProtection="1">
      <protection locked="0"/>
    </xf>
    <xf fontId="10" fillId="16" borderId="25" numFmtId="163" xfId="1" applyNumberFormat="1" applyFont="1" applyFill="1" applyBorder="1" applyProtection="1">
      <protection locked="0"/>
    </xf>
    <xf fontId="10" fillId="7" borderId="32" numFmtId="0" xfId="1" applyFont="1" applyFill="1" applyBorder="1" applyAlignment="1" applyProtection="1">
      <alignment vertical="center" wrapText="1"/>
      <protection locked="0"/>
    </xf>
    <xf fontId="10" fillId="7" borderId="21" numFmtId="0" xfId="1" applyFont="1" applyFill="1" applyBorder="1" applyAlignment="1" applyProtection="1">
      <alignment vertical="center" wrapText="1"/>
      <protection locked="0"/>
    </xf>
    <xf fontId="1" fillId="6" borderId="7" numFmtId="0" xfId="1" applyFont="1" applyFill="1" applyBorder="1" applyProtection="1">
      <protection locked="0"/>
    </xf>
    <xf fontId="10" fillId="7" borderId="33" numFmtId="0" xfId="1" applyFont="1" applyFill="1" applyBorder="1" applyAlignment="1" applyProtection="1">
      <alignment vertical="center"/>
      <protection locked="0"/>
    </xf>
    <xf fontId="9" fillId="2" borderId="25" numFmtId="0" xfId="1" applyFont="1" applyFill="1" applyBorder="1" applyAlignment="1" applyProtection="1">
      <alignment horizontal="left"/>
      <protection locked="0"/>
    </xf>
    <xf fontId="10" fillId="2" borderId="7" numFmtId="0" xfId="1" applyFont="1" applyFill="1" applyBorder="1" applyProtection="1">
      <protection locked="0"/>
    </xf>
    <xf fontId="10" fillId="2" borderId="6" numFmtId="0" xfId="1" applyFont="1" applyFill="1" applyBorder="1" applyProtection="1">
      <protection locked="0"/>
    </xf>
    <xf fontId="9" fillId="2" borderId="25" numFmtId="0" xfId="1" applyFont="1" applyFill="1" applyBorder="1" applyAlignment="1" applyProtection="1">
      <alignment horizontal="left" wrapText="1"/>
      <protection locked="0"/>
    </xf>
    <xf fontId="10" fillId="2" borderId="26" numFmtId="0" xfId="1" applyFont="1" applyFill="1" applyBorder="1" applyAlignment="1" applyProtection="1">
      <alignment wrapText="1"/>
      <protection locked="0"/>
    </xf>
    <xf fontId="1" fillId="2" borderId="6" numFmtId="0" xfId="1" applyFont="1" applyFill="1" applyBorder="1" applyProtection="1">
      <protection locked="0"/>
    </xf>
    <xf fontId="1" fillId="17" borderId="6" numFmtId="163" xfId="1" applyNumberFormat="1" applyFont="1" applyFill="1" applyBorder="1" applyProtection="1">
      <protection locked="0"/>
    </xf>
    <xf fontId="1" fillId="2" borderId="6" numFmtId="0" xfId="1" applyFont="1" applyFill="1" applyBorder="1" applyAlignment="1" applyProtection="1">
      <alignment wrapText="1"/>
      <protection locked="0"/>
    </xf>
    <xf fontId="9" fillId="0" borderId="34" numFmtId="0" xfId="1" applyFont="1" applyBorder="1" applyAlignment="1" applyProtection="1">
      <alignment horizontal="left"/>
      <protection locked="0"/>
    </xf>
    <xf fontId="10" fillId="6" borderId="35" numFmtId="0" xfId="1" applyFont="1" applyFill="1" applyBorder="1" applyProtection="1">
      <protection locked="0"/>
    </xf>
    <xf fontId="10" fillId="6" borderId="25" numFmtId="0" xfId="1" applyFont="1" applyFill="1" applyBorder="1" applyAlignment="1" applyProtection="1">
      <alignment wrapText="1"/>
      <protection locked="0"/>
    </xf>
    <xf fontId="10" fillId="6" borderId="25" numFmtId="4" xfId="1" applyNumberFormat="1" applyFont="1" applyFill="1" applyBorder="1" applyProtection="1">
      <protection locked="0"/>
    </xf>
    <xf fontId="10" fillId="17" borderId="25" numFmtId="163" xfId="1" applyNumberFormat="1" applyFont="1" applyFill="1" applyBorder="1" applyProtection="1">
      <protection locked="0"/>
    </xf>
    <xf fontId="10" fillId="6" borderId="36" numFmtId="0" xfId="1" applyFont="1" applyFill="1" applyBorder="1" applyProtection="1">
      <protection locked="0"/>
    </xf>
    <xf fontId="9" fillId="15" borderId="34" numFmtId="0" xfId="1" applyFont="1" applyFill="1" applyBorder="1" applyAlignment="1" applyProtection="1">
      <alignment horizontal="left"/>
      <protection locked="0"/>
    </xf>
    <xf fontId="10" fillId="6" borderId="37" numFmtId="0" xfId="1" applyFont="1" applyFill="1" applyBorder="1" applyProtection="1">
      <protection locked="0"/>
    </xf>
    <xf fontId="10" fillId="17" borderId="10" numFmtId="163" xfId="1" applyNumberFormat="1" applyFont="1" applyFill="1" applyBorder="1" applyProtection="1">
      <protection locked="0"/>
    </xf>
    <xf fontId="10" fillId="6" borderId="38" numFmtId="0" xfId="1" applyFont="1" applyFill="1" applyBorder="1" applyProtection="1">
      <protection locked="0"/>
    </xf>
    <xf fontId="10" fillId="6" borderId="39" numFmtId="0" xfId="1" applyFont="1" applyFill="1" applyBorder="1" applyProtection="1">
      <protection locked="0"/>
    </xf>
    <xf fontId="1" fillId="0" borderId="40" numFmtId="0" xfId="1" applyFont="1" applyBorder="1" applyProtection="1">
      <protection locked="0"/>
    </xf>
    <xf fontId="10" fillId="17" borderId="40" numFmtId="163" xfId="1" applyNumberFormat="1" applyFont="1" applyFill="1" applyBorder="1" applyProtection="1">
      <protection locked="0"/>
    </xf>
    <xf fontId="1" fillId="0" borderId="34" numFmtId="0" xfId="1" applyFont="1" applyBorder="1" applyProtection="1">
      <protection locked="0"/>
    </xf>
    <xf fontId="10" fillId="17" borderId="34" numFmtId="163" xfId="1" applyNumberFormat="1" applyFont="1" applyFill="1" applyBorder="1" applyProtection="1">
      <protection locked="0"/>
    </xf>
    <xf fontId="10" fillId="6" borderId="41" numFmtId="0" xfId="1" applyFont="1" applyFill="1" applyBorder="1" applyProtection="1">
      <protection locked="0"/>
    </xf>
    <xf fontId="10" fillId="10" borderId="7" numFmtId="0" xfId="1" applyFont="1" applyFill="1" applyBorder="1" applyProtection="1">
      <protection locked="0"/>
    </xf>
    <xf fontId="1" fillId="6" borderId="41" numFmtId="0" xfId="1" applyFont="1" applyFill="1" applyBorder="1" applyProtection="1">
      <protection locked="0"/>
    </xf>
    <xf fontId="1" fillId="0" borderId="41" numFmtId="0" xfId="1" applyFont="1" applyBorder="1" applyProtection="1">
      <protection locked="0"/>
    </xf>
    <xf fontId="1" fillId="0" borderId="7" numFmtId="0" xfId="1" applyFont="1" applyBorder="1" applyProtection="1">
      <protection locked="0"/>
    </xf>
    <xf fontId="2" fillId="5" borderId="42" numFmtId="0" xfId="1" applyFont="1" applyFill="1" applyBorder="1" applyAlignment="1">
      <alignment vertical="center"/>
    </xf>
    <xf fontId="2" fillId="5" borderId="43" numFmtId="0" xfId="1" applyFont="1" applyFill="1" applyBorder="1" applyAlignment="1">
      <alignment vertical="center"/>
    </xf>
    <xf fontId="1" fillId="0" borderId="44" numFmtId="0" xfId="1" applyFont="1" applyBorder="1" applyProtection="1">
      <protection locked="0"/>
    </xf>
    <xf fontId="1" fillId="19" borderId="25" numFmtId="0" xfId="1" applyFont="1" applyFill="1" applyBorder="1" applyProtection="1">
      <protection locked="0"/>
    </xf>
    <xf fontId="1" fillId="16" borderId="25" numFmtId="163" xfId="1" applyNumberFormat="1" applyFont="1" applyFill="1" applyBorder="1" applyProtection="1">
      <protection locked="0"/>
    </xf>
    <xf fontId="1" fillId="19" borderId="25" numFmtId="0" xfId="1" applyFont="1" applyFill="1" applyBorder="1" applyAlignment="1" applyProtection="1">
      <alignment wrapText="1"/>
      <protection locked="0"/>
    </xf>
    <xf fontId="1" fillId="0" borderId="39" numFmtId="0" xfId="1" applyFont="1" applyBorder="1" applyProtection="1">
      <protection locked="0"/>
    </xf>
    <xf fontId="1" fillId="0" borderId="45" numFmtId="0" xfId="1" applyFont="1" applyBorder="1" applyProtection="1">
      <protection locked="0"/>
    </xf>
    <xf fontId="1" fillId="16" borderId="45" numFmtId="163" xfId="1" applyNumberFormat="1" applyFont="1" applyFill="1" applyBorder="1" applyProtection="1">
      <protection locked="0"/>
    </xf>
    <xf fontId="1" fillId="0" borderId="28" numFmtId="0" xfId="1" applyFont="1" applyBorder="1" applyAlignment="1" applyProtection="1">
      <alignment wrapText="1"/>
      <protection locked="0"/>
    </xf>
    <xf fontId="1" fillId="0" borderId="46" numFmtId="0" xfId="1" applyFont="1" applyBorder="1" applyProtection="1">
      <protection locked="0"/>
    </xf>
    <xf fontId="1" fillId="0" borderId="34" numFmtId="0" xfId="1" applyFont="1" applyBorder="1" applyAlignment="1" applyProtection="1">
      <alignment vertical="center" wrapText="1"/>
      <protection locked="0"/>
    </xf>
    <xf fontId="1" fillId="0" borderId="34" numFmtId="0" xfId="1" applyFont="1" applyBorder="1" applyAlignment="1" applyProtection="1">
      <alignment vertical="center"/>
      <protection locked="0"/>
    </xf>
    <xf fontId="1" fillId="17" borderId="34" numFmtId="163" xfId="1" applyNumberFormat="1" applyFont="1" applyFill="1" applyBorder="1" applyAlignment="1" applyProtection="1">
      <alignment vertical="center"/>
      <protection locked="0"/>
    </xf>
    <xf fontId="1" fillId="0" borderId="25" numFmtId="0" xfId="1" applyFont="1" applyBorder="1" applyAlignment="1" applyProtection="1">
      <alignment vertical="center"/>
      <protection locked="0"/>
    </xf>
    <xf fontId="1" fillId="17" borderId="6" numFmtId="163" xfId="1" applyNumberFormat="1" applyFont="1" applyFill="1" applyBorder="1" applyAlignment="1" applyProtection="1">
      <alignment vertical="center"/>
      <protection locked="0"/>
    </xf>
    <xf fontId="1" fillId="0" borderId="47" numFmtId="0" xfId="1" applyFont="1" applyBorder="1" applyAlignment="1" applyProtection="1">
      <alignment vertical="center"/>
      <protection locked="0"/>
    </xf>
    <xf fontId="1" fillId="0" borderId="26" numFmtId="0" xfId="1" applyFont="1" applyBorder="1" applyAlignment="1" applyProtection="1">
      <alignment vertical="center"/>
      <protection locked="0"/>
    </xf>
    <xf fontId="1" fillId="17" borderId="25" numFmtId="163" xfId="1" applyNumberFormat="1" applyFont="1" applyFill="1" applyBorder="1" applyProtection="1">
      <protection locked="0"/>
    </xf>
    <xf fontId="1" fillId="19" borderId="30" numFmtId="0" xfId="1" applyFont="1" applyFill="1" applyBorder="1" applyAlignment="1" applyProtection="1">
      <alignment wrapText="1"/>
      <protection locked="0"/>
    </xf>
    <xf fontId="1" fillId="17" borderId="25" numFmtId="163" xfId="1" applyNumberFormat="1" applyFont="1" applyFill="1" applyBorder="1" applyAlignment="1" applyProtection="1">
      <alignment wrapText="1"/>
      <protection locked="0"/>
    </xf>
    <xf fontId="1" fillId="0" borderId="34" numFmtId="0" xfId="1" applyFont="1" applyBorder="1" applyAlignment="1" applyProtection="1">
      <alignment wrapText="1"/>
      <protection locked="0"/>
    </xf>
    <xf fontId="10" fillId="19" borderId="6" numFmtId="163" xfId="1" applyNumberFormat="1" applyFont="1" applyFill="1" applyBorder="1" applyProtection="1">
      <protection locked="0"/>
    </xf>
    <xf fontId="22" fillId="6" borderId="30" numFmtId="0" xfId="1" applyFont="1" applyFill="1" applyBorder="1" applyAlignment="1" applyProtection="1">
      <alignment horizontal="left" vertical="center" wrapText="1"/>
      <protection locked="0"/>
    </xf>
    <xf fontId="22" fillId="0" borderId="25" numFmtId="0" xfId="1" applyFont="1" applyBorder="1" applyAlignment="1" applyProtection="1">
      <alignment horizontal="left" vertical="center" wrapText="1"/>
      <protection locked="0"/>
    </xf>
    <xf fontId="10" fillId="17" borderId="48" numFmtId="163" xfId="1" applyNumberFormat="1" applyFont="1" applyFill="1" applyBorder="1" applyAlignment="1" applyProtection="1">
      <alignment horizontal="right"/>
      <protection locked="0"/>
    </xf>
    <xf fontId="1" fillId="0" borderId="30" numFmtId="0" xfId="1" applyFont="1" applyBorder="1" applyAlignment="1" applyProtection="1">
      <alignment wrapText="1"/>
      <protection locked="0"/>
    </xf>
    <xf fontId="1" fillId="0" borderId="49" numFmtId="0" xfId="1" applyFont="1" applyBorder="1" applyProtection="1">
      <protection locked="0"/>
    </xf>
    <xf fontId="0" fillId="0" borderId="22" numFmtId="0" xfId="1" applyBorder="1"/>
    <xf fontId="0" fillId="0" borderId="50" numFmtId="0" xfId="1" applyBorder="1"/>
    <xf fontId="22" fillId="6" borderId="34" numFmtId="0" xfId="1" applyFont="1" applyFill="1" applyBorder="1" applyAlignment="1" applyProtection="1">
      <alignment horizontal="left" vertical="center" wrapText="1"/>
      <protection locked="0"/>
    </xf>
    <xf fontId="0" fillId="0" borderId="25" numFmtId="0" xfId="1" applyBorder="1"/>
    <xf fontId="10" fillId="0" borderId="35" numFmtId="0" xfId="1" applyFont="1" applyBorder="1" applyProtection="1">
      <protection locked="0"/>
    </xf>
    <xf fontId="22" fillId="6" borderId="25" numFmtId="0" xfId="1" applyFont="1" applyFill="1" applyBorder="1" applyAlignment="1" applyProtection="1">
      <alignment horizontal="left" vertical="center" wrapText="1"/>
      <protection locked="0"/>
    </xf>
    <xf fontId="10" fillId="17" borderId="7" numFmtId="163" xfId="1" applyNumberFormat="1" applyFont="1" applyFill="1" applyBorder="1" applyAlignment="1" applyProtection="1">
      <alignment horizontal="right"/>
      <protection locked="0"/>
    </xf>
    <xf fontId="10" fillId="0" borderId="26" numFmtId="0" xfId="1" applyFont="1" applyBorder="1" applyAlignment="1" applyProtection="1">
      <alignment wrapText="1"/>
      <protection locked="0"/>
    </xf>
    <xf fontId="23" fillId="0" borderId="25" numFmtId="0" xfId="1" applyFont="1" applyBorder="1"/>
    <xf fontId="22" fillId="6" borderId="51" numFmtId="0" xfId="1" applyFont="1" applyFill="1" applyBorder="1" applyAlignment="1" applyProtection="1">
      <alignment horizontal="left" vertical="center" wrapText="1"/>
      <protection locked="0"/>
    </xf>
    <xf fontId="1" fillId="17" borderId="7" numFmtId="163" xfId="1" applyNumberFormat="1" applyFont="1" applyFill="1" applyBorder="1" applyAlignment="1" applyProtection="1">
      <alignment horizontal="right"/>
      <protection locked="0"/>
    </xf>
    <xf fontId="10" fillId="0" borderId="35" numFmtId="0" xfId="1" applyFont="1" applyBorder="1" applyAlignment="1" applyProtection="1">
      <alignment wrapText="1"/>
      <protection locked="0"/>
    </xf>
    <xf fontId="10" fillId="0" borderId="34" numFmtId="0" xfId="1" applyFont="1" applyBorder="1" applyAlignment="1" applyProtection="1">
      <alignment wrapText="1"/>
      <protection locked="0"/>
    </xf>
    <xf fontId="1" fillId="0" borderId="7" numFmtId="0" xfId="1" applyFont="1" applyBorder="1" applyAlignment="1" applyProtection="1">
      <alignment wrapText="1"/>
      <protection locked="0"/>
    </xf>
    <xf fontId="1" fillId="17" borderId="6" numFmtId="163" xfId="1" applyNumberFormat="1" applyFont="1" applyFill="1" applyBorder="1" applyAlignment="1" applyProtection="1">
      <alignment horizontal="right" wrapText="1"/>
      <protection locked="0"/>
    </xf>
    <xf fontId="9" fillId="15" borderId="33" numFmtId="0" xfId="1" applyFont="1" applyFill="1" applyBorder="1" applyAlignment="1" applyProtection="1">
      <alignment horizontal="left" vertical="center" wrapText="1"/>
      <protection locked="0"/>
    </xf>
    <xf fontId="9" fillId="0" borderId="27" numFmtId="0" xfId="1" applyFont="1" applyBorder="1" applyAlignment="1" applyProtection="1">
      <alignment horizontal="left" wrapText="1"/>
      <protection locked="0"/>
    </xf>
    <xf fontId="9" fillId="17" borderId="6" numFmtId="163" xfId="1" applyNumberFormat="1" applyFont="1" applyFill="1" applyBorder="1" applyAlignment="1" applyProtection="1">
      <alignment horizontal="right"/>
      <protection locked="0"/>
    </xf>
    <xf fontId="9" fillId="0" borderId="6" numFmtId="0" xfId="1" applyFont="1" applyBorder="1" applyAlignment="1" applyProtection="1">
      <alignment horizontal="left" wrapText="1"/>
      <protection locked="0"/>
    </xf>
    <xf fontId="1" fillId="0" borderId="27" numFmtId="0" xfId="1" applyFont="1" applyBorder="1" applyProtection="1">
      <protection locked="0"/>
    </xf>
    <xf fontId="1" fillId="17" borderId="6" numFmtId="163" xfId="1" applyNumberFormat="1" applyFont="1" applyFill="1" applyBorder="1" applyAlignment="1" applyProtection="1">
      <alignment horizontal="right"/>
      <protection locked="0"/>
    </xf>
    <xf fontId="1" fillId="0" borderId="35" numFmtId="0" xfId="1" applyFont="1" applyBorder="1" applyProtection="1">
      <protection locked="0"/>
    </xf>
    <xf fontId="22" fillId="0" borderId="30" numFmtId="0" xfId="1" applyFont="1" applyBorder="1" applyAlignment="1" applyProtection="1">
      <alignment horizontal="left" vertical="center" wrapText="1"/>
      <protection locked="0"/>
    </xf>
    <xf fontId="1" fillId="17" borderId="7" numFmtId="163" xfId="1" applyNumberFormat="1" applyFont="1" applyFill="1" applyBorder="1" applyProtection="1">
      <protection locked="0"/>
    </xf>
    <xf fontId="1" fillId="16" borderId="6" numFmtId="163" xfId="1" applyNumberFormat="1" applyFont="1" applyFill="1" applyBorder="1" applyAlignment="1" applyProtection="1">
      <alignment horizontal="right"/>
      <protection locked="0"/>
    </xf>
    <xf fontId="10" fillId="0" borderId="7" numFmtId="0" xfId="1" applyFont="1" applyBorder="1" applyAlignment="1" applyProtection="1">
      <alignment wrapText="1"/>
      <protection locked="0"/>
    </xf>
    <xf fontId="10" fillId="0" borderId="27" numFmtId="0" xfId="1" applyFont="1" applyBorder="1" applyAlignment="1" applyProtection="1">
      <alignment wrapText="1"/>
      <protection locked="0"/>
    </xf>
    <xf fontId="1" fillId="16" borderId="6" numFmtId="163" xfId="1" applyNumberFormat="1" applyFont="1" applyFill="1" applyBorder="1" applyAlignment="1" applyProtection="1">
      <alignment horizontal="right" wrapText="1"/>
      <protection locked="0"/>
    </xf>
    <xf fontId="0" fillId="0" borderId="21" numFmtId="0" xfId="1" applyBorder="1"/>
    <xf fontId="0" fillId="0" borderId="52" numFmtId="0" xfId="1" applyBorder="1"/>
    <xf fontId="1" fillId="18" borderId="22" numFmtId="0" xfId="1" applyFont="1" applyFill="1" applyBorder="1" applyProtection="1">
      <protection locked="0"/>
    </xf>
    <xf fontId="1" fillId="17" borderId="11" numFmtId="163" xfId="1" applyNumberFormat="1" applyFont="1" applyFill="1" applyBorder="1" applyProtection="1">
      <protection locked="0"/>
    </xf>
    <xf fontId="1" fillId="18" borderId="11" numFmtId="0" xfId="1" applyFont="1" applyFill="1" applyBorder="1" applyAlignment="1" applyProtection="1">
      <alignment wrapText="1"/>
      <protection locked="0"/>
    </xf>
    <xf fontId="1" fillId="2" borderId="25" numFmtId="0" xfId="1" applyFont="1" applyFill="1" applyBorder="1" applyProtection="1">
      <protection locked="0"/>
    </xf>
    <xf fontId="1" fillId="2" borderId="7" numFmtId="0" xfId="1" applyFont="1" applyFill="1" applyBorder="1" applyProtection="1">
      <protection locked="0"/>
    </xf>
    <xf fontId="1" fillId="20" borderId="53" numFmtId="0" xfId="1" applyFont="1" applyFill="1" applyBorder="1" applyProtection="1">
      <protection locked="0"/>
    </xf>
    <xf fontId="1" fillId="20" borderId="10" numFmtId="0" xfId="1" applyFont="1" applyFill="1" applyBorder="1" applyProtection="1">
      <protection locked="0"/>
    </xf>
    <xf fontId="1" fillId="17" borderId="10" numFmtId="163" xfId="1" applyNumberFormat="1" applyFont="1" applyFill="1" applyBorder="1" applyProtection="1">
      <protection locked="0"/>
    </xf>
    <xf fontId="1" fillId="20" borderId="10" numFmtId="0" xfId="1" applyFont="1" applyFill="1" applyBorder="1" applyAlignment="1" applyProtection="1">
      <alignment wrapText="1"/>
      <protection locked="0"/>
    </xf>
    <xf fontId="2" fillId="2" borderId="0" numFmtId="3" xfId="1" applyNumberFormat="1" applyFont="1" applyFill="1" applyAlignment="1">
      <alignment horizontal="center" vertical="center" wrapText="1"/>
    </xf>
    <xf fontId="10" fillId="16" borderId="26" numFmtId="163" xfId="1" applyNumberFormat="1" applyFont="1" applyFill="1" applyBorder="1" applyProtection="1">
      <protection locked="0"/>
    </xf>
    <xf fontId="10" fillId="6" borderId="48" numFmtId="0" xfId="1" applyFont="1" applyFill="1" applyBorder="1" applyAlignment="1" applyProtection="1">
      <alignment wrapText="1"/>
      <protection locked="0"/>
    </xf>
    <xf fontId="10" fillId="6" borderId="54" numFmtId="0" xfId="1" applyFont="1" applyFill="1" applyBorder="1" applyAlignment="1" applyProtection="1">
      <alignment wrapText="1"/>
      <protection locked="0"/>
    </xf>
    <xf fontId="10" fillId="15" borderId="25" numFmtId="0" xfId="0" applyFont="1" applyFill="1" applyBorder="1" applyAlignment="1" applyProtection="1">
      <alignment horizontal="left"/>
    </xf>
    <xf fontId="10" fillId="15" borderId="48" numFmtId="0" xfId="0" applyFont="1" applyFill="1" applyBorder="1" applyAlignment="1" applyProtection="1">
      <alignment horizontal="left" wrapText="1"/>
    </xf>
    <xf fontId="10" fillId="15" borderId="25" numFmtId="0" xfId="0" applyFont="1" applyFill="1" applyBorder="1" applyAlignment="1" applyProtection="1">
      <alignment horizontal="left" wrapText="1"/>
    </xf>
    <xf fontId="10" fillId="16" borderId="48" numFmtId="0" xfId="0" applyFont="1" applyFill="1" applyBorder="1" applyAlignment="1" applyProtection="1">
      <alignment horizontal="left" wrapText="1"/>
    </xf>
    <xf fontId="10" fillId="15" borderId="34" numFmtId="0" xfId="0" applyFont="1" applyFill="1" applyBorder="1" applyAlignment="1" applyProtection="1">
      <alignment horizontal="left"/>
    </xf>
    <xf fontId="10" fillId="15" borderId="34" numFmtId="0" xfId="0" applyFont="1" applyFill="1" applyBorder="1" applyAlignment="1" applyProtection="1">
      <alignment horizontal="left" wrapText="1"/>
    </xf>
    <xf fontId="10" fillId="6" borderId="27" numFmtId="0" xfId="1" applyFont="1" applyFill="1" applyBorder="1" applyAlignment="1" applyProtection="1">
      <alignment wrapText="1"/>
      <protection locked="0"/>
    </xf>
    <xf fontId="10" fillId="16" borderId="26" numFmtId="2" xfId="1" applyNumberFormat="1" applyFont="1" applyFill="1" applyBorder="1" applyProtection="1">
      <protection locked="0"/>
    </xf>
    <xf fontId="10" fillId="16" borderId="54" numFmtId="2" xfId="1" applyNumberFormat="1" applyFont="1" applyFill="1" applyBorder="1" applyProtection="1">
      <protection locked="0"/>
    </xf>
    <xf fontId="10" fillId="16" borderId="25" numFmtId="2" xfId="1" applyNumberFormat="1" applyFont="1" applyFill="1" applyBorder="1" applyProtection="1">
      <protection locked="0"/>
    </xf>
    <xf fontId="10" fillId="6" borderId="34" numFmtId="0" xfId="1" applyFont="1" applyFill="1" applyBorder="1" applyProtection="1">
      <protection locked="0"/>
    </xf>
    <xf fontId="10" fillId="6" borderId="48" numFmtId="0" xfId="1" applyFont="1" applyFill="1" applyBorder="1" applyProtection="1">
      <protection locked="0"/>
    </xf>
    <xf fontId="1" fillId="19" borderId="34" numFmtId="0" xfId="1" applyFont="1" applyFill="1" applyBorder="1" applyProtection="1">
      <protection locked="0"/>
    </xf>
    <xf fontId="1" fillId="19" borderId="34" numFmtId="0" xfId="1" applyFont="1" applyFill="1" applyBorder="1" applyAlignment="1" applyProtection="1">
      <alignment wrapText="1"/>
      <protection locked="0"/>
    </xf>
    <xf fontId="1" fillId="16" borderId="34" numFmtId="163" xfId="1" applyNumberFormat="1" applyFont="1" applyFill="1" applyBorder="1" applyProtection="1">
      <protection locked="0"/>
    </xf>
    <xf fontId="1" fillId="16" borderId="26" numFmtId="163" xfId="1" applyNumberFormat="1" applyFont="1" applyFill="1" applyBorder="1" applyProtection="1">
      <protection locked="0"/>
    </xf>
    <xf fontId="1" fillId="6" borderId="48" numFmtId="0" xfId="1" applyFont="1" applyFill="1" applyBorder="1" applyAlignment="1" applyProtection="1">
      <alignment wrapText="1"/>
      <protection locked="0"/>
    </xf>
    <xf fontId="10" fillId="19" borderId="6" numFmtId="0" xfId="1" applyFont="1" applyFill="1" applyBorder="1" applyProtection="1">
      <protection locked="0"/>
    </xf>
    <xf fontId="10" fillId="19" borderId="6" numFmtId="0" xfId="1" applyFont="1" applyFill="1" applyBorder="1" applyAlignment="1" applyProtection="1">
      <alignment wrapText="1"/>
      <protection locked="0"/>
    </xf>
    <xf fontId="10" fillId="19" borderId="48" numFmtId="0" xfId="1" applyFont="1" applyFill="1" applyBorder="1" applyAlignment="1" applyProtection="1">
      <alignment wrapText="1"/>
      <protection locked="0"/>
    </xf>
    <xf fontId="1" fillId="0" borderId="48" numFmtId="0" xfId="1" applyFont="1" applyBorder="1" applyAlignment="1" applyProtection="1">
      <alignment wrapText="1"/>
      <protection locked="0"/>
    </xf>
    <xf fontId="1" fillId="16" borderId="55" numFmtId="163" xfId="1" applyNumberFormat="1" applyFont="1" applyFill="1" applyBorder="1" applyProtection="1">
      <protection locked="0"/>
    </xf>
    <xf fontId="1" fillId="6" borderId="56" numFmtId="0" xfId="1" applyFont="1" applyFill="1" applyBorder="1" applyAlignment="1" applyProtection="1">
      <alignment wrapText="1"/>
      <protection locked="0"/>
    </xf>
    <xf fontId="1" fillId="6" borderId="57" numFmtId="0" xfId="1" applyFont="1" applyFill="1" applyBorder="1" applyProtection="1">
      <protection locked="0"/>
    </xf>
    <xf fontId="1" fillId="17" borderId="21" numFmtId="163" xfId="1" applyNumberFormat="1" applyFont="1" applyFill="1" applyBorder="1" applyProtection="1">
      <protection locked="0"/>
    </xf>
    <xf fontId="1" fillId="6" borderId="55" numFmtId="0" xfId="1" applyFont="1" applyFill="1" applyBorder="1" applyAlignment="1" applyProtection="1">
      <alignment wrapText="1"/>
      <protection locked="0"/>
    </xf>
    <xf fontId="1" fillId="17" borderId="58" numFmtId="163" xfId="1" applyNumberFormat="1" applyFont="1" applyFill="1" applyBorder="1" applyProtection="1">
      <protection locked="0"/>
    </xf>
    <xf fontId="1" fillId="0" borderId="57" numFmtId="0" xfId="1" applyFont="1" applyBorder="1" applyProtection="1">
      <protection locked="0"/>
    </xf>
    <xf fontId="1" fillId="0" borderId="55" numFmtId="0" xfId="1" applyFont="1" applyBorder="1" applyAlignment="1" applyProtection="1">
      <alignment wrapText="1"/>
      <protection locked="0"/>
    </xf>
    <xf fontId="2" fillId="5" borderId="0" numFmtId="0" xfId="1" applyFont="1" applyFill="1" applyAlignment="1">
      <alignment vertical="center"/>
    </xf>
    <xf fontId="0" fillId="0" borderId="0" numFmtId="0" xfId="1" applyAlignment="1">
      <alignment vertical="center" wrapText="1"/>
    </xf>
    <xf fontId="1" fillId="0" borderId="5" numFmtId="0" xfId="1" applyFont="1" applyBorder="1" applyAlignment="1" applyProtection="1">
      <alignment vertical="center" wrapText="1"/>
      <protection locked="0"/>
    </xf>
    <xf fontId="1" fillId="0" borderId="11" numFmtId="0" xfId="1" applyFont="1" applyBorder="1" applyAlignment="1" applyProtection="1">
      <alignment vertical="center" wrapText="1"/>
      <protection locked="0"/>
    </xf>
    <xf fontId="1" fillId="17" borderId="22" numFmtId="163" xfId="1" applyNumberFormat="1" applyFont="1" applyFill="1" applyBorder="1" applyAlignment="1" applyProtection="1">
      <alignment vertical="center" wrapText="1"/>
      <protection locked="0"/>
    </xf>
    <xf fontId="1" fillId="0" borderId="59" numFmtId="0" xfId="1" applyFont="1" applyBorder="1" applyAlignment="1" applyProtection="1">
      <alignment vertical="center" wrapText="1"/>
      <protection locked="0"/>
    </xf>
    <xf fontId="1" fillId="0" borderId="60" numFmtId="0" xfId="1" applyFont="1" applyBorder="1" applyAlignment="1" applyProtection="1">
      <alignment vertical="center" wrapText="1"/>
      <protection locked="0"/>
    </xf>
    <xf fontId="1" fillId="0" borderId="22" numFmtId="0" xfId="1" applyFont="1" applyBorder="1" applyAlignment="1" applyProtection="1">
      <alignment vertical="center" wrapText="1"/>
      <protection locked="0"/>
    </xf>
    <xf fontId="0" fillId="0" borderId="11" numFmtId="0" xfId="1" applyBorder="1" applyAlignment="1">
      <alignment vertical="center" wrapText="1"/>
    </xf>
    <xf fontId="0" fillId="0" borderId="12" numFmtId="0" xfId="1" applyBorder="1" applyAlignment="1">
      <alignment vertical="center" wrapText="1"/>
    </xf>
    <xf fontId="1" fillId="0" borderId="55" numFmtId="0" xfId="1" applyFont="1" applyBorder="1" applyProtection="1">
      <protection locked="0"/>
    </xf>
    <xf fontId="1" fillId="17" borderId="25" numFmtId="163" xfId="1" applyNumberFormat="1" applyFont="1" applyFill="1" applyBorder="1" applyAlignment="1" applyProtection="1">
      <alignment vertical="center" wrapText="1"/>
      <protection locked="0"/>
    </xf>
    <xf fontId="1" fillId="0" borderId="53" numFmtId="163" xfId="1" applyNumberFormat="1" applyFont="1" applyBorder="1" applyProtection="1">
      <protection locked="0"/>
    </xf>
    <xf fontId="1" fillId="17" borderId="22" numFmtId="163" xfId="1" applyNumberFormat="1" applyFont="1" applyFill="1" applyBorder="1" applyProtection="1">
      <protection locked="0"/>
    </xf>
    <xf fontId="9" fillId="0" borderId="21" numFmtId="0" xfId="1" applyFont="1" applyBorder="1" applyAlignment="1" applyProtection="1">
      <alignment horizontal="left"/>
      <protection locked="0"/>
    </xf>
    <xf fontId="24" fillId="0" borderId="53" numFmtId="0" xfId="1" applyFont="1" applyBorder="1" applyAlignment="1" applyProtection="1">
      <alignment horizontal="left" vertical="center" wrapText="1"/>
      <protection locked="0"/>
    </xf>
    <xf fontId="24" fillId="0" borderId="61" numFmtId="0" xfId="1" applyFont="1" applyBorder="1" applyAlignment="1" applyProtection="1">
      <alignment horizontal="left" vertical="center" wrapText="1"/>
      <protection locked="0"/>
    </xf>
    <xf fontId="24" fillId="0" borderId="62" numFmtId="0" xfId="1" applyFont="1" applyBorder="1" applyAlignment="1" applyProtection="1">
      <alignment horizontal="left" vertical="center" wrapText="1"/>
      <protection locked="0"/>
    </xf>
    <xf fontId="0" fillId="0" borderId="63" numFmtId="0" xfId="1" applyBorder="1"/>
    <xf fontId="1" fillId="0" borderId="26" numFmtId="0" xfId="1" applyFont="1" applyBorder="1" applyProtection="1">
      <protection locked="0"/>
    </xf>
    <xf fontId="24" fillId="0" borderId="25" numFmtId="0" xfId="1" applyFont="1" applyBorder="1" applyAlignment="1" applyProtection="1">
      <alignment horizontal="left" vertical="center" wrapText="1"/>
      <protection locked="0"/>
    </xf>
    <xf fontId="10" fillId="16" borderId="57" numFmtId="163" xfId="1" applyNumberFormat="1" applyFont="1" applyFill="1" applyBorder="1" applyProtection="1">
      <protection locked="0"/>
    </xf>
    <xf fontId="10" fillId="7" borderId="6" numFmtId="163" xfId="1" applyNumberFormat="1" applyFont="1" applyFill="1" applyBorder="1" applyAlignment="1" applyProtection="1">
      <alignment vertical="center"/>
      <protection locked="0"/>
    </xf>
    <xf fontId="2" fillId="4" borderId="0" numFmtId="0" xfId="1" applyFont="1" applyFill="1" applyAlignment="1">
      <alignment horizontal="center" vertical="center" wrapText="1"/>
    </xf>
    <xf fontId="2" fillId="5" borderId="64" numFmtId="0" xfId="1" applyFont="1" applyFill="1" applyBorder="1" applyAlignment="1">
      <alignment vertical="center"/>
    </xf>
    <xf fontId="2" fillId="5" borderId="65" numFmtId="0" xfId="1" applyFont="1" applyFill="1" applyBorder="1" applyAlignment="1">
      <alignment vertical="center"/>
    </xf>
    <xf fontId="2" fillId="5" borderId="65" numFmtId="0" xfId="1" applyFont="1" applyFill="1" applyBorder="1" applyAlignment="1">
      <alignment horizontal="center" vertical="center"/>
    </xf>
    <xf fontId="2" fillId="5" borderId="65" numFmtId="0" xfId="1" applyFont="1" applyFill="1" applyBorder="1" applyAlignment="1">
      <alignment horizontal="left" vertical="center"/>
    </xf>
    <xf fontId="2" fillId="5" borderId="65" numFmtId="163" xfId="1" applyNumberFormat="1" applyFont="1" applyFill="1" applyBorder="1" applyAlignment="1">
      <alignment vertical="center"/>
    </xf>
    <xf fontId="2" fillId="5" borderId="66" numFmtId="0" xfId="1" applyFont="1" applyFill="1" applyBorder="1" applyAlignment="1">
      <alignment vertical="center"/>
    </xf>
    <xf fontId="1" fillId="6" borderId="67" numFmtId="0" xfId="1" applyFont="1" applyFill="1" applyBorder="1" applyProtection="1">
      <protection locked="0"/>
    </xf>
    <xf fontId="10" fillId="7" borderId="21" numFmtId="0" xfId="1" applyFont="1" applyFill="1" applyBorder="1" applyAlignment="1" applyProtection="1">
      <alignment vertical="center"/>
      <protection locked="0"/>
    </xf>
    <xf fontId="10" fillId="16" borderId="21" numFmtId="163" xfId="1" applyNumberFormat="1" applyFont="1" applyFill="1" applyBorder="1" applyAlignment="1" applyProtection="1">
      <alignment vertical="center"/>
      <protection locked="0"/>
    </xf>
    <xf fontId="10" fillId="7" borderId="58" numFmtId="0" xfId="1" applyFont="1" applyFill="1" applyBorder="1" applyAlignment="1" applyProtection="1">
      <alignment vertical="center" wrapText="1"/>
      <protection locked="0"/>
    </xf>
    <xf fontId="9" fillId="0" borderId="40" numFmtId="0" xfId="1" applyFont="1" applyBorder="1" applyAlignment="1" applyProtection="1">
      <alignment horizontal="left" wrapText="1"/>
      <protection locked="0"/>
    </xf>
    <xf fontId="10" fillId="7" borderId="57" numFmtId="0" xfId="1" applyFont="1" applyFill="1" applyBorder="1" applyAlignment="1" applyProtection="1">
      <alignment vertical="center" wrapText="1"/>
      <protection locked="0"/>
    </xf>
    <xf fontId="10" fillId="8" borderId="21" numFmtId="0" xfId="1" applyFont="1" applyFill="1" applyBorder="1" applyAlignment="1" applyProtection="1">
      <alignment horizontal="left" vertical="center"/>
      <protection locked="0"/>
    </xf>
    <xf fontId="0" fillId="6" borderId="21" numFmtId="0" xfId="1" applyFill="1" applyBorder="1"/>
    <xf fontId="0" fillId="6" borderId="52" numFmtId="0" xfId="1" applyFill="1" applyBorder="1"/>
    <xf fontId="1" fillId="6" borderId="46" numFmtId="0" xfId="1" applyFont="1" applyFill="1" applyBorder="1" applyProtection="1">
      <protection locked="0"/>
    </xf>
    <xf fontId="10" fillId="6" borderId="37" numFmtId="0" xfId="1" applyFont="1" applyFill="1" applyBorder="1" applyAlignment="1" applyProtection="1">
      <alignment wrapText="1"/>
      <protection locked="0"/>
    </xf>
    <xf fontId="10" fillId="6" borderId="68" numFmtId="0" xfId="1" applyFont="1" applyFill="1" applyBorder="1" applyAlignment="1" applyProtection="1">
      <alignment wrapText="1"/>
      <protection locked="0"/>
    </xf>
    <xf fontId="10" fillId="8" borderId="27" numFmtId="0" xfId="1" applyFont="1" applyFill="1" applyBorder="1" applyAlignment="1" applyProtection="1">
      <alignment horizontal="left" vertical="center" wrapText="1"/>
      <protection locked="0"/>
    </xf>
    <xf fontId="0" fillId="6" borderId="7" numFmtId="0" xfId="1" applyFill="1" applyBorder="1"/>
    <xf fontId="1" fillId="0" borderId="69" numFmtId="0" xfId="1" applyFont="1" applyBorder="1" applyAlignment="1" applyProtection="1">
      <alignment wrapText="1"/>
      <protection locked="0"/>
    </xf>
    <xf fontId="0" fillId="6" borderId="41" numFmtId="0" xfId="1" applyFill="1" applyBorder="1"/>
    <xf fontId="0" fillId="6" borderId="17" numFmtId="0" xfId="1" applyFill="1" applyBorder="1"/>
    <xf fontId="0" fillId="6" borderId="25" numFmtId="0" xfId="1" applyFill="1" applyBorder="1"/>
    <xf fontId="10" fillId="16" borderId="70" numFmtId="4" xfId="1" applyNumberFormat="1" applyFont="1" applyFill="1" applyBorder="1" applyAlignment="1" applyProtection="1">
      <alignment horizontal="left" vertical="center"/>
      <protection locked="0"/>
    </xf>
    <xf fontId="1" fillId="0" borderId="71" numFmtId="0" xfId="1" applyFont="1" applyBorder="1" applyAlignment="1" applyProtection="1">
      <alignment wrapText="1"/>
      <protection locked="0"/>
    </xf>
    <xf fontId="10" fillId="16" borderId="71" numFmtId="4" xfId="1" applyNumberFormat="1" applyFont="1" applyFill="1" applyBorder="1" applyAlignment="1" applyProtection="1">
      <alignment horizontal="left" vertical="center"/>
      <protection locked="0"/>
    </xf>
    <xf fontId="21" fillId="16" borderId="56" numFmtId="2" xfId="1" applyNumberFormat="1" applyFont="1" applyFill="1" applyBorder="1" applyAlignment="1" applyProtection="1">
      <alignment horizontal="left"/>
      <protection locked="0"/>
    </xf>
    <xf fontId="1" fillId="16" borderId="56" numFmtId="2" xfId="1" applyNumberFormat="1" applyFont="1" applyFill="1" applyBorder="1" applyAlignment="1" applyProtection="1">
      <alignment horizontal="left"/>
      <protection locked="0"/>
    </xf>
    <xf fontId="9" fillId="0" borderId="58" numFmtId="0" xfId="1" applyFont="1" applyBorder="1" applyAlignment="1" applyProtection="1">
      <alignment horizontal="left" wrapText="1"/>
      <protection locked="0"/>
    </xf>
    <xf fontId="1" fillId="6" borderId="57" numFmtId="0" xfId="1" applyFont="1" applyFill="1" applyBorder="1" applyAlignment="1" applyProtection="1">
      <alignment wrapText="1"/>
      <protection locked="0"/>
    </xf>
    <xf fontId="9" fillId="0" borderId="26" numFmtId="0" xfId="1" applyFont="1" applyBorder="1" applyAlignment="1" applyProtection="1">
      <alignment horizontal="left" wrapText="1"/>
      <protection locked="0"/>
    </xf>
    <xf fontId="9" fillId="0" borderId="39" numFmtId="0" xfId="1" applyFont="1" applyBorder="1" applyAlignment="1" applyProtection="1">
      <alignment horizontal="left"/>
      <protection locked="0"/>
    </xf>
    <xf fontId="10" fillId="16" borderId="10" numFmtId="163" xfId="1" applyNumberFormat="1" applyFont="1" applyFill="1" applyBorder="1" applyProtection="1">
      <protection locked="0"/>
    </xf>
    <xf fontId="10" fillId="6" borderId="38" numFmtId="0" xfId="1" applyFont="1" applyFill="1" applyBorder="1" applyAlignment="1" applyProtection="1">
      <alignment wrapText="1"/>
      <protection locked="0"/>
    </xf>
    <xf fontId="10" fillId="16" borderId="30" numFmtId="163" xfId="1" applyNumberFormat="1" applyFont="1" applyFill="1" applyBorder="1" applyProtection="1">
      <protection locked="0"/>
    </xf>
    <xf fontId="10" fillId="7" borderId="72" numFmtId="0" xfId="1" applyFont="1" applyFill="1" applyBorder="1" applyAlignment="1" applyProtection="1">
      <alignment vertical="center" wrapText="1"/>
      <protection locked="0"/>
    </xf>
    <xf fontId="10" fillId="7" borderId="26" numFmtId="0" xfId="1" applyFont="1" applyFill="1" applyBorder="1" applyAlignment="1" applyProtection="1">
      <alignment vertical="center" wrapText="1"/>
      <protection locked="0"/>
    </xf>
    <xf fontId="10" fillId="7" borderId="27" numFmtId="0" xfId="1" applyFont="1" applyFill="1" applyBorder="1" applyAlignment="1" applyProtection="1">
      <alignment vertical="center"/>
      <protection locked="0"/>
    </xf>
    <xf fontId="9" fillId="0" borderId="73" numFmtId="0" xfId="1" applyFont="1" applyBorder="1" applyAlignment="1" applyProtection="1">
      <alignment horizontal="left" wrapText="1"/>
      <protection locked="0"/>
    </xf>
    <xf fontId="10" fillId="6" borderId="26" numFmtId="0" xfId="1" applyFont="1" applyFill="1" applyBorder="1" applyAlignment="1" applyProtection="1">
      <alignment wrapText="1"/>
      <protection locked="0"/>
    </xf>
    <xf fontId="10" fillId="6" borderId="55" numFmtId="0" xfId="1" applyFont="1" applyFill="1" applyBorder="1" applyAlignment="1" applyProtection="1">
      <alignment wrapText="1"/>
      <protection locked="0"/>
    </xf>
    <xf fontId="9" fillId="18" borderId="25" numFmtId="0" xfId="1" applyFont="1" applyFill="1" applyBorder="1" applyAlignment="1" applyProtection="1">
      <alignment horizontal="left"/>
      <protection locked="0"/>
    </xf>
    <xf fontId="10" fillId="18" borderId="7" numFmtId="0" xfId="1" applyFont="1" applyFill="1" applyBorder="1" applyProtection="1">
      <protection locked="0"/>
    </xf>
    <xf fontId="10" fillId="18" borderId="6" numFmtId="0" xfId="1" applyFont="1" applyFill="1" applyBorder="1" applyProtection="1">
      <protection locked="0"/>
    </xf>
    <xf fontId="10" fillId="18" borderId="6" numFmtId="0" xfId="1" applyFont="1" applyFill="1" applyBorder="1" applyAlignment="1" applyProtection="1">
      <alignment wrapText="1"/>
      <protection locked="0"/>
    </xf>
    <xf fontId="9" fillId="18" borderId="73" numFmtId="0" xfId="1" applyFont="1" applyFill="1" applyBorder="1" applyAlignment="1" applyProtection="1">
      <alignment horizontal="left" wrapText="1"/>
      <protection locked="0"/>
    </xf>
    <xf fontId="1" fillId="4" borderId="6" numFmtId="0" xfId="1" applyFont="1" applyFill="1" applyBorder="1" applyProtection="1">
      <protection locked="0"/>
    </xf>
    <xf fontId="10" fillId="17" borderId="30" numFmtId="163" xfId="1" applyNumberFormat="1" applyFont="1" applyFill="1" applyBorder="1" applyProtection="1">
      <protection locked="0"/>
    </xf>
    <xf fontId="1" fillId="6" borderId="16" numFmtId="0" xfId="1" applyFont="1" applyFill="1" applyBorder="1" applyProtection="1">
      <protection locked="0"/>
    </xf>
    <xf fontId="1" fillId="0" borderId="74" numFmtId="0" xfId="1" applyFont="1" applyBorder="1" applyProtection="1">
      <protection locked="0"/>
    </xf>
    <xf fontId="1" fillId="19" borderId="40" numFmtId="0" xfId="1" applyFont="1" applyFill="1" applyBorder="1" applyProtection="1">
      <protection locked="0"/>
    </xf>
    <xf fontId="1" fillId="16" borderId="40" numFmtId="163" xfId="1" applyNumberFormat="1" applyFont="1" applyFill="1" applyBorder="1" applyProtection="1">
      <protection locked="0"/>
    </xf>
    <xf fontId="1" fillId="19" borderId="75" numFmtId="0" xfId="1" applyFont="1" applyFill="1" applyBorder="1" applyAlignment="1" applyProtection="1">
      <alignment wrapText="1"/>
      <protection locked="0"/>
    </xf>
    <xf fontId="1" fillId="0" borderId="76" numFmtId="0" xfId="1" applyFont="1" applyBorder="1" applyProtection="1">
      <protection locked="0"/>
    </xf>
    <xf fontId="1" fillId="0" borderId="9" numFmtId="0" xfId="1" applyFont="1" applyBorder="1" applyAlignment="1" applyProtection="1">
      <alignment vertical="center" wrapText="1"/>
      <protection locked="0"/>
    </xf>
    <xf fontId="1" fillId="0" borderId="21" numFmtId="0" xfId="1" applyFont="1" applyBorder="1" applyAlignment="1" applyProtection="1">
      <alignment vertical="center" wrapText="1"/>
      <protection locked="0"/>
    </xf>
    <xf fontId="1" fillId="17" borderId="21" numFmtId="163" xfId="1" applyNumberFormat="1" applyFont="1" applyFill="1" applyBorder="1" applyAlignment="1" applyProtection="1">
      <alignment vertical="center" wrapText="1"/>
      <protection locked="0"/>
    </xf>
    <xf fontId="0" fillId="0" borderId="6" numFmtId="0" xfId="1" applyBorder="1" applyAlignment="1">
      <alignment vertical="center" wrapText="1"/>
    </xf>
    <xf fontId="0" fillId="0" borderId="8" numFmtId="0" xfId="1" applyBorder="1" applyAlignment="1">
      <alignment vertical="center" wrapText="1"/>
    </xf>
    <xf fontId="1" fillId="0" borderId="67" numFmtId="0" xfId="1" applyFont="1" applyBorder="1" applyProtection="1">
      <protection locked="0"/>
    </xf>
    <xf fontId="10" fillId="0" borderId="58" numFmtId="0" xfId="1" applyFont="1" applyBorder="1" applyProtection="1">
      <protection locked="0"/>
    </xf>
    <xf fontId="22" fillId="6" borderId="75" numFmtId="0" xfId="1" applyFont="1" applyFill="1" applyBorder="1" applyAlignment="1" applyProtection="1">
      <alignment horizontal="left" vertical="center" wrapText="1"/>
      <protection locked="0"/>
    </xf>
    <xf fontId="22" fillId="6" borderId="77" numFmtId="0" xfId="1" applyFont="1" applyFill="1" applyBorder="1" applyAlignment="1" applyProtection="1">
      <alignment horizontal="left" vertical="center" wrapText="1"/>
      <protection locked="0"/>
    </xf>
    <xf fontId="1" fillId="16" borderId="21" numFmtId="163" xfId="1" applyNumberFormat="1" applyFont="1" applyFill="1" applyBorder="1" applyAlignment="1" applyProtection="1">
      <alignment horizontal="right"/>
      <protection locked="0"/>
    </xf>
    <xf fontId="10" fillId="0" borderId="58" numFmtId="0" xfId="1" applyFont="1" applyBorder="1" applyAlignment="1" applyProtection="1">
      <alignment wrapText="1"/>
      <protection locked="0"/>
    </xf>
    <xf fontId="0" fillId="0" borderId="40" numFmtId="0" xfId="1" applyBorder="1"/>
    <xf fontId="23" fillId="0" borderId="40" numFmtId="0" xfId="1" applyFont="1" applyBorder="1"/>
    <xf fontId="1" fillId="20" borderId="21" numFmtId="0" xfId="1" applyFont="1" applyFill="1" applyBorder="1" applyProtection="1">
      <protection locked="0"/>
    </xf>
    <xf fontId="1" fillId="20" borderId="21" numFmtId="0" xfId="1" applyFont="1" applyFill="1" applyBorder="1" applyAlignment="1" applyProtection="1">
      <alignment wrapText="1"/>
      <protection locked="0"/>
    </xf>
    <xf fontId="1" fillId="18" borderId="6" numFmtId="0" xfId="1" applyFont="1" applyFill="1" applyBorder="1" applyProtection="1">
      <protection locked="0"/>
    </xf>
    <xf fontId="1" fillId="18" borderId="6" numFmtId="0" xfId="1" applyFont="1" applyFill="1" applyBorder="1" applyAlignment="1" applyProtection="1">
      <alignment wrapText="1"/>
      <protection locked="0"/>
    </xf>
    <xf fontId="13" fillId="0" borderId="0" numFmtId="163" xfId="1" applyNumberFormat="1" applyFont="1" applyAlignment="1">
      <alignment vertical="center"/>
    </xf>
    <xf fontId="1" fillId="16" borderId="6" numFmtId="163" xfId="1" applyNumberFormat="1" applyFont="1" applyFill="1" applyBorder="1" applyProtection="1">
      <protection locked="0"/>
    </xf>
    <xf fontId="1" fillId="16" borderId="6" numFmtId="4" xfId="1" applyNumberFormat="1" applyFont="1" applyFill="1" applyBorder="1" applyProtection="1">
      <protection locked="0"/>
    </xf>
    <xf fontId="2" fillId="5" borderId="73" numFmtId="0" xfId="1" applyFont="1" applyFill="1" applyBorder="1" applyAlignment="1">
      <alignment vertical="center"/>
    </xf>
    <xf fontId="2" fillId="5" borderId="78" numFmtId="0" xfId="1" applyFont="1" applyFill="1" applyBorder="1" applyAlignment="1">
      <alignment vertical="center"/>
    </xf>
    <xf fontId="2" fillId="5" borderId="78" numFmtId="0" xfId="1" applyFont="1" applyFill="1" applyBorder="1" applyAlignment="1">
      <alignment horizontal="center" vertical="center"/>
    </xf>
    <xf fontId="2" fillId="5" borderId="78" numFmtId="0" xfId="1" applyFont="1" applyFill="1" applyBorder="1" applyAlignment="1">
      <alignment horizontal="left" vertical="center"/>
    </xf>
    <xf fontId="2" fillId="5" borderId="78" numFmtId="163" xfId="1" applyNumberFormat="1" applyFont="1" applyFill="1" applyBorder="1" applyAlignment="1">
      <alignment vertical="center"/>
    </xf>
    <xf fontId="2" fillId="5" borderId="69" numFmtId="0" xfId="1" applyFont="1" applyFill="1" applyBorder="1" applyAlignment="1">
      <alignment vertical="center"/>
    </xf>
    <xf fontId="1" fillId="17" borderId="57" numFmtId="163" xfId="1" applyNumberFormat="1" applyFont="1" applyFill="1" applyBorder="1" applyProtection="1">
      <protection locked="0"/>
    </xf>
    <xf fontId="1" fillId="0" borderId="79" numFmtId="0" xfId="1" applyFont="1" applyBorder="1" applyProtection="1">
      <protection locked="0"/>
    </xf>
    <xf fontId="22" fillId="0" borderId="25" numFmtId="0" xfId="1" applyFont="1" applyBorder="1" applyAlignment="1" applyProtection="1">
      <alignment horizontal="left" vertical="center"/>
      <protection locked="0"/>
    </xf>
    <xf fontId="10" fillId="17" borderId="80" numFmtId="163" xfId="1" applyNumberFormat="1" applyFont="1" applyFill="1" applyBorder="1" applyProtection="1">
      <protection locked="0"/>
    </xf>
    <xf fontId="10" fillId="0" borderId="81" numFmtId="0" xfId="1" applyFont="1" applyBorder="1" applyAlignment="1" applyProtection="1">
      <alignment wrapText="1"/>
      <protection locked="0"/>
    </xf>
    <xf fontId="1" fillId="0" borderId="81" numFmtId="0" xfId="1" applyFont="1" applyBorder="1" applyProtection="1">
      <protection locked="0"/>
    </xf>
    <xf fontId="0" fillId="0" borderId="81" numFmtId="0" xfId="1" applyBorder="1"/>
    <xf fontId="0" fillId="0" borderId="47" numFmtId="0" xfId="1" applyBorder="1"/>
    <xf fontId="0" fillId="0" borderId="26" numFmtId="0" xfId="1" applyBorder="1"/>
    <xf fontId="1" fillId="0" borderId="29" numFmtId="0" xfId="1" applyFont="1" applyBorder="1" applyProtection="1">
      <protection locked="0"/>
    </xf>
    <xf fontId="1" fillId="0" borderId="27" numFmtId="163" xfId="1" applyNumberFormat="1" applyFont="1" applyBorder="1" applyProtection="1">
      <protection locked="0"/>
    </xf>
    <xf fontId="1" fillId="0" borderId="27" numFmtId="0" xfId="1" applyFont="1" applyBorder="1" applyAlignment="1" applyProtection="1">
      <alignment wrapText="1"/>
      <protection locked="0"/>
    </xf>
    <xf fontId="0" fillId="0" borderId="27" numFmtId="0" xfId="1" applyBorder="1"/>
    <xf fontId="0" fillId="0" borderId="28" numFmtId="0" xfId="1" applyBorder="1"/>
    <xf fontId="2" fillId="5" borderId="82" numFmtId="0" xfId="1" applyFont="1" applyFill="1" applyBorder="1" applyAlignment="1">
      <alignment vertical="center"/>
    </xf>
    <xf fontId="2" fillId="5" borderId="82" numFmtId="0" xfId="1" applyFont="1" applyFill="1" applyBorder="1" applyAlignment="1">
      <alignment horizontal="center" vertical="center"/>
    </xf>
    <xf fontId="2" fillId="5" borderId="82" numFmtId="0" xfId="1" applyFont="1" applyFill="1" applyBorder="1" applyAlignment="1">
      <alignment horizontal="left" vertical="center"/>
    </xf>
    <xf fontId="2" fillId="5" borderId="82" numFmtId="163" xfId="1" applyNumberFormat="1" applyFont="1" applyFill="1" applyBorder="1" applyAlignment="1">
      <alignment vertical="center"/>
    </xf>
    <xf fontId="2" fillId="5" borderId="83" numFmtId="0" xfId="1" applyFont="1" applyFill="1" applyBorder="1" applyAlignment="1">
      <alignment vertical="center"/>
    </xf>
    <xf fontId="10" fillId="17" borderId="26" numFmtId="163" xfId="1" applyNumberFormat="1" applyFont="1" applyFill="1" applyBorder="1" applyProtection="1">
      <protection locked="0"/>
    </xf>
    <xf fontId="10" fillId="6" borderId="48" numFmtId="0" xfId="1" applyFont="1" applyFill="1" applyBorder="1" applyAlignment="1" applyProtection="1">
      <alignment horizontal="left"/>
      <protection locked="0"/>
    </xf>
    <xf fontId="1" fillId="6" borderId="84" numFmtId="0" xfId="1" applyFont="1" applyFill="1" applyBorder="1" applyProtection="1">
      <protection locked="0"/>
    </xf>
    <xf fontId="10" fillId="18" borderId="25" numFmtId="0" xfId="1" applyFont="1" applyFill="1" applyBorder="1" applyProtection="1">
      <protection locked="0"/>
    </xf>
    <xf fontId="10" fillId="17" borderId="6" numFmtId="163" xfId="1" applyNumberFormat="1" applyFont="1" applyFill="1" applyBorder="1" applyAlignment="1" applyProtection="1">
      <alignment wrapText="1"/>
      <protection locked="0"/>
    </xf>
    <xf fontId="10" fillId="18" borderId="26" numFmtId="0" xfId="1" applyFont="1" applyFill="1" applyBorder="1" applyAlignment="1" applyProtection="1">
      <alignment wrapText="1"/>
      <protection locked="0"/>
    </xf>
    <xf fontId="9" fillId="19" borderId="25" numFmtId="0" xfId="1" applyFont="1" applyFill="1" applyBorder="1" applyAlignment="1" applyProtection="1">
      <alignment horizontal="left" wrapText="1"/>
      <protection locked="0"/>
    </xf>
    <xf fontId="1" fillId="19" borderId="7" numFmtId="0" xfId="1" applyFont="1" applyFill="1" applyBorder="1" applyAlignment="1" applyProtection="1">
      <alignment wrapText="1"/>
      <protection locked="0"/>
    </xf>
    <xf fontId="1" fillId="19" borderId="6" numFmtId="0" xfId="1" applyFont="1" applyFill="1" applyBorder="1" applyAlignment="1" applyProtection="1">
      <alignment wrapText="1"/>
      <protection locked="0"/>
    </xf>
    <xf fontId="0" fillId="19" borderId="6" numFmtId="0" xfId="1" applyFill="1" applyBorder="1"/>
    <xf fontId="10" fillId="7" borderId="80" numFmtId="0" xfId="1" applyFont="1" applyFill="1" applyBorder="1" applyAlignment="1" applyProtection="1">
      <alignment vertical="center" wrapText="1"/>
      <protection locked="0"/>
    </xf>
    <xf fontId="10" fillId="7" borderId="81" numFmtId="0" xfId="1" applyFont="1" applyFill="1" applyBorder="1" applyAlignment="1" applyProtection="1">
      <alignment vertical="center" wrapText="1"/>
      <protection locked="0"/>
    </xf>
    <xf fontId="10" fillId="16" borderId="81" numFmtId="163" xfId="1" applyNumberFormat="1" applyFont="1" applyFill="1" applyBorder="1" applyAlignment="1" applyProtection="1">
      <alignment vertical="center" wrapText="1"/>
      <protection locked="0"/>
    </xf>
    <xf fontId="10" fillId="7" borderId="47" numFmtId="0" xfId="1" applyFont="1" applyFill="1" applyBorder="1" applyAlignment="1" applyProtection="1">
      <alignment vertical="center" wrapText="1"/>
      <protection locked="0"/>
    </xf>
    <xf fontId="10" fillId="7" borderId="39" numFmtId="0" xfId="1" applyFont="1" applyFill="1" applyBorder="1" applyAlignment="1" applyProtection="1">
      <alignment vertical="center" wrapText="1"/>
      <protection locked="0"/>
    </xf>
    <xf fontId="0" fillId="6" borderId="8" numFmtId="0" xfId="1" applyFill="1" applyBorder="1" applyAlignment="1">
      <alignment wrapText="1"/>
    </xf>
    <xf fontId="1" fillId="6" borderId="74" numFmtId="0" xfId="1" applyFont="1" applyFill="1" applyBorder="1" applyProtection="1">
      <protection locked="0"/>
    </xf>
    <xf fontId="10" fillId="6" borderId="29" numFmtId="0" xfId="1" applyFont="1" applyFill="1" applyBorder="1" applyAlignment="1" applyProtection="1">
      <alignment wrapText="1"/>
      <protection locked="0"/>
    </xf>
    <xf fontId="10" fillId="16" borderId="27" numFmtId="163" xfId="1" applyNumberFormat="1" applyFont="1" applyFill="1" applyBorder="1" applyAlignment="1" applyProtection="1">
      <alignment wrapText="1"/>
      <protection locked="0"/>
    </xf>
    <xf fontId="10" fillId="6" borderId="28" numFmtId="0" xfId="1" applyFont="1" applyFill="1" applyBorder="1" applyAlignment="1" applyProtection="1">
      <alignment wrapText="1"/>
      <protection locked="0"/>
    </xf>
    <xf fontId="1" fillId="6" borderId="29" numFmtId="0" xfId="1" applyFont="1" applyFill="1" applyBorder="1" applyAlignment="1" applyProtection="1">
      <alignment wrapText="1"/>
      <protection locked="0"/>
    </xf>
    <xf fontId="1" fillId="0" borderId="85" numFmtId="0" xfId="1" applyFont="1" applyBorder="1" applyAlignment="1" applyProtection="1">
      <alignment wrapText="1"/>
      <protection locked="0"/>
    </xf>
    <xf fontId="10" fillId="16" borderId="25" numFmtId="4" xfId="1" applyNumberFormat="1" applyFont="1" applyFill="1" applyBorder="1" applyAlignment="1" applyProtection="1">
      <alignment horizontal="left" vertical="center" wrapText="1"/>
      <protection locked="0"/>
    </xf>
    <xf fontId="0" fillId="6" borderId="29" numFmtId="0" xfId="1" applyFill="1" applyBorder="1"/>
    <xf fontId="0" fillId="6" borderId="86" numFmtId="0" xfId="1" applyFill="1" applyBorder="1"/>
    <xf fontId="10" fillId="16" borderId="34" numFmtId="4" xfId="1" applyNumberFormat="1" applyFont="1" applyFill="1" applyBorder="1" applyAlignment="1" applyProtection="1">
      <alignment horizontal="left" vertical="center" wrapText="1"/>
      <protection locked="0"/>
    </xf>
    <xf fontId="1" fillId="0" borderId="39" numFmtId="0" xfId="1" applyFont="1" applyBorder="1" applyAlignment="1" applyProtection="1">
      <alignment wrapText="1"/>
      <protection locked="0"/>
    </xf>
    <xf fontId="10" fillId="16" borderId="26" numFmtId="4" xfId="1" applyNumberFormat="1" applyFont="1" applyFill="1" applyBorder="1" applyAlignment="1" applyProtection="1">
      <alignment horizontal="left" vertical="center" wrapText="1"/>
      <protection locked="0"/>
    </xf>
    <xf fontId="1" fillId="0" borderId="68" numFmtId="0" xfId="1" applyFont="1" applyBorder="1" applyAlignment="1" applyProtection="1">
      <alignment wrapText="1"/>
      <protection locked="0"/>
    </xf>
    <xf fontId="10" fillId="16" borderId="48" numFmtId="4" xfId="1" applyNumberFormat="1" applyFont="1" applyFill="1" applyBorder="1" applyAlignment="1" applyProtection="1">
      <alignment horizontal="left" vertical="center" wrapText="1"/>
      <protection locked="0"/>
    </xf>
    <xf fontId="9" fillId="15" borderId="39" numFmtId="0" xfId="1" applyFont="1" applyFill="1" applyBorder="1" applyAlignment="1" applyProtection="1">
      <alignment horizontal="left" wrapText="1"/>
      <protection locked="0"/>
    </xf>
    <xf fontId="21" fillId="16" borderId="26" numFmtId="2" xfId="1" applyNumberFormat="1" applyFont="1" applyFill="1" applyBorder="1" applyAlignment="1" applyProtection="1">
      <alignment horizontal="left" wrapText="1"/>
      <protection locked="0"/>
    </xf>
    <xf fontId="21" fillId="16" borderId="87" numFmtId="2" xfId="1" applyNumberFormat="1" applyFont="1" applyFill="1" applyBorder="1" applyAlignment="1" applyProtection="1">
      <alignment horizontal="left" wrapText="1"/>
      <protection locked="0"/>
    </xf>
    <xf fontId="9" fillId="0" borderId="39" numFmtId="0" xfId="1" applyFont="1" applyBorder="1" applyAlignment="1" applyProtection="1">
      <alignment horizontal="left" wrapText="1"/>
      <protection locked="0"/>
    </xf>
    <xf fontId="1" fillId="16" borderId="87" numFmtId="2" xfId="1" applyNumberFormat="1" applyFont="1" applyFill="1" applyBorder="1" applyAlignment="1" applyProtection="1">
      <alignment horizontal="left" wrapText="1"/>
      <protection locked="0"/>
    </xf>
    <xf fontId="1" fillId="16" borderId="6" numFmtId="2" xfId="1" applyNumberFormat="1" applyFont="1" applyFill="1" applyBorder="1" applyAlignment="1" applyProtection="1">
      <alignment horizontal="left" wrapText="1"/>
      <protection locked="0"/>
    </xf>
    <xf fontId="1" fillId="6" borderId="76" numFmtId="0" xfId="1" applyFont="1" applyFill="1" applyBorder="1" applyAlignment="1" applyProtection="1">
      <alignment wrapText="1"/>
      <protection locked="0"/>
    </xf>
    <xf fontId="9" fillId="16" borderId="6" numFmtId="2" xfId="1" applyNumberFormat="1" applyFont="1" applyFill="1" applyBorder="1" applyAlignment="1" applyProtection="1">
      <alignment horizontal="left" wrapText="1"/>
      <protection locked="0"/>
    </xf>
    <xf fontId="10" fillId="16" borderId="6" numFmtId="2" xfId="1" applyNumberFormat="1" applyFont="1" applyFill="1" applyBorder="1" applyAlignment="1" applyProtection="1">
      <alignment horizontal="left" wrapText="1"/>
      <protection locked="0"/>
    </xf>
    <xf fontId="10" fillId="6" borderId="29" numFmtId="0" xfId="1" applyFont="1" applyFill="1" applyBorder="1" applyProtection="1">
      <protection locked="0"/>
    </xf>
    <xf fontId="10" fillId="16" borderId="34" numFmtId="163" xfId="1" applyNumberFormat="1" applyFont="1" applyFill="1" applyBorder="1" applyAlignment="1" applyProtection="1">
      <alignment wrapText="1"/>
      <protection locked="0"/>
    </xf>
    <xf fontId="1" fillId="0" borderId="70" numFmtId="0" xfId="1" applyFont="1" applyBorder="1" applyAlignment="1" applyProtection="1">
      <alignment wrapText="1"/>
      <protection locked="0"/>
    </xf>
    <xf fontId="10" fillId="7" borderId="7" numFmtId="0" xfId="1" applyFont="1" applyFill="1" applyBorder="1" applyAlignment="1" applyProtection="1">
      <alignment vertical="center"/>
      <protection locked="0"/>
    </xf>
    <xf fontId="10" fillId="16" borderId="6" numFmtId="163" xfId="1" applyNumberFormat="1" applyFont="1" applyFill="1" applyBorder="1" applyAlignment="1" applyProtection="1">
      <alignment vertical="center" wrapText="1"/>
      <protection locked="0"/>
    </xf>
    <xf fontId="9" fillId="0" borderId="51" numFmtId="0" xfId="1" applyFont="1" applyBorder="1" applyAlignment="1" applyProtection="1">
      <alignment horizontal="left" wrapText="1"/>
      <protection locked="0"/>
    </xf>
    <xf fontId="11" fillId="8" borderId="6" numFmtId="0" xfId="1" applyFont="1" applyFill="1" applyBorder="1" applyAlignment="1" applyProtection="1">
      <alignment horizontal="center" vertical="center" wrapText="1"/>
      <protection locked="0"/>
    </xf>
    <xf fontId="10" fillId="16" borderId="6" numFmtId="163" xfId="1" applyNumberFormat="1" applyFont="1" applyFill="1" applyBorder="1" applyAlignment="1" applyProtection="1">
      <alignment wrapText="1"/>
      <protection locked="0"/>
    </xf>
    <xf fontId="10" fillId="6" borderId="39" numFmtId="0" xfId="1" applyFont="1" applyFill="1" applyBorder="1" applyAlignment="1" applyProtection="1">
      <alignment wrapText="1"/>
      <protection locked="0"/>
    </xf>
    <xf fontId="10" fillId="6" borderId="7" numFmtId="0" xfId="1" applyFont="1" applyFill="1" applyBorder="1" applyAlignment="1" applyProtection="1">
      <alignment wrapText="1"/>
      <protection locked="0"/>
    </xf>
    <xf fontId="9" fillId="19" borderId="25" numFmtId="0" xfId="1" applyFont="1" applyFill="1" applyBorder="1" applyAlignment="1" applyProtection="1">
      <alignment horizontal="left"/>
      <protection locked="0"/>
    </xf>
    <xf fontId="9" fillId="19" borderId="40" numFmtId="0" xfId="1" applyFont="1" applyFill="1" applyBorder="1" applyAlignment="1" applyProtection="1">
      <alignment horizontal="left" wrapText="1"/>
      <protection locked="0"/>
    </xf>
    <xf fontId="9" fillId="19" borderId="7" numFmtId="0" xfId="1" applyFont="1" applyFill="1" applyBorder="1" applyAlignment="1" applyProtection="1">
      <alignment horizontal="left" wrapText="1"/>
      <protection locked="0"/>
    </xf>
    <xf fontId="10" fillId="19" borderId="6" numFmtId="2" xfId="1" applyNumberFormat="1" applyFont="1" applyFill="1" applyBorder="1" applyAlignment="1" applyProtection="1">
      <alignment horizontal="left" wrapText="1"/>
      <protection locked="0"/>
    </xf>
    <xf fontId="9" fillId="19" borderId="26" numFmtId="0" xfId="1" applyFont="1" applyFill="1" applyBorder="1" applyAlignment="1" applyProtection="1">
      <alignment horizontal="left" wrapText="1"/>
      <protection locked="0"/>
    </xf>
    <xf fontId="9" fillId="19" borderId="6" numFmtId="2" xfId="1" applyNumberFormat="1" applyFont="1" applyFill="1" applyBorder="1" applyAlignment="1" applyProtection="1">
      <alignment horizontal="left" wrapText="1"/>
      <protection locked="0"/>
    </xf>
    <xf fontId="10" fillId="19" borderId="25" numFmtId="0" xfId="1" applyFont="1" applyFill="1" applyBorder="1" applyProtection="1">
      <protection locked="0"/>
    </xf>
    <xf fontId="10" fillId="19" borderId="7" numFmtId="0" xfId="1" applyFont="1" applyFill="1" applyBorder="1" applyProtection="1">
      <protection locked="0"/>
    </xf>
    <xf fontId="10" fillId="19" borderId="6" numFmtId="163" xfId="1" applyNumberFormat="1" applyFont="1" applyFill="1" applyBorder="1" applyAlignment="1" applyProtection="1">
      <alignment wrapText="1"/>
      <protection locked="0"/>
    </xf>
    <xf fontId="10" fillId="19" borderId="26" numFmtId="0" xfId="1" applyFont="1" applyFill="1" applyBorder="1" applyAlignment="1" applyProtection="1">
      <alignment wrapText="1"/>
      <protection locked="0"/>
    </xf>
    <xf fontId="10" fillId="19" borderId="29" numFmtId="0" xfId="1" applyFont="1" applyFill="1" applyBorder="1" applyProtection="1">
      <protection locked="0"/>
    </xf>
    <xf fontId="10" fillId="19" borderId="27" numFmtId="163" xfId="1" applyNumberFormat="1" applyFont="1" applyFill="1" applyBorder="1" applyAlignment="1" applyProtection="1">
      <alignment wrapText="1"/>
      <protection locked="0"/>
    </xf>
    <xf fontId="10" fillId="19" borderId="28" numFmtId="0" xfId="1" applyFont="1" applyFill="1" applyBorder="1" applyAlignment="1" applyProtection="1">
      <alignment wrapText="1"/>
      <protection locked="0"/>
    </xf>
    <xf fontId="10" fillId="19" borderId="25" numFmtId="163" xfId="1" applyNumberFormat="1" applyFont="1" applyFill="1" applyBorder="1" applyAlignment="1" applyProtection="1">
      <alignment wrapText="1"/>
      <protection locked="0"/>
    </xf>
    <xf fontId="10" fillId="19" borderId="34" numFmtId="163" xfId="1" applyNumberFormat="1" applyFont="1" applyFill="1" applyBorder="1" applyAlignment="1" applyProtection="1">
      <alignment wrapText="1"/>
      <protection locked="0"/>
    </xf>
    <xf fontId="10" fillId="19" borderId="45" numFmtId="0" xfId="1" applyFont="1" applyFill="1" applyBorder="1" applyAlignment="1" applyProtection="1">
      <alignment vertical="center" wrapText="1"/>
      <protection locked="0"/>
    </xf>
    <xf fontId="10" fillId="19" borderId="21" numFmtId="0" xfId="1" applyFont="1" applyFill="1" applyBorder="1" applyAlignment="1" applyProtection="1">
      <alignment vertical="center" wrapText="1"/>
      <protection locked="0"/>
    </xf>
    <xf fontId="10" fillId="19" borderId="6" numFmtId="0" xfId="1" applyFont="1" applyFill="1" applyBorder="1" applyAlignment="1" applyProtection="1">
      <alignment vertical="center"/>
      <protection locked="0"/>
    </xf>
    <xf fontId="10" fillId="19" borderId="6" numFmtId="163" xfId="1" applyNumberFormat="1" applyFont="1" applyFill="1" applyBorder="1" applyAlignment="1" applyProtection="1">
      <alignment vertical="center" wrapText="1"/>
      <protection locked="0"/>
    </xf>
    <xf fontId="10" fillId="19" borderId="26" numFmtId="0" xfId="1" applyFont="1" applyFill="1" applyBorder="1" applyAlignment="1" applyProtection="1">
      <alignment vertical="center" wrapText="1"/>
      <protection locked="0"/>
    </xf>
    <xf fontId="1" fillId="19" borderId="7" numFmtId="0" xfId="1" applyFont="1" applyFill="1" applyBorder="1" applyProtection="1">
      <protection locked="0"/>
    </xf>
    <xf fontId="1" fillId="19" borderId="6" numFmtId="0" xfId="1" applyFont="1" applyFill="1" applyBorder="1" applyProtection="1">
      <protection locked="0"/>
    </xf>
    <xf fontId="9" fillId="19" borderId="34" numFmtId="0" xfId="1" applyFont="1" applyFill="1" applyBorder="1" applyAlignment="1" applyProtection="1">
      <alignment horizontal="left"/>
      <protection locked="0"/>
    </xf>
    <xf fontId="10" fillId="19" borderId="27" numFmtId="0" xfId="1" applyFont="1" applyFill="1" applyBorder="1" applyAlignment="1" applyProtection="1">
      <alignment vertical="center"/>
      <protection locked="0"/>
    </xf>
    <xf fontId="10" fillId="19" borderId="6" numFmtId="0" xfId="1" applyFont="1" applyFill="1" applyBorder="1" applyAlignment="1" applyProtection="1">
      <alignment vertical="center" wrapText="1"/>
      <protection locked="0"/>
    </xf>
    <xf fontId="10" fillId="19" borderId="6" numFmtId="163" xfId="1" applyNumberFormat="1" applyFont="1" applyFill="1" applyBorder="1" applyAlignment="1" applyProtection="1">
      <alignment vertical="center"/>
      <protection locked="0"/>
    </xf>
    <xf fontId="10" fillId="19" borderId="56" numFmtId="0" xfId="1" applyFont="1" applyFill="1" applyBorder="1" applyAlignment="1" applyProtection="1">
      <alignment vertical="center" wrapText="1"/>
      <protection locked="0"/>
    </xf>
    <xf fontId="9" fillId="19" borderId="73" numFmtId="0" xfId="1" applyFont="1" applyFill="1" applyBorder="1" applyAlignment="1" applyProtection="1">
      <alignment horizontal="left" wrapText="1"/>
      <protection locked="0"/>
    </xf>
    <xf fontId="11" fillId="19" borderId="6" numFmtId="0" xfId="1" applyFont="1" applyFill="1" applyBorder="1" applyAlignment="1" applyProtection="1">
      <alignment horizontal="center" vertical="center"/>
      <protection locked="0"/>
    </xf>
    <xf fontId="0" fillId="19" borderId="6" numFmtId="0" xfId="1" applyFill="1" applyBorder="1" applyAlignment="1">
      <alignment vertical="center"/>
    </xf>
    <xf fontId="12" fillId="19" borderId="8" numFmtId="0" xfId="1" applyFont="1" applyFill="1" applyBorder="1" applyAlignment="1">
      <alignment vertical="center" wrapText="1"/>
    </xf>
    <xf fontId="10" fillId="19" borderId="56" numFmtId="0" xfId="1" applyFont="1" applyFill="1" applyBorder="1" applyAlignment="1" applyProtection="1">
      <alignment wrapText="1"/>
      <protection locked="0"/>
    </xf>
    <xf fontId="10" fillId="6" borderId="21" numFmtId="0" xfId="1" applyFont="1" applyFill="1" applyBorder="1" applyProtection="1">
      <protection locked="0"/>
    </xf>
    <xf fontId="1" fillId="16" borderId="45" numFmtId="163" xfId="1" applyNumberFormat="1" applyFont="1" applyFill="1" applyBorder="1" applyAlignment="1" applyProtection="1">
      <alignment wrapText="1"/>
      <protection locked="0"/>
    </xf>
    <xf fontId="1" fillId="19" borderId="45" numFmtId="0" xfId="1" applyFont="1" applyFill="1" applyBorder="1" applyProtection="1">
      <protection locked="0"/>
    </xf>
    <xf fontId="1" fillId="19" borderId="88" numFmtId="0" xfId="1" applyFont="1" applyFill="1" applyBorder="1" applyAlignment="1" applyProtection="1">
      <alignment wrapText="1"/>
      <protection locked="0"/>
    </xf>
    <xf fontId="1" fillId="19" borderId="34" numFmtId="0" xfId="1" applyFont="1" applyFill="1" applyBorder="1" applyAlignment="1" applyProtection="1">
      <alignment vertical="center" wrapText="1"/>
      <protection locked="0"/>
    </xf>
    <xf fontId="1" fillId="19" borderId="34" numFmtId="0" xfId="1" applyFont="1" applyFill="1" applyBorder="1" applyAlignment="1" applyProtection="1">
      <alignment vertical="center"/>
      <protection locked="0"/>
    </xf>
    <xf fontId="1" fillId="16" borderId="79" numFmtId="163" xfId="1" applyNumberFormat="1" applyFont="1" applyFill="1" applyBorder="1" applyAlignment="1" applyProtection="1">
      <alignment vertical="center"/>
      <protection locked="0"/>
    </xf>
    <xf fontId="1" fillId="19" borderId="85" numFmtId="0" xfId="1" applyFont="1" applyFill="1" applyBorder="1" applyAlignment="1" applyProtection="1">
      <alignment wrapText="1"/>
      <protection locked="0"/>
    </xf>
    <xf fontId="1" fillId="19" borderId="6" numFmtId="0" xfId="1" applyFont="1" applyFill="1" applyBorder="1" applyAlignment="1" applyProtection="1">
      <alignment vertical="center" wrapText="1"/>
      <protection locked="0"/>
    </xf>
    <xf fontId="1" fillId="19" borderId="6" numFmtId="163" xfId="1" applyNumberFormat="1" applyFont="1" applyFill="1" applyBorder="1" applyAlignment="1" applyProtection="1">
      <alignment vertical="center" wrapText="1"/>
      <protection locked="0"/>
    </xf>
    <xf fontId="1" fillId="19" borderId="47" numFmtId="0" xfId="1" applyFont="1" applyFill="1" applyBorder="1" applyAlignment="1" applyProtection="1">
      <alignment vertical="center" wrapText="1"/>
      <protection locked="0"/>
    </xf>
    <xf fontId="1" fillId="19" borderId="26" numFmtId="0" xfId="1" applyFont="1" applyFill="1" applyBorder="1" applyAlignment="1" applyProtection="1">
      <alignment vertical="center" wrapText="1"/>
      <protection locked="0"/>
    </xf>
    <xf fontId="22" fillId="6" borderId="54" numFmtId="0" xfId="1" applyFont="1" applyFill="1" applyBorder="1" applyAlignment="1" applyProtection="1">
      <alignment horizontal="left" vertical="center" wrapText="1"/>
      <protection locked="0"/>
    </xf>
    <xf fontId="22" fillId="6" borderId="54" numFmtId="0" xfId="1" applyFont="1" applyFill="1" applyBorder="1" applyAlignment="1" applyProtection="1">
      <alignment horizontal="left" vertical="center"/>
      <protection locked="0"/>
    </xf>
    <xf fontId="25" fillId="17" borderId="54" numFmtId="4" xfId="1" applyNumberFormat="1" applyFont="1" applyFill="1" applyBorder="1" applyAlignment="1" applyProtection="1">
      <alignment horizontal="right" vertical="center" wrapText="1"/>
      <protection locked="0"/>
    </xf>
    <xf fontId="22" fillId="6" borderId="89" numFmtId="0" xfId="1" applyFont="1" applyFill="1" applyBorder="1" applyAlignment="1" applyProtection="1">
      <alignment horizontal="left" vertical="center" wrapText="1"/>
      <protection locked="0"/>
    </xf>
    <xf fontId="1" fillId="0" borderId="60" numFmtId="0" xfId="1" applyFont="1" applyBorder="1" applyProtection="1">
      <protection locked="0"/>
    </xf>
    <xf fontId="25" fillId="17" borderId="25" numFmtId="4" xfId="1" applyNumberFormat="1" applyFont="1" applyFill="1" applyBorder="1" applyAlignment="1" applyProtection="1">
      <alignment horizontal="right" vertical="center" wrapText="1"/>
      <protection locked="0"/>
    </xf>
    <xf fontId="25" fillId="17" borderId="34" numFmtId="4" xfId="1" applyNumberFormat="1" applyFont="1" applyFill="1" applyBorder="1" applyAlignment="1" applyProtection="1">
      <alignment horizontal="right" vertical="center" wrapText="1"/>
      <protection locked="0"/>
    </xf>
    <xf fontId="1" fillId="17" borderId="54" numFmtId="163" xfId="1" applyNumberFormat="1" applyFont="1" applyFill="1" applyBorder="1" applyProtection="1">
      <protection locked="0"/>
    </xf>
    <xf fontId="1" fillId="0" borderId="84" numFmtId="0" xfId="1" applyFont="1" applyBorder="1" applyProtection="1">
      <protection locked="0"/>
    </xf>
    <xf fontId="10" fillId="0" borderId="47" numFmtId="0" xfId="1" applyFont="1" applyBorder="1" applyAlignment="1" applyProtection="1">
      <alignment wrapText="1"/>
      <protection locked="0"/>
    </xf>
    <xf fontId="22" fillId="6" borderId="90" numFmtId="0" xfId="1" applyFont="1" applyFill="1" applyBorder="1" applyAlignment="1" applyProtection="1">
      <alignment horizontal="left" vertical="center" wrapText="1"/>
      <protection locked="0"/>
    </xf>
    <xf fontId="1" fillId="16" borderId="81" numFmtId="163" xfId="1" applyNumberFormat="1" applyFont="1" applyFill="1" applyBorder="1" applyAlignment="1" applyProtection="1">
      <alignment horizontal="right" wrapText="1"/>
      <protection locked="0"/>
    </xf>
    <xf fontId="1" fillId="0" borderId="54" numFmtId="0" xfId="1" applyFont="1" applyBorder="1" applyProtection="1">
      <protection locked="0"/>
    </xf>
    <xf fontId="0" fillId="0" borderId="54" numFmtId="0" xfId="1" applyBorder="1"/>
    <xf fontId="23" fillId="0" borderId="54" numFmtId="0" xfId="1" applyFont="1" applyBorder="1"/>
    <xf fontId="1" fillId="0" borderId="91" numFmtId="0" xfId="1" applyFont="1" applyBorder="1" applyProtection="1">
      <protection locked="0"/>
    </xf>
    <xf fontId="1" fillId="0" borderId="53" numFmtId="0" xfId="1" applyFont="1" applyBorder="1" applyProtection="1">
      <protection locked="0"/>
    </xf>
    <xf fontId="0" fillId="0" borderId="53" numFmtId="0" xfId="1" applyBorder="1"/>
    <xf fontId="0" fillId="0" borderId="92" numFmtId="0" xfId="1" applyBorder="1"/>
    <xf fontId="24" fillId="0" borderId="68" numFmtId="0" xfId="1" applyFont="1" applyBorder="1" applyAlignment="1" applyProtection="1">
      <alignment horizontal="left" vertical="center" wrapText="1"/>
      <protection locked="0"/>
    </xf>
    <xf fontId="24" fillId="16" borderId="40" numFmtId="4" xfId="1" applyNumberFormat="1" applyFont="1" applyFill="1" applyBorder="1" applyAlignment="1" applyProtection="1">
      <alignment horizontal="right" vertical="center" wrapText="1"/>
      <protection locked="0"/>
    </xf>
    <xf fontId="24" fillId="0" borderId="40" numFmtId="0" xfId="1" applyFont="1" applyBorder="1" applyAlignment="1" applyProtection="1">
      <alignment horizontal="left" vertical="center" wrapText="1"/>
      <protection locked="0"/>
    </xf>
    <xf fontId="2" fillId="5" borderId="0" numFmtId="0" xfId="1" applyFont="1" applyFill="1" applyAlignment="1">
      <alignment horizontal="center" vertical="center"/>
    </xf>
    <xf fontId="2" fillId="5" borderId="0" numFmtId="0" xfId="1" applyFont="1" applyFill="1" applyAlignment="1">
      <alignment horizontal="left" vertical="center"/>
    </xf>
    <xf fontId="2" fillId="5" borderId="0" numFmtId="163" xfId="1" applyNumberFormat="1" applyFont="1" applyFill="1" applyAlignment="1">
      <alignment vertical="center"/>
    </xf>
    <xf fontId="1" fillId="20" borderId="11" numFmtId="0" xfId="1" applyFont="1" applyFill="1" applyBorder="1" applyProtection="1">
      <protection locked="0"/>
    </xf>
    <xf fontId="1" fillId="20" borderId="6" numFmtId="0" xfId="1" applyFont="1" applyFill="1" applyBorder="1" applyProtection="1">
      <protection locked="0"/>
    </xf>
    <xf fontId="1" fillId="20" borderId="6" numFmtId="0" xfId="1" applyFont="1" applyFill="1" applyBorder="1" applyAlignment="1" applyProtection="1">
      <alignment wrapText="1"/>
      <protection locked="0"/>
    </xf>
    <xf fontId="1" fillId="0" borderId="93" numFmtId="0" xfId="1" applyFont="1" applyBorder="1" applyProtection="1">
      <protection locked="0"/>
    </xf>
    <xf fontId="1" fillId="6" borderId="53" numFmtId="0" xfId="1" applyFont="1" applyFill="1" applyBorder="1" applyProtection="1">
      <protection locked="0"/>
    </xf>
    <xf fontId="2" fillId="0" borderId="53" numFmtId="0" xfId="1" applyFont="1" applyBorder="1" applyProtection="1">
      <protection locked="0"/>
    </xf>
    <xf fontId="10" fillId="6" borderId="21" numFmtId="0" xfId="1" applyFont="1" applyFill="1" applyBorder="1" applyAlignment="1" applyProtection="1">
      <alignment wrapText="1"/>
      <protection locked="0"/>
    </xf>
    <xf fontId="10" fillId="16" borderId="21" numFmtId="163" xfId="1" applyNumberFormat="1" applyFont="1" applyFill="1" applyBorder="1" applyProtection="1">
      <protection locked="0"/>
    </xf>
    <xf fontId="2" fillId="0" borderId="25" numFmtId="0" xfId="1" applyFont="1" applyBorder="1" applyProtection="1">
      <protection locked="0"/>
    </xf>
    <xf fontId="1" fillId="6" borderId="53" numFmtId="0" xfId="1" applyFont="1" applyFill="1" applyBorder="1" applyAlignment="1" applyProtection="1">
      <alignment wrapText="1"/>
      <protection locked="0"/>
    </xf>
    <xf fontId="1" fillId="16" borderId="38" numFmtId="163" xfId="1" applyNumberFormat="1" applyFont="1" applyFill="1" applyBorder="1" applyProtection="1">
      <protection locked="0"/>
    </xf>
    <xf fontId="10" fillId="6" borderId="89" numFmtId="0" xfId="1" applyFont="1" applyFill="1" applyBorder="1" applyAlignment="1" applyProtection="1">
      <alignment wrapText="1"/>
      <protection locked="0"/>
    </xf>
    <xf fontId="0" fillId="19" borderId="0" numFmtId="0" xfId="1" applyFill="1" applyAlignment="1">
      <alignment vertical="center"/>
    </xf>
    <xf fontId="1" fillId="19" borderId="25" numFmtId="0" xfId="1" applyFont="1" applyFill="1" applyBorder="1">
      <protection locked="0"/>
    </xf>
    <xf fontId="1" fillId="17" borderId="25" numFmtId="163" xfId="1" applyNumberFormat="1" applyFont="1" applyFill="1" applyBorder="1">
      <protection locked="0"/>
    </xf>
    <xf fontId="1" fillId="19" borderId="25" numFmtId="0" xfId="1" applyFont="1" applyFill="1" applyBorder="1" applyAlignment="1">
      <alignment wrapText="1"/>
      <protection locked="0"/>
    </xf>
    <xf fontId="1" fillId="19" borderId="25" numFmtId="0" xfId="1" applyFont="1" applyFill="1" applyBorder="1" applyAlignment="1">
      <alignment vertical="center"/>
    </xf>
    <xf fontId="2" fillId="19" borderId="25" numFmtId="0" xfId="1" applyFont="1" applyFill="1" applyBorder="1" applyAlignment="1">
      <alignment vertical="center"/>
    </xf>
    <xf fontId="1" fillId="17" borderId="25" numFmtId="4" xfId="1" applyNumberFormat="1" applyFont="1" applyFill="1" applyBorder="1" applyProtection="1">
      <protection locked="0"/>
    </xf>
    <xf fontId="1" fillId="19" borderId="25" numFmtId="0" xfId="1" applyFont="1" applyFill="1" applyBorder="1" applyAlignment="1" applyProtection="1">
      <alignment vertical="center"/>
    </xf>
    <xf fontId="1" fillId="4" borderId="25" numFmtId="0" xfId="1" applyFont="1" applyFill="1" applyBorder="1" applyProtection="1">
      <protection locked="0"/>
    </xf>
    <xf fontId="1" fillId="17" borderId="30" numFmtId="163" xfId="1" applyNumberFormat="1" applyFont="1" applyFill="1" applyBorder="1" applyProtection="1">
      <protection locked="0"/>
    </xf>
    <xf fontId="1" fillId="0" borderId="73" numFmtId="0" xfId="1" applyFont="1" applyBorder="1" applyProtection="1">
      <protection locked="0"/>
    </xf>
    <xf fontId="10" fillId="6" borderId="56" numFmtId="0" xfId="1" applyFont="1" applyFill="1" applyBorder="1" applyAlignment="1" applyProtection="1">
      <alignment wrapText="1"/>
      <protection locked="0"/>
    </xf>
    <xf fontId="1" fillId="2" borderId="40" numFmtId="0" xfId="1" applyFont="1" applyFill="1" applyBorder="1" applyProtection="1">
      <protection locked="0"/>
    </xf>
    <xf fontId="24" fillId="2" borderId="40" numFmtId="0" xfId="1" applyFont="1" applyFill="1" applyBorder="1" applyAlignment="1" applyProtection="1">
      <alignment horizontal="left" vertical="center" wrapText="1"/>
      <protection locked="0"/>
    </xf>
    <xf fontId="24" fillId="2" borderId="75" numFmtId="0" xfId="1" applyFont="1" applyFill="1" applyBorder="1" applyAlignment="1" applyProtection="1">
      <alignment horizontal="left" vertical="center" wrapText="1"/>
      <protection locked="0"/>
    </xf>
    <xf fontId="10" fillId="17" borderId="75" numFmtId="163" xfId="1" applyNumberFormat="1" applyFont="1" applyFill="1" applyBorder="1" applyProtection="1">
      <protection locked="0"/>
    </xf>
    <xf fontId="10" fillId="2" borderId="75" numFmtId="0" xfId="1" applyFont="1" applyFill="1" applyBorder="1" applyAlignment="1" applyProtection="1">
      <alignment wrapText="1"/>
      <protection locked="0"/>
    </xf>
    <xf fontId="1" fillId="0" borderId="42" numFmtId="0" xfId="1" applyFont="1" applyBorder="1" applyProtection="1">
      <protection locked="0"/>
    </xf>
    <xf fontId="1" fillId="18" borderId="25" numFmtId="0" xfId="1" applyFont="1" applyFill="1" applyBorder="1" applyProtection="1">
      <protection locked="0"/>
    </xf>
    <xf fontId="1" fillId="18" borderId="25" numFmtId="0" xfId="1" applyFont="1" applyFill="1" applyBorder="1" applyAlignment="1" applyProtection="1">
      <alignment wrapText="1"/>
      <protection locked="0"/>
    </xf>
    <xf fontId="1" fillId="18" borderId="68" numFmtId="0" xfId="1" applyFont="1" applyFill="1" applyBorder="1" applyProtection="1">
      <protection locked="0"/>
    </xf>
    <xf fontId="26" fillId="17" borderId="25" numFmtId="163" xfId="1" applyNumberFormat="1" applyFont="1" applyFill="1" applyBorder="1" applyProtection="1">
      <protection locked="0"/>
    </xf>
    <xf fontId="26" fillId="17" borderId="30" numFmtId="163" xfId="1" applyNumberFormat="1" applyFont="1" applyFill="1" applyBorder="1" applyProtection="1">
      <protection locked="0"/>
    </xf>
    <xf fontId="1" fillId="0" borderId="81" numFmtId="0" xfId="1" applyFont="1" applyBorder="1" applyAlignment="1" applyProtection="1">
      <alignment wrapText="1"/>
      <protection locked="0"/>
    </xf>
    <xf fontId="26" fillId="17" borderId="6" numFmtId="163" xfId="1" applyNumberFormat="1" applyFont="1" applyFill="1" applyBorder="1" applyProtection="1">
      <protection locked="0"/>
    </xf>
    <xf fontId="1" fillId="0" borderId="75" numFmtId="0" xfId="1" applyFont="1" applyBorder="1" applyProtection="1">
      <protection locked="0"/>
    </xf>
    <xf fontId="1" fillId="0" borderId="75" numFmtId="0" xfId="1" applyFont="1" applyBorder="1" applyAlignment="1" applyProtection="1">
      <alignment wrapText="1"/>
      <protection locked="0"/>
    </xf>
    <xf fontId="26" fillId="17" borderId="94" numFmtId="163" xfId="1" applyNumberFormat="1" applyFont="1" applyFill="1" applyBorder="1" applyProtection="1">
      <protection locked="0"/>
    </xf>
    <xf fontId="1" fillId="0" borderId="40" numFmtId="0" xfId="1" applyFont="1" applyBorder="1" applyAlignment="1" applyProtection="1">
      <alignment wrapText="1"/>
      <protection locked="0"/>
    </xf>
    <xf fontId="26" fillId="17" borderId="0" numFmtId="163" xfId="1" applyNumberFormat="1" applyFont="1" applyFill="1" applyProtection="1">
      <protection locked="0"/>
    </xf>
    <xf fontId="1" fillId="0" borderId="95" numFmtId="0" xfId="1" applyFont="1" applyBorder="1" applyProtection="1">
      <protection locked="0"/>
    </xf>
    <xf fontId="0" fillId="0" borderId="96" numFmtId="0" xfId="1" applyBorder="1"/>
    <xf fontId="2" fillId="3" borderId="82" numFmtId="0" xfId="1" applyFont="1" applyFill="1" applyBorder="1" applyAlignment="1">
      <alignment horizontal="left" vertical="center"/>
    </xf>
    <xf fontId="2" fillId="3" borderId="83" numFmtId="0" xfId="1" applyFont="1" applyFill="1" applyBorder="1" applyAlignment="1">
      <alignment horizontal="left" vertical="center"/>
    </xf>
    <xf fontId="2" fillId="3" borderId="97" numFmtId="163" xfId="1" applyNumberFormat="1" applyFont="1" applyFill="1" applyBorder="1" applyAlignment="1">
      <alignment vertical="center"/>
    </xf>
    <xf fontId="2" fillId="0" borderId="0" numFmtId="3" xfId="1" applyNumberFormat="1" applyFont="1" applyAlignment="1">
      <alignment horizontal="center" vertical="center" wrapText="1"/>
    </xf>
    <xf fontId="24" fillId="17" borderId="25" numFmtId="4" xfId="1" applyNumberFormat="1" applyFont="1" applyFill="1" applyBorder="1" applyAlignment="1" applyProtection="1">
      <alignment horizontal="right" vertical="center" wrapText="1"/>
      <protection locked="0"/>
    </xf>
    <xf fontId="9" fillId="0" borderId="6" numFmtId="0" xfId="1" applyFont="1" applyBorder="1" applyAlignment="1" applyProtection="1">
      <alignment horizontal="left"/>
      <protection locked="0"/>
    </xf>
    <xf fontId="5" fillId="3" borderId="98" numFmtId="0" xfId="1" applyFont="1" applyFill="1" applyBorder="1" applyAlignment="1" applyProtection="1">
      <alignment horizontal="center" vertical="center" wrapText="1"/>
      <protection locked="0"/>
    </xf>
    <xf fontId="5" fillId="3" borderId="98" numFmtId="163" xfId="1" applyNumberFormat="1" applyFont="1" applyFill="1" applyBorder="1" applyAlignment="1" applyProtection="1">
      <alignment horizontal="center" vertical="center"/>
      <protection locked="0"/>
    </xf>
    <xf fontId="2" fillId="16" borderId="7" numFmtId="0" xfId="1" applyFont="1" applyFill="1" applyBorder="1" applyAlignment="1">
      <alignment horizontal="center" vertical="center" wrapText="1"/>
    </xf>
    <xf fontId="6" fillId="0" borderId="98" numFmtId="0" xfId="1" applyFont="1" applyBorder="1" applyAlignment="1" applyProtection="1">
      <alignment horizontal="right" vertical="center" wrapText="1"/>
      <protection locked="0"/>
    </xf>
    <xf fontId="7" fillId="0" borderId="98" numFmtId="163" xfId="1" applyNumberFormat="1" applyFont="1" applyBorder="1" applyAlignment="1" applyProtection="1">
      <alignment horizontal="right" vertical="center" wrapText="1"/>
      <protection locked="0"/>
    </xf>
    <xf fontId="0" fillId="0" borderId="0" numFmtId="0" xfId="0"/>
    <xf fontId="2" fillId="0" borderId="82" numFmtId="0" xfId="1" applyFont="1" applyBorder="1" applyAlignment="1">
      <alignment horizontal="center" vertical="center" wrapText="1"/>
    </xf>
    <xf fontId="2" fillId="0" borderId="99" numFmtId="0" xfId="1" applyFont="1" applyBorder="1" applyAlignment="1">
      <alignment horizontal="center" vertical="center" wrapText="1"/>
    </xf>
    <xf fontId="2" fillId="0" borderId="100" numFmtId="0" xfId="1" applyFont="1" applyBorder="1" applyAlignment="1">
      <alignment horizontal="center" vertical="center" wrapText="1"/>
    </xf>
    <xf fontId="0" fillId="0" borderId="101" numFmtId="0" xfId="1" applyBorder="1" applyAlignment="1">
      <alignment wrapText="1"/>
    </xf>
    <xf fontId="0" fillId="0" borderId="102" numFmtId="0" xfId="1" applyBorder="1"/>
    <xf fontId="2" fillId="5" borderId="78" numFmtId="0" xfId="1" applyFont="1" applyFill="1" applyBorder="1" applyAlignment="1">
      <alignment vertical="center" wrapText="1"/>
    </xf>
    <xf fontId="2" fillId="5" borderId="25" numFmtId="0" xfId="1" applyFont="1" applyFill="1" applyBorder="1" applyAlignment="1">
      <alignment vertical="center"/>
    </xf>
    <xf fontId="10" fillId="7" borderId="76" numFmtId="0" xfId="1" applyFont="1" applyFill="1" applyBorder="1" applyAlignment="1" applyProtection="1">
      <alignment vertical="center" wrapText="1"/>
      <protection locked="0"/>
    </xf>
    <xf fontId="11" fillId="8" borderId="21" numFmtId="0" xfId="1" applyFont="1" applyFill="1" applyBorder="1" applyAlignment="1" applyProtection="1">
      <alignment horizontal="center" vertical="center"/>
      <protection locked="0"/>
    </xf>
    <xf fontId="0" fillId="7" borderId="21" numFmtId="0" xfId="1" applyFill="1" applyBorder="1" applyAlignment="1">
      <alignment vertical="center" wrapText="1"/>
    </xf>
    <xf fontId="12" fillId="9" borderId="52" numFmtId="0" xfId="1" applyFont="1" applyFill="1" applyBorder="1" applyAlignment="1">
      <alignment vertical="center" wrapText="1"/>
    </xf>
    <xf fontId="0" fillId="6" borderId="6" numFmtId="0" xfId="1" applyFill="1" applyBorder="1" applyAlignment="1">
      <alignment wrapText="1"/>
    </xf>
    <xf fontId="1" fillId="6" borderId="39" numFmtId="0" xfId="1" applyFont="1" applyFill="1" applyBorder="1" applyProtection="1">
      <protection locked="0"/>
    </xf>
    <xf fontId="9" fillId="15" borderId="7" numFmtId="0" xfId="1" applyFont="1" applyFill="1" applyBorder="1" applyAlignment="1" applyProtection="1">
      <alignment horizontal="left" wrapText="1"/>
      <protection locked="0"/>
    </xf>
    <xf fontId="9" fillId="0" borderId="7" numFmtId="0" xfId="1" applyFont="1" applyBorder="1" applyAlignment="1" applyProtection="1">
      <alignment horizontal="left" wrapText="1"/>
      <protection locked="0"/>
    </xf>
    <xf fontId="1" fillId="16" borderId="26" numFmtId="2" xfId="1" applyNumberFormat="1" applyFont="1" applyFill="1" applyBorder="1" applyAlignment="1" applyProtection="1">
      <alignment horizontal="left" wrapText="1"/>
      <protection locked="0"/>
    </xf>
    <xf fontId="9" fillId="0" borderId="47" numFmtId="0" xfId="1" applyFont="1" applyBorder="1" applyAlignment="1" applyProtection="1">
      <alignment horizontal="left" wrapText="1"/>
      <protection locked="0"/>
    </xf>
    <xf fontId="1" fillId="16" borderId="22" numFmtId="163" xfId="1" applyNumberFormat="1" applyFont="1" applyFill="1" applyBorder="1" applyAlignment="1" applyProtection="1">
      <alignment vertical="center" wrapText="1"/>
      <protection locked="0"/>
    </xf>
    <xf fontId="1" fillId="0" borderId="10" numFmtId="0" xfId="1" applyFont="1" applyBorder="1" applyAlignment="1" applyProtection="1">
      <alignment vertical="center" wrapText="1"/>
      <protection locked="0"/>
    </xf>
    <xf fontId="1" fillId="16" borderId="57" numFmtId="163" xfId="1" applyNumberFormat="1" applyFont="1" applyFill="1" applyBorder="1" applyAlignment="1" applyProtection="1">
      <alignment vertical="center"/>
      <protection locked="0"/>
    </xf>
    <xf fontId="10" fillId="0" borderId="10" numFmtId="0" xfId="1" applyFont="1" applyBorder="1" applyProtection="1">
      <protection locked="0"/>
    </xf>
    <xf fontId="10" fillId="0" borderId="10" numFmtId="0" xfId="1" applyFont="1" applyBorder="1" applyAlignment="1" applyProtection="1">
      <alignment wrapText="1"/>
      <protection locked="0"/>
    </xf>
    <xf fontId="24" fillId="0" borderId="28" numFmtId="0" xfId="1" applyFont="1" applyBorder="1" applyAlignment="1" applyProtection="1">
      <alignment horizontal="left" vertical="center" wrapText="1"/>
      <protection locked="0"/>
    </xf>
    <xf fontId="24" fillId="17" borderId="54" numFmtId="4" xfId="1" applyNumberFormat="1" applyFont="1" applyFill="1" applyBorder="1" applyAlignment="1" applyProtection="1">
      <alignment horizontal="right" vertical="center" wrapText="1"/>
      <protection locked="0"/>
    </xf>
    <xf fontId="24" fillId="0" borderId="54" numFmtId="0" xfId="1" applyFont="1" applyBorder="1" applyAlignment="1" applyProtection="1">
      <alignment horizontal="left" vertical="center" wrapText="1"/>
      <protection locked="0"/>
    </xf>
    <xf fontId="1" fillId="0" borderId="37" numFmtId="0" xfId="1" applyFont="1" applyBorder="1" applyProtection="1">
      <protection locked="0"/>
    </xf>
    <xf fontId="10" fillId="16" borderId="55" numFmtId="163" xfId="1" applyNumberFormat="1" applyFont="1" applyFill="1" applyBorder="1" applyProtection="1">
      <protection locked="0"/>
    </xf>
    <xf fontId="10" fillId="6" borderId="30" numFmtId="0" xfId="1" applyFont="1" applyFill="1" applyBorder="1" applyAlignment="1" applyProtection="1">
      <alignment wrapText="1"/>
      <protection locked="0"/>
    </xf>
    <xf fontId="1" fillId="19" borderId="9" numFmtId="0" xfId="1" applyFont="1" applyFill="1" applyBorder="1" applyProtection="1">
      <protection locked="0"/>
    </xf>
    <xf fontId="10" fillId="17" borderId="56" numFmtId="163" xfId="1" applyNumberFormat="1" applyFont="1" applyFill="1" applyBorder="1" applyProtection="1">
      <protection locked="0"/>
    </xf>
    <xf fontId="10" fillId="19" borderId="56" numFmtId="163" xfId="1" applyNumberFormat="1" applyFont="1" applyFill="1" applyBorder="1" applyProtection="1">
      <protection locked="0"/>
    </xf>
    <xf fontId="10" fillId="19" borderId="26" numFmtId="163" xfId="1" applyNumberFormat="1" applyFont="1" applyFill="1" applyBorder="1" applyProtection="1">
      <protection locked="0"/>
    </xf>
    <xf fontId="1" fillId="19" borderId="26" numFmtId="163" xfId="1" applyNumberFormat="1" applyFont="1" applyFill="1" applyBorder="1" applyProtection="1">
      <protection locked="0"/>
    </xf>
    <xf fontId="10" fillId="19" borderId="25" numFmtId="0" xfId="1" applyFont="1" applyFill="1" applyBorder="1" applyAlignment="1" applyProtection="1">
      <alignment wrapText="1"/>
      <protection locked="0"/>
    </xf>
    <xf fontId="9" fillId="15" borderId="6" numFmtId="0" xfId="1" applyFont="1" applyFill="1" applyBorder="1" applyAlignment="1" applyProtection="1">
      <alignment horizontal="left" vertical="center" wrapText="1"/>
      <protection locked="0"/>
    </xf>
    <xf fontId="9" fillId="16" borderId="6" numFmtId="163" xfId="1" applyNumberFormat="1" applyFont="1" applyFill="1" applyBorder="1" applyAlignment="1" applyProtection="1">
      <alignment horizontal="left"/>
      <protection locked="0"/>
    </xf>
    <xf fontId="0" fillId="7" borderId="6" numFmtId="0" xfId="1" applyFill="1" applyBorder="1" applyAlignment="1">
      <alignment vertical="center" wrapText="1"/>
    </xf>
    <xf fontId="10" fillId="6" borderId="57" numFmtId="0" xfId="1" applyFont="1" applyFill="1" applyBorder="1" applyProtection="1">
      <protection locked="0"/>
    </xf>
    <xf fontId="10" fillId="7" borderId="91" numFmtId="0" xfId="1" applyFont="1" applyFill="1" applyBorder="1" applyAlignment="1" applyProtection="1">
      <alignment vertical="center"/>
      <protection locked="0"/>
    </xf>
    <xf fontId="10" fillId="7" borderId="53" numFmtId="0" xfId="1" applyFont="1" applyFill="1" applyBorder="1" applyAlignment="1" applyProtection="1">
      <alignment vertical="center" wrapText="1"/>
      <protection locked="0"/>
    </xf>
    <xf fontId="10" fillId="7" borderId="53" numFmtId="0" xfId="1" applyFont="1" applyFill="1" applyBorder="1" applyAlignment="1" applyProtection="1">
      <alignment vertical="center"/>
      <protection locked="0"/>
    </xf>
    <xf fontId="10" fillId="17" borderId="53" numFmtId="163" xfId="1" applyNumberFormat="1" applyFont="1" applyFill="1" applyBorder="1" applyAlignment="1" applyProtection="1">
      <alignment vertical="center"/>
      <protection locked="0"/>
    </xf>
    <xf fontId="10" fillId="7" borderId="61" numFmtId="0" xfId="1" applyFont="1" applyFill="1" applyBorder="1" applyAlignment="1" applyProtection="1">
      <alignment vertical="center" wrapText="1"/>
      <protection locked="0"/>
    </xf>
    <xf fontId="10" fillId="7" borderId="57" numFmtId="0" xfId="1" applyFont="1" applyFill="1" applyBorder="1" applyAlignment="1" applyProtection="1">
      <alignment vertical="center"/>
      <protection locked="0"/>
    </xf>
    <xf fontId="10" fillId="8" borderId="21" numFmtId="0" xfId="1" applyFont="1" applyFill="1" applyBorder="1" applyAlignment="1" applyProtection="1">
      <alignment horizontal="justify" vertical="center"/>
      <protection locked="0"/>
    </xf>
    <xf fontId="0" fillId="7" borderId="21" numFmtId="0" xfId="1" applyFill="1" applyBorder="1" applyAlignment="1">
      <alignment vertical="center"/>
    </xf>
    <xf fontId="10" fillId="7" borderId="41" numFmtId="0" xfId="1" applyFont="1" applyFill="1" applyBorder="1" applyAlignment="1" applyProtection="1">
      <alignment vertical="center"/>
      <protection locked="0"/>
    </xf>
    <xf fontId="10" fillId="7" borderId="10" numFmtId="0" xfId="1" applyFont="1" applyFill="1" applyBorder="1" applyAlignment="1" applyProtection="1">
      <alignment vertical="center" wrapText="1"/>
      <protection locked="0"/>
    </xf>
    <xf fontId="10" fillId="7" borderId="10" numFmtId="0" xfId="1" applyFont="1" applyFill="1" applyBorder="1" applyAlignment="1" applyProtection="1">
      <alignment vertical="center"/>
      <protection locked="0"/>
    </xf>
    <xf fontId="10" fillId="17" borderId="10" numFmtId="163" xfId="1" applyNumberFormat="1" applyFont="1" applyFill="1" applyBorder="1" applyAlignment="1" applyProtection="1">
      <alignment vertical="center"/>
      <protection locked="0"/>
    </xf>
    <xf fontId="10" fillId="7" borderId="103" numFmtId="0" xfId="1" applyFont="1" applyFill="1" applyBorder="1" applyAlignment="1" applyProtection="1">
      <alignment vertical="center" wrapText="1"/>
      <protection locked="0"/>
    </xf>
    <xf fontId="10" fillId="8" borderId="6" numFmtId="0" xfId="1" applyFont="1" applyFill="1" applyBorder="1" applyAlignment="1" applyProtection="1">
      <alignment horizontal="justify" vertical="center"/>
      <protection locked="0"/>
    </xf>
    <xf fontId="1" fillId="0" borderId="104" numFmtId="0" xfId="1" applyFont="1" applyBorder="1" applyAlignment="1" applyProtection="1">
      <alignment vertical="center" wrapText="1"/>
      <protection locked="0"/>
    </xf>
    <xf fontId="1" fillId="16" borderId="104" numFmtId="163" xfId="1" applyNumberFormat="1" applyFont="1" applyFill="1" applyBorder="1" applyAlignment="1" applyProtection="1">
      <alignment vertical="center" wrapText="1"/>
      <protection locked="0"/>
    </xf>
    <xf fontId="1" fillId="0" borderId="27" numFmtId="0" xfId="1" applyFont="1" applyBorder="1" applyAlignment="1" applyProtection="1">
      <alignment vertical="center" wrapText="1"/>
      <protection locked="0"/>
    </xf>
    <xf fontId="1" fillId="17" borderId="6" numFmtId="163" xfId="1" applyNumberFormat="1" applyFont="1" applyFill="1" applyBorder="1" applyAlignment="1" applyProtection="1">
      <alignment vertical="center" wrapText="1"/>
      <protection locked="0"/>
    </xf>
    <xf fontId="1" fillId="0" borderId="55" numFmtId="0" xfId="1" applyFont="1" applyBorder="1" applyAlignment="1" applyProtection="1">
      <alignment vertical="center" wrapText="1"/>
      <protection locked="0"/>
    </xf>
    <xf fontId="1" fillId="0" borderId="7" numFmtId="0" xfId="1" applyFont="1" applyBorder="1" applyAlignment="1" applyProtection="1">
      <alignment vertical="center" wrapText="1"/>
      <protection locked="0"/>
    </xf>
    <xf fontId="1" fillId="0" borderId="56" numFmtId="0" xfId="1" applyFont="1" applyBorder="1" applyAlignment="1" applyProtection="1">
      <alignment wrapText="1"/>
      <protection locked="0"/>
    </xf>
    <xf fontId="9" fillId="15" borderId="10" numFmtId="0" xfId="1" applyFont="1" applyFill="1" applyBorder="1" applyAlignment="1" applyProtection="1">
      <alignment horizontal="left" vertical="center" wrapText="1"/>
      <protection locked="0"/>
    </xf>
    <xf fontId="9" fillId="0" borderId="10" numFmtId="0" xfId="1" applyFont="1" applyBorder="1" applyAlignment="1" applyProtection="1">
      <alignment horizontal="left" wrapText="1"/>
      <protection locked="0"/>
    </xf>
    <xf fontId="9" fillId="16" borderId="10" numFmtId="163" xfId="1" applyNumberFormat="1" applyFont="1" applyFill="1" applyBorder="1" applyAlignment="1" applyProtection="1">
      <alignment horizontal="left"/>
      <protection locked="0"/>
    </xf>
    <xf fontId="1" fillId="16" borderId="10" numFmtId="163" xfId="1" applyNumberFormat="1" applyFont="1" applyFill="1" applyBorder="1" applyProtection="1">
      <protection locked="0"/>
    </xf>
    <xf fontId="1" fillId="20" borderId="25" numFmtId="0" xfId="1" applyFont="1" applyFill="1" applyBorder="1" applyProtection="1">
      <protection locked="0"/>
    </xf>
    <xf fontId="1" fillId="20" borderId="25" numFmtId="0" xfId="1" applyFont="1" applyFill="1" applyBorder="1" applyAlignment="1" applyProtection="1">
      <alignment wrapText="1"/>
      <protection locked="0"/>
    </xf>
    <xf fontId="1" fillId="0" borderId="25" numFmtId="163" xfId="1" applyNumberFormat="1" applyFont="1" applyBorder="1" applyProtection="1">
      <protection locked="0"/>
    </xf>
    <xf fontId="1" fillId="0" borderId="53" numFmtId="0" xfId="1" applyFont="1" applyBorder="1" applyAlignment="1" applyProtection="1">
      <alignment wrapText="1"/>
      <protection locked="0"/>
    </xf>
    <xf fontId="10" fillId="16" borderId="38" numFmtId="163" xfId="1" applyNumberFormat="1" applyFont="1" applyFill="1" applyBorder="1" applyProtection="1">
      <protection locked="0"/>
    </xf>
    <xf fontId="10" fillId="6" borderId="33" numFmtId="0" xfId="1" applyFont="1" applyFill="1" applyBorder="1" applyProtection="1">
      <protection locked="0"/>
    </xf>
    <xf fontId="10" fillId="15" borderId="30" numFmtId="0" xfId="0" applyFont="1" applyFill="1" applyBorder="1" applyAlignment="1" applyProtection="1">
      <alignment horizontal="left"/>
    </xf>
    <xf fontId="10" fillId="15" borderId="89" numFmtId="0" xfId="0" applyFont="1" applyFill="1" applyBorder="1" applyAlignment="1" applyProtection="1">
      <alignment horizontal="left" wrapText="1"/>
    </xf>
    <xf fontId="10" fillId="15" borderId="30" numFmtId="0" xfId="0" applyFont="1" applyFill="1" applyBorder="1" applyAlignment="1" applyProtection="1">
      <alignment horizontal="left" wrapText="1"/>
    </xf>
    <xf fontId="10" fillId="16" borderId="89" numFmtId="0" xfId="0" applyFont="1" applyFill="1" applyBorder="1" applyAlignment="1" applyProtection="1">
      <alignment horizontal="left" wrapText="1"/>
    </xf>
    <xf fontId="1" fillId="16" borderId="38" numFmtId="163" xfId="1" applyNumberFormat="1" applyFont="1" applyFill="1" applyBorder="1" applyAlignment="1" applyProtection="1">
      <alignment wrapText="1"/>
      <protection locked="0"/>
    </xf>
    <xf fontId="1" fillId="0" borderId="89" numFmtId="0" xfId="1" applyFont="1" applyBorder="1" applyAlignment="1" applyProtection="1">
      <alignment wrapText="1"/>
      <protection locked="0"/>
    </xf>
    <xf fontId="10" fillId="16" borderId="25" numFmtId="0" xfId="0" applyFont="1" applyFill="1" applyBorder="1" applyAlignment="1" applyProtection="1">
      <alignment horizontal="left" wrapText="1"/>
    </xf>
    <xf fontId="10" fillId="16" borderId="25" numFmtId="163" xfId="1" applyNumberFormat="1" applyFont="1" applyFill="1" applyBorder="1" applyAlignment="1" applyProtection="1">
      <alignment wrapText="1"/>
      <protection locked="0"/>
    </xf>
    <xf fontId="1" fillId="19" borderId="30" numFmtId="0" xfId="1" applyFont="1" applyFill="1" applyBorder="1" applyProtection="1">
      <protection locked="0"/>
    </xf>
    <xf fontId="10" fillId="16" borderId="40" numFmtId="2" xfId="1" applyNumberFormat="1" applyFont="1" applyFill="1" applyBorder="1" applyProtection="1">
      <protection locked="0"/>
    </xf>
    <xf fontId="10" fillId="6" borderId="30" numFmtId="0" xfId="1" applyFont="1" applyFill="1" applyBorder="1" applyProtection="1">
      <protection locked="0"/>
    </xf>
    <xf fontId="10" fillId="6" borderId="94" numFmtId="0" xfId="1" applyFont="1" applyFill="1" applyBorder="1" applyProtection="1">
      <protection locked="0"/>
    </xf>
    <xf fontId="1" fillId="19" borderId="94" numFmtId="0" xfId="1" applyFont="1" applyFill="1" applyBorder="1" applyProtection="1">
      <protection locked="0"/>
    </xf>
    <xf fontId="1" fillId="6" borderId="89" numFmtId="0" xfId="1" applyFont="1" applyFill="1" applyBorder="1" applyAlignment="1" applyProtection="1">
      <alignment wrapText="1"/>
      <protection locked="0"/>
    </xf>
    <xf fontId="10" fillId="6" borderId="34" numFmtId="0" xfId="1" applyFont="1" applyFill="1" applyBorder="1" applyAlignment="1" applyProtection="1">
      <alignment wrapText="1"/>
      <protection locked="0"/>
    </xf>
    <xf fontId="10" fillId="16" borderId="34" numFmtId="163" xfId="1" applyNumberFormat="1" applyFont="1" applyFill="1" applyBorder="1" applyProtection="1">
      <protection locked="0"/>
    </xf>
    <xf fontId="10" fillId="6" borderId="91" numFmtId="0" xfId="1" applyFont="1" applyFill="1" applyBorder="1" applyProtection="1">
      <protection locked="0"/>
    </xf>
    <xf fontId="10" fillId="6" borderId="53" numFmtId="0" xfId="1" applyFont="1" applyFill="1" applyBorder="1" applyProtection="1">
      <protection locked="0"/>
    </xf>
    <xf fontId="10" fillId="6" borderId="53" numFmtId="0" xfId="1" applyFont="1" applyFill="1" applyBorder="1" applyAlignment="1" applyProtection="1">
      <alignment wrapText="1"/>
      <protection locked="0"/>
    </xf>
    <xf fontId="1" fillId="0" borderId="62" numFmtId="0" xfId="1" applyFont="1" applyBorder="1" applyAlignment="1" applyProtection="1">
      <alignment wrapText="1"/>
      <protection locked="0"/>
    </xf>
    <xf fontId="10" fillId="16" borderId="35" numFmtId="4" xfId="1" applyNumberFormat="1" applyFont="1" applyFill="1" applyBorder="1" applyAlignment="1" applyProtection="1">
      <alignment horizontal="left" vertical="center" wrapText="1"/>
      <protection locked="0"/>
    </xf>
    <xf fontId="9" fillId="15" borderId="27" numFmtId="0" xfId="1" applyFont="1" applyFill="1" applyBorder="1" applyAlignment="1" applyProtection="1">
      <alignment horizontal="left" vertical="center" wrapText="1"/>
      <protection locked="0"/>
    </xf>
    <xf fontId="22" fillId="6" borderId="57" numFmtId="0" xfId="1" applyFont="1" applyFill="1" applyBorder="1" applyAlignment="1" applyProtection="1">
      <alignment horizontal="left" vertical="center" wrapText="1"/>
      <protection locked="0"/>
    </xf>
    <xf fontId="10" fillId="0" borderId="79" numFmtId="0" xfId="1" applyFont="1" applyBorder="1" applyAlignment="1" applyProtection="1">
      <alignment wrapText="1"/>
      <protection locked="0"/>
    </xf>
    <xf fontId="1" fillId="20" borderId="22" numFmtId="0" xfId="1" applyFont="1" applyFill="1" applyBorder="1" applyProtection="1">
      <protection locked="0"/>
    </xf>
    <xf fontId="10" fillId="16" borderId="28" numFmtId="163" xfId="1" applyNumberFormat="1" applyFont="1" applyFill="1" applyBorder="1" applyProtection="1">
      <protection locked="0"/>
    </xf>
    <xf fontId="10" fillId="6" borderId="81" numFmtId="0" xfId="1" applyFont="1" applyFill="1" applyBorder="1" applyProtection="1">
      <protection locked="0"/>
    </xf>
    <xf fontId="1" fillId="6" borderId="27" numFmtId="0" xfId="1" applyFont="1" applyFill="1" applyBorder="1" applyProtection="1">
      <protection locked="0"/>
    </xf>
    <xf fontId="1" fillId="6" borderId="27" numFmtId="0" xfId="1" applyFont="1" applyFill="1" applyBorder="1" applyAlignment="1" applyProtection="1">
      <alignment wrapText="1"/>
      <protection locked="0"/>
    </xf>
    <xf fontId="1" fillId="16" borderId="28" numFmtId="163" xfId="1" applyNumberFormat="1" applyFont="1" applyFill="1" applyBorder="1" applyProtection="1">
      <protection locked="0"/>
    </xf>
    <xf fontId="1" fillId="6" borderId="54" numFmtId="0" xfId="1" applyFont="1" applyFill="1" applyBorder="1" applyAlignment="1" applyProtection="1">
      <alignment wrapText="1"/>
      <protection locked="0"/>
    </xf>
    <xf fontId="10" fillId="6" borderId="40" numFmtId="0" xfId="1" applyFont="1" applyFill="1" applyBorder="1" applyAlignment="1" applyProtection="1">
      <alignment wrapText="1"/>
      <protection locked="0"/>
    </xf>
    <xf fontId="10" fillId="17" borderId="40" numFmtId="163" xfId="1" applyNumberFormat="1" applyFont="1" applyFill="1" applyBorder="1" applyAlignment="1" applyProtection="1">
      <alignment wrapText="1"/>
      <protection locked="0"/>
    </xf>
    <xf fontId="10" fillId="17" borderId="30" numFmtId="163" xfId="1" applyNumberFormat="1" applyFont="1" applyFill="1" applyBorder="1" applyAlignment="1" applyProtection="1">
      <alignment wrapText="1"/>
      <protection locked="0"/>
    </xf>
    <xf fontId="10" fillId="19" borderId="30" numFmtId="163" xfId="1" applyNumberFormat="1" applyFont="1" applyFill="1" applyBorder="1" applyAlignment="1" applyProtection="1">
      <alignment wrapText="1"/>
      <protection locked="0"/>
    </xf>
    <xf fontId="1" fillId="17" borderId="38" numFmtId="163" xfId="1" applyNumberFormat="1" applyFont="1" applyFill="1" applyBorder="1" applyAlignment="1" applyProtection="1">
      <alignment wrapText="1"/>
      <protection locked="0"/>
    </xf>
    <xf fontId="9" fillId="0" borderId="73" numFmtId="0" xfId="1" applyFont="1" applyBorder="1" applyAlignment="1" applyProtection="1">
      <alignment horizontal="right"/>
      <protection locked="0"/>
    </xf>
    <xf fontId="9" fillId="0" borderId="10" numFmtId="0" xfId="1" applyFont="1" applyBorder="1" applyAlignment="1" applyProtection="1">
      <alignment horizontal="left"/>
      <protection locked="0"/>
    </xf>
    <xf fontId="1" fillId="17" borderId="60" numFmtId="163" xfId="1" applyNumberFormat="1" applyFont="1" applyFill="1" applyBorder="1" applyProtection="1">
      <protection locked="0"/>
    </xf>
    <xf fontId="10" fillId="21" borderId="6" numFmtId="0" xfId="1" applyFont="1" applyFill="1" applyBorder="1" applyAlignment="1" applyProtection="1">
      <alignment vertical="center"/>
      <protection locked="0"/>
    </xf>
    <xf fontId="10" fillId="21" borderId="6" numFmtId="0" xfId="1" applyFont="1" applyFill="1" applyBorder="1" applyAlignment="1" applyProtection="1">
      <alignment vertical="center" wrapText="1"/>
      <protection locked="0"/>
    </xf>
    <xf fontId="10" fillId="7" borderId="21" numFmtId="0" xfId="1" applyFont="1" applyFill="1" applyBorder="1" applyAlignment="1" applyProtection="1">
      <alignment wrapText="1"/>
      <protection locked="0"/>
    </xf>
    <xf fontId="10" fillId="16" borderId="21" numFmtId="163" xfId="1" applyNumberFormat="1" applyFont="1" applyFill="1" applyBorder="1" applyAlignment="1" applyProtection="1">
      <alignment wrapText="1"/>
      <protection locked="0"/>
    </xf>
    <xf fontId="10" fillId="7" borderId="58" numFmtId="0" xfId="1" applyFont="1" applyFill="1" applyBorder="1" applyAlignment="1" applyProtection="1">
      <alignment wrapText="1"/>
      <protection locked="0"/>
    </xf>
    <xf fontId="11" fillId="8" borderId="21" numFmtId="0" xfId="1" applyFont="1" applyFill="1" applyBorder="1" applyAlignment="1" applyProtection="1">
      <alignment horizontal="center" vertical="center" wrapText="1"/>
      <protection locked="0"/>
    </xf>
    <xf fontId="12" fillId="9" borderId="105" numFmtId="0" xfId="1" applyFont="1" applyFill="1" applyBorder="1" applyAlignment="1">
      <alignment vertical="center" wrapText="1"/>
    </xf>
    <xf fontId="0" fillId="6" borderId="63" numFmtId="0" xfId="1" applyFill="1" applyBorder="1"/>
    <xf fontId="10" fillId="6" borderId="33" numFmtId="0" xfId="1" applyFont="1" applyFill="1" applyBorder="1" applyAlignment="1" applyProtection="1">
      <alignment wrapText="1"/>
      <protection locked="0"/>
    </xf>
    <xf fontId="10" fillId="16" borderId="71" numFmtId="163" xfId="1" applyNumberFormat="1" applyFont="1" applyFill="1" applyBorder="1" applyAlignment="1" applyProtection="1">
      <alignment wrapText="1"/>
      <protection locked="0"/>
    </xf>
    <xf fontId="10" fillId="6" borderId="57" numFmtId="0" xfId="1" applyFont="1" applyFill="1" applyBorder="1" applyAlignment="1" applyProtection="1">
      <alignment wrapText="1"/>
      <protection locked="0"/>
    </xf>
    <xf fontId="10" fillId="6" borderId="81" numFmtId="0" xfId="1" applyFont="1" applyFill="1" applyBorder="1" applyAlignment="1" applyProtection="1">
      <alignment wrapText="1"/>
      <protection locked="0"/>
    </xf>
    <xf fontId="9" fillId="0" borderId="106" numFmtId="0" xfId="1" applyFont="1" applyBorder="1" applyAlignment="1" applyProtection="1">
      <alignment horizontal="left" wrapText="1"/>
      <protection locked="0"/>
    </xf>
    <xf fontId="9" fillId="0" borderId="30" numFmtId="0" xfId="1" applyFont="1" applyBorder="1" applyAlignment="1" applyProtection="1">
      <alignment horizontal="left" wrapText="1"/>
      <protection locked="0"/>
    </xf>
    <xf fontId="1" fillId="19" borderId="104" numFmtId="0" xfId="1" applyFont="1" applyFill="1" applyBorder="1" applyAlignment="1" applyProtection="1">
      <alignment vertical="center" wrapText="1"/>
      <protection locked="0"/>
    </xf>
    <xf fontId="1" fillId="4" borderId="104" numFmtId="163" xfId="1" applyNumberFormat="1" applyFont="1" applyFill="1" applyBorder="1" applyAlignment="1" applyProtection="1">
      <alignment vertical="center" wrapText="1"/>
      <protection locked="0"/>
    </xf>
    <xf fontId="1" fillId="4" borderId="6" numFmtId="163" xfId="1" applyNumberFormat="1" applyFont="1" applyFill="1" applyBorder="1" applyAlignment="1" applyProtection="1">
      <alignment vertical="center" wrapText="1"/>
      <protection locked="0"/>
    </xf>
    <xf fontId="10" fillId="0" borderId="57" numFmtId="0" xfId="1" applyFont="1" applyBorder="1" applyAlignment="1" applyProtection="1">
      <alignment wrapText="1"/>
      <protection locked="0"/>
    </xf>
    <xf fontId="1" fillId="4" borderId="53" numFmtId="163" xfId="1" applyNumberFormat="1" applyFont="1" applyFill="1" applyBorder="1" applyProtection="1">
      <protection locked="0"/>
    </xf>
    <xf fontId="1" fillId="20" borderId="33" numFmtId="0" xfId="1" applyFont="1" applyFill="1" applyBorder="1" applyProtection="1">
      <protection locked="0"/>
    </xf>
    <xf fontId="1" fillId="0" borderId="104" numFmtId="0" xfId="1" applyFont="1" applyBorder="1" applyProtection="1">
      <protection locked="0"/>
    </xf>
    <xf fontId="0" fillId="0" borderId="104" numFmtId="0" xfId="1" applyBorder="1"/>
    <xf fontId="0" fillId="0" borderId="107" numFmtId="0" xfId="1" applyBorder="1"/>
    <xf fontId="10" fillId="6" borderId="69" numFmtId="0" xfId="1" applyFont="1" applyFill="1" applyBorder="1" applyProtection="1">
      <protection locked="0"/>
    </xf>
    <xf fontId="10" fillId="15" borderId="108" numFmtId="0" xfId="0" applyFont="1" applyFill="1" applyBorder="1" applyAlignment="1" applyProtection="1">
      <alignment horizontal="left"/>
    </xf>
    <xf fontId="10" fillId="15" borderId="69" numFmtId="0" xfId="0" applyFont="1" applyFill="1" applyBorder="1" applyAlignment="1" applyProtection="1">
      <alignment horizontal="left"/>
    </xf>
    <xf fontId="10" fillId="6" borderId="109" numFmtId="0" xfId="1" applyFont="1" applyFill="1" applyBorder="1" applyProtection="1">
      <protection locked="0"/>
    </xf>
    <xf fontId="1" fillId="16" borderId="28" numFmtId="163" xfId="1" applyNumberFormat="1" applyFont="1" applyFill="1" applyBorder="1" applyAlignment="1" applyProtection="1">
      <alignment wrapText="1"/>
      <protection locked="0"/>
    </xf>
    <xf fontId="1" fillId="0" borderId="54" numFmtId="0" xfId="1" applyFont="1" applyBorder="1" applyAlignment="1" applyProtection="1">
      <alignment wrapText="1"/>
      <protection locked="0"/>
    </xf>
    <xf fontId="1" fillId="16" borderId="6" numFmtId="163" xfId="1" applyNumberFormat="1" applyFont="1" applyFill="1" applyBorder="1" applyAlignment="1" applyProtection="1">
      <alignment vertical="center"/>
      <protection locked="0"/>
    </xf>
    <xf fontId="1" fillId="16" borderId="21" numFmtId="163" xfId="1" applyNumberFormat="1" applyFont="1" applyFill="1" applyBorder="1" applyProtection="1">
      <protection locked="0"/>
    </xf>
    <xf fontId="1" fillId="4" borderId="91" numFmtId="163" xfId="1" applyNumberFormat="1" applyFont="1" applyFill="1" applyBorder="1" applyProtection="1">
      <protection locked="0"/>
    </xf>
    <xf fontId="1" fillId="4" borderId="25" numFmtId="163" xfId="1" applyNumberFormat="1" applyFont="1" applyFill="1" applyBorder="1" applyProtection="1">
      <protection locked="0"/>
    </xf>
    <xf fontId="1" fillId="0" borderId="110" numFmtId="0" xfId="1" applyFont="1" applyBorder="1" applyProtection="1">
      <protection locked="0"/>
    </xf>
    <xf fontId="1" fillId="4" borderId="6" numFmtId="163" xfId="1" applyNumberFormat="1" applyFont="1" applyFill="1" applyBorder="1" applyProtection="1">
      <protection locked="0"/>
    </xf>
    <xf fontId="10" fillId="17" borderId="6" numFmtId="3" xfId="1" applyNumberFormat="1" applyFont="1" applyFill="1" applyBorder="1" applyAlignment="1" applyProtection="1">
      <alignment vertical="center"/>
      <protection locked="0"/>
    </xf>
    <xf fontId="10" fillId="21" borderId="6" numFmtId="0" xfId="1" applyFont="1" applyFill="1" applyBorder="1" applyProtection="1">
      <protection locked="0"/>
    </xf>
    <xf fontId="10" fillId="21" borderId="6" numFmtId="0" xfId="1" applyFont="1" applyFill="1" applyBorder="1" applyAlignment="1" applyProtection="1">
      <alignment wrapText="1"/>
      <protection locked="0"/>
    </xf>
    <xf fontId="1" fillId="17" borderId="45" numFmtId="163" xfId="1" applyNumberFormat="1" applyFont="1" applyFill="1" applyBorder="1" applyProtection="1">
      <protection locked="0"/>
    </xf>
    <xf fontId="1" fillId="19" borderId="25" numFmtId="0" xfId="1" applyFont="1" applyFill="1" applyBorder="1" applyAlignment="1" applyProtection="1">
      <alignment vertical="center" wrapText="1"/>
      <protection locked="0"/>
    </xf>
    <xf fontId="1" fillId="17" borderId="25" numFmtId="163" xfId="1" applyNumberFormat="1" applyFont="1" applyFill="1" applyBorder="1" applyAlignment="1" applyProtection="1">
      <alignment vertical="center"/>
      <protection locked="0"/>
    </xf>
    <xf fontId="1" fillId="0" borderId="25" numFmtId="0" xfId="1" applyFont="1" applyBorder="1" applyAlignment="1" applyProtection="1">
      <alignment vertical="center" wrapText="1"/>
      <protection locked="0"/>
    </xf>
    <xf fontId="10" fillId="17" borderId="7" numFmtId="163" xfId="1" applyNumberFormat="1" applyFont="1" applyFill="1" applyBorder="1" applyProtection="1">
      <protection locked="0"/>
    </xf>
    <xf fontId="1" fillId="17" borderId="41" numFmtId="163" xfId="1" applyNumberFormat="1" applyFont="1" applyFill="1" applyBorder="1" applyProtection="1">
      <protection locked="0"/>
    </xf>
    <xf fontId="10" fillId="0" borderId="25" numFmtId="0" xfId="1" applyFont="1" applyBorder="1" applyAlignment="1" applyProtection="1">
      <alignment wrapText="1"/>
      <protection locked="0"/>
    </xf>
    <xf fontId="9" fillId="15" borderId="25" numFmtId="0" xfId="1" applyFont="1" applyFill="1" applyBorder="1" applyAlignment="1" applyProtection="1">
      <alignment horizontal="left" vertical="center" wrapText="1"/>
      <protection locked="0"/>
    </xf>
    <xf fontId="9" fillId="0" borderId="25" numFmtId="0" xfId="1" applyFont="1" applyBorder="1" applyAlignment="1" applyProtection="1">
      <alignment horizontal="left" vertical="center" wrapText="1"/>
      <protection locked="0"/>
    </xf>
    <xf fontId="9" fillId="17" borderId="25" numFmtId="163" xfId="1" applyNumberFormat="1" applyFont="1" applyFill="1" applyBorder="1" applyAlignment="1" applyProtection="1">
      <alignment horizontal="right"/>
      <protection locked="0"/>
    </xf>
    <xf fontId="1" fillId="0" borderId="111" numFmtId="0" xfId="1" applyFont="1" applyBorder="1" applyProtection="1">
      <protection locked="0"/>
    </xf>
    <xf fontId="1" fillId="0" borderId="101" numFmtId="0" xfId="1" applyFont="1" applyBorder="1" applyAlignment="1" applyProtection="1">
      <alignment wrapText="1"/>
      <protection locked="0"/>
    </xf>
    <xf fontId="1" fillId="17" borderId="102" numFmtId="163" xfId="1" applyNumberFormat="1" applyFont="1" applyFill="1" applyBorder="1" applyProtection="1">
      <protection locked="0"/>
    </xf>
    <xf fontId="1" fillId="0" borderId="99" numFmtId="0" xfId="1" applyFont="1" applyBorder="1" applyAlignment="1" applyProtection="1">
      <alignment vertical="top" wrapText="1"/>
      <protection locked="0"/>
    </xf>
    <xf fontId="10" fillId="19" borderId="27" numFmtId="0" xfId="1" applyFont="1" applyFill="1" applyBorder="1" applyAlignment="1" applyProtection="1">
      <alignment wrapText="1"/>
      <protection locked="0"/>
    </xf>
    <xf fontId="10" fillId="19" borderId="27" numFmtId="0" xfId="1" applyFont="1" applyFill="1" applyBorder="1" applyProtection="1">
      <protection locked="0"/>
    </xf>
    <xf fontId="10" fillId="19" borderId="28" numFmtId="163" xfId="1" applyNumberFormat="1" applyFont="1" applyFill="1" applyBorder="1" applyProtection="1">
      <protection locked="0"/>
    </xf>
    <xf fontId="10" fillId="19" borderId="85" numFmtId="0" xfId="1" applyFont="1" applyFill="1" applyBorder="1" applyProtection="1">
      <protection locked="0"/>
    </xf>
    <xf fontId="10" fillId="19" borderId="25" numFmtId="163" xfId="1" applyNumberFormat="1" applyFont="1" applyFill="1" applyBorder="1" applyProtection="1">
      <protection locked="0"/>
    </xf>
    <xf fontId="10" fillId="19" borderId="21" numFmtId="0" xfId="1" applyFont="1" applyFill="1" applyBorder="1" applyProtection="1">
      <protection locked="0"/>
    </xf>
    <xf fontId="10" fillId="19" borderId="21" numFmtId="163" xfId="1" applyNumberFormat="1" applyFont="1" applyFill="1" applyBorder="1" applyProtection="1">
      <protection locked="0"/>
    </xf>
    <xf fontId="10" fillId="19" borderId="21" numFmtId="0" xfId="1" applyFont="1" applyFill="1" applyBorder="1" applyAlignment="1" applyProtection="1">
      <alignment wrapText="1"/>
      <protection locked="0"/>
    </xf>
    <xf fontId="10" fillId="19" borderId="54" numFmtId="0" xfId="1" applyFont="1" applyFill="1" applyBorder="1" applyAlignment="1" applyProtection="1">
      <alignment wrapText="1"/>
      <protection locked="0"/>
    </xf>
    <xf fontId="10" fillId="19" borderId="0" numFmtId="0" xfId="0" applyFont="1" applyFill="1" applyAlignment="1" applyProtection="1">
      <alignment horizontal="left"/>
    </xf>
    <xf fontId="10" fillId="19" borderId="54" numFmtId="0" xfId="0" applyFont="1" applyFill="1" applyBorder="1" applyAlignment="1" applyProtection="1">
      <alignment horizontal="left" wrapText="1"/>
    </xf>
    <xf fontId="10" fillId="19" borderId="0" numFmtId="0" xfId="0" applyFont="1" applyFill="1" applyAlignment="1" applyProtection="1">
      <alignment horizontal="left" wrapText="1"/>
    </xf>
    <xf fontId="10" fillId="19" borderId="25" numFmtId="0" xfId="0" applyFont="1" applyFill="1" applyBorder="1" applyAlignment="1" applyProtection="1">
      <alignment horizontal="left" wrapText="1"/>
    </xf>
    <xf fontId="10" fillId="19" borderId="69" numFmtId="0" xfId="0" applyFont="1" applyFill="1" applyBorder="1" applyAlignment="1" applyProtection="1">
      <alignment horizontal="left"/>
    </xf>
    <xf fontId="10" fillId="19" borderId="25" numFmtId="2" xfId="1" applyNumberFormat="1" applyFont="1" applyFill="1" applyBorder="1" applyProtection="1">
      <protection locked="0"/>
    </xf>
    <xf fontId="10" fillId="19" borderId="47" numFmtId="0" xfId="1" applyFont="1" applyFill="1" applyBorder="1" applyProtection="1">
      <protection locked="0"/>
    </xf>
    <xf fontId="1" fillId="19" borderId="34" numFmtId="163" xfId="1" applyNumberFormat="1" applyFont="1" applyFill="1" applyBorder="1" applyProtection="1">
      <protection locked="0"/>
    </xf>
    <xf fontId="1" fillId="19" borderId="48" numFmtId="0" xfId="1" applyFont="1" applyFill="1" applyBorder="1" applyAlignment="1" applyProtection="1">
      <alignment wrapText="1"/>
      <protection locked="0"/>
    </xf>
    <xf fontId="10" fillId="19" borderId="26" numFmtId="2" xfId="1" applyNumberFormat="1" applyFont="1" applyFill="1" applyBorder="1" applyProtection="1">
      <protection locked="0"/>
    </xf>
    <xf fontId="10" fillId="19" borderId="34" numFmtId="0" xfId="1" applyFont="1" applyFill="1" applyBorder="1" applyAlignment="1" applyProtection="1">
      <alignment wrapText="1"/>
      <protection locked="0"/>
    </xf>
    <xf fontId="1" fillId="19" borderId="21" numFmtId="0" xfId="1" applyFont="1" applyFill="1" applyBorder="1" applyProtection="1">
      <protection locked="0"/>
    </xf>
    <xf fontId="1" fillId="19" borderId="21" numFmtId="0" xfId="1" applyFont="1" applyFill="1" applyBorder="1" applyAlignment="1" applyProtection="1">
      <alignment wrapText="1"/>
      <protection locked="0"/>
    </xf>
    <xf fontId="1" fillId="19" borderId="10" numFmtId="0" xfId="1" applyFont="1" applyFill="1" applyBorder="1" applyProtection="1">
      <protection locked="0"/>
    </xf>
    <xf fontId="1" fillId="19" borderId="10" numFmtId="0" xfId="1" applyFont="1" applyFill="1" applyBorder="1" applyAlignment="1" applyProtection="1">
      <alignment wrapText="1"/>
      <protection locked="0"/>
    </xf>
    <xf fontId="1" fillId="19" borderId="38" numFmtId="163" xfId="1" applyNumberFormat="1" applyFont="1" applyFill="1" applyBorder="1" applyAlignment="1" applyProtection="1">
      <alignment wrapText="1"/>
      <protection locked="0"/>
    </xf>
    <xf fontId="1" fillId="19" borderId="89" numFmtId="0" xfId="1" applyFont="1" applyFill="1" applyBorder="1" applyAlignment="1" applyProtection="1">
      <alignment wrapText="1"/>
      <protection locked="0"/>
    </xf>
    <xf fontId="1" fillId="19" borderId="41" numFmtId="0" xfId="1" applyFont="1" applyFill="1" applyBorder="1" applyProtection="1">
      <protection locked="0"/>
    </xf>
    <xf fontId="2" fillId="5" borderId="112" numFmtId="0" xfId="1" applyFont="1" applyFill="1" applyBorder="1" applyAlignment="1">
      <alignment vertical="center"/>
    </xf>
    <xf fontId="2" fillId="5" borderId="112" numFmtId="0" xfId="1" applyFont="1" applyFill="1" applyBorder="1" applyAlignment="1">
      <alignment horizontal="center" vertical="center" wrapText="1"/>
    </xf>
    <xf fontId="2" fillId="5" borderId="112" numFmtId="0" xfId="1" applyFont="1" applyFill="1" applyBorder="1" applyAlignment="1">
      <alignment horizontal="left" vertical="center" wrapText="1"/>
    </xf>
    <xf fontId="2" fillId="5" borderId="112" numFmtId="163" xfId="1" applyNumberFormat="1" applyFont="1" applyFill="1" applyBorder="1" applyAlignment="1">
      <alignment vertical="center" wrapText="1"/>
    </xf>
    <xf fontId="2" fillId="5" borderId="112" numFmtId="0" xfId="1" applyFont="1" applyFill="1" applyBorder="1" applyAlignment="1">
      <alignment vertical="center" wrapText="1"/>
    </xf>
    <xf fontId="2" fillId="5" borderId="113" numFmtId="0" xfId="1" applyFont="1" applyFill="1" applyBorder="1" applyAlignment="1">
      <alignment vertical="center"/>
    </xf>
    <xf fontId="2" fillId="5" borderId="113" numFmtId="0" xfId="1" applyFont="1" applyFill="1" applyBorder="1" applyAlignment="1">
      <alignment horizontal="center" vertical="center"/>
    </xf>
    <xf fontId="2" fillId="5" borderId="113" numFmtId="0" xfId="1" applyFont="1" applyFill="1" applyBorder="1" applyAlignment="1">
      <alignment horizontal="left" vertical="center"/>
    </xf>
    <xf fontId="2" fillId="5" borderId="113" numFmtId="163" xfId="1" applyNumberFormat="1" applyFont="1" applyFill="1" applyBorder="1" applyAlignment="1">
      <alignment vertical="center"/>
    </xf>
    <xf fontId="2" fillId="5" borderId="113" numFmtId="0" xfId="1" applyFont="1" applyFill="1" applyBorder="1" applyAlignment="1">
      <alignment vertical="center" wrapText="1"/>
    </xf>
    <xf fontId="9" fillId="0" borderId="114" numFmtId="0" xfId="1" applyFont="1" applyBorder="1" applyAlignment="1" applyProtection="1">
      <alignment horizontal="left"/>
      <protection locked="0"/>
    </xf>
    <xf fontId="24" fillId="0" borderId="114" numFmtId="0" xfId="1" applyFont="1" applyBorder="1" applyAlignment="1" applyProtection="1">
      <alignment horizontal="left" vertical="center" wrapText="1"/>
      <protection locked="0"/>
    </xf>
    <xf fontId="9" fillId="17" borderId="114" numFmtId="4" xfId="1" applyNumberFormat="1" applyFont="1" applyFill="1" applyBorder="1" applyAlignment="1" applyProtection="1">
      <alignment horizontal="right"/>
      <protection locked="0"/>
    </xf>
    <xf fontId="1" fillId="17" borderId="40" numFmtId="163" xfId="1" applyNumberFormat="1" applyFont="1" applyFill="1" applyBorder="1" applyProtection="1">
      <protection locked="0"/>
    </xf>
    <xf fontId="1" fillId="17" borderId="51" numFmtId="163" xfId="1" applyNumberFormat="1" applyFont="1" applyFill="1" applyBorder="1" applyProtection="1">
      <protection locked="0"/>
    </xf>
    <xf fontId="1" fillId="0" borderId="45" numFmtId="0" xfId="1" applyFont="1" applyBorder="1" applyAlignment="1" applyProtection="1">
      <alignment wrapText="1"/>
      <protection locked="0"/>
    </xf>
    <xf fontId="10" fillId="7" borderId="6" numFmtId="0" xfId="1" applyFont="1" applyFill="1" applyBorder="1" applyAlignment="1" applyProtection="1">
      <alignment wrapText="1"/>
      <protection locked="0"/>
    </xf>
    <xf fontId="10" fillId="7" borderId="26" numFmtId="0" xfId="1" applyFont="1" applyFill="1" applyBorder="1" applyAlignment="1" applyProtection="1">
      <alignment wrapText="1"/>
      <protection locked="0"/>
    </xf>
    <xf fontId="9" fillId="0" borderId="54" numFmtId="0" xfId="1" applyFont="1" applyBorder="1" applyAlignment="1" applyProtection="1">
      <alignment horizontal="left" wrapText="1"/>
      <protection locked="0"/>
    </xf>
    <xf fontId="1" fillId="0" borderId="26" numFmtId="0" xfId="1" applyFont="1" applyBorder="1" applyAlignment="1" applyProtection="1">
      <alignment wrapText="1"/>
      <protection locked="0"/>
    </xf>
    <xf fontId="10" fillId="18" borderId="21" numFmtId="0" xfId="1" applyFont="1" applyFill="1" applyBorder="1" applyProtection="1">
      <protection locked="0"/>
    </xf>
    <xf fontId="10" fillId="18" borderId="6" numFmtId="163" xfId="1" applyNumberFormat="1" applyFont="1" applyFill="1" applyBorder="1" applyProtection="1">
      <protection locked="0"/>
    </xf>
    <xf fontId="0" fillId="18" borderId="6" numFmtId="0" xfId="1" applyFill="1" applyBorder="1"/>
    <xf fontId="0" fillId="18" borderId="8" numFmtId="0" xfId="1" applyFill="1" applyBorder="1"/>
    <xf fontId="1" fillId="0" borderId="88" numFmtId="0" xfId="1" applyFont="1" applyBorder="1" applyAlignment="1" applyProtection="1">
      <alignment wrapText="1"/>
      <protection locked="0"/>
    </xf>
    <xf fontId="9" fillId="0" borderId="27" numFmtId="0" xfId="1" applyFont="1" applyBorder="1" applyAlignment="1" applyProtection="1">
      <alignment horizontal="left"/>
      <protection locked="0"/>
    </xf>
    <xf fontId="10" fillId="0" borderId="47" numFmtId="0" xfId="1" applyFont="1" applyBorder="1" applyProtection="1">
      <protection locked="0"/>
    </xf>
    <xf fontId="10" fillId="0" borderId="38" numFmtId="0" xfId="1" applyFont="1" applyBorder="1" applyAlignment="1" applyProtection="1">
      <alignment wrapText="1"/>
      <protection locked="0"/>
    </xf>
    <xf fontId="10" fillId="0" borderId="91" numFmtId="0" xfId="1" applyFont="1" applyBorder="1" applyAlignment="1" applyProtection="1">
      <alignment wrapText="1"/>
      <protection locked="0"/>
    </xf>
    <xf fontId="22" fillId="6" borderId="39" numFmtId="0" xfId="1" applyFont="1" applyFill="1" applyBorder="1" applyAlignment="1" applyProtection="1">
      <alignment horizontal="left" vertical="center" wrapText="1"/>
      <protection locked="0"/>
    </xf>
    <xf fontId="1" fillId="20" borderId="27" numFmtId="0" xfId="1" applyFont="1" applyFill="1" applyBorder="1" applyProtection="1">
      <protection locked="0"/>
    </xf>
    <xf fontId="1" fillId="16" borderId="27" numFmtId="163" xfId="1" applyNumberFormat="1" applyFont="1" applyFill="1" applyBorder="1" applyProtection="1">
      <protection locked="0"/>
    </xf>
    <xf fontId="1" fillId="20" borderId="27" numFmtId="0" xfId="1" applyFont="1" applyFill="1" applyBorder="1" applyAlignment="1" applyProtection="1">
      <alignment wrapText="1"/>
      <protection locked="0"/>
    </xf>
    <xf fontId="1" fillId="20" borderId="29" numFmtId="0" xfId="1" applyFont="1" applyFill="1" applyBorder="1" applyProtection="1">
      <protection locked="0"/>
    </xf>
    <xf fontId="10" fillId="6" borderId="85" numFmtId="0" xfId="1" applyFont="1" applyFill="1" applyBorder="1" applyProtection="1">
      <protection locked="0"/>
    </xf>
    <xf fontId="10" fillId="15" borderId="54" numFmtId="0" xfId="0" applyFont="1" applyFill="1" applyBorder="1" applyAlignment="1" applyProtection="1">
      <alignment horizontal="left" wrapText="1"/>
    </xf>
    <xf fontId="10" fillId="16" borderId="54" numFmtId="0" xfId="0" applyFont="1" applyFill="1" applyBorder="1" applyAlignment="1" applyProtection="1">
      <alignment horizontal="left" wrapText="1"/>
    </xf>
    <xf fontId="10" fillId="6" borderId="47" numFmtId="0" xfId="1" applyFont="1" applyFill="1" applyBorder="1" applyProtection="1">
      <protection locked="0"/>
    </xf>
    <xf fontId="1" fillId="19" borderId="6" numFmtId="163" xfId="1" applyNumberFormat="1" applyFont="1" applyFill="1" applyBorder="1" applyProtection="1">
      <protection locked="0"/>
    </xf>
    <xf fontId="1" fillId="0" borderId="99" numFmtId="0" xfId="1" applyFont="1" applyBorder="1" applyProtection="1">
      <protection locked="0"/>
    </xf>
    <xf fontId="1" fillId="0" borderId="99" numFmtId="163" xfId="1" applyNumberFormat="1" applyFont="1" applyBorder="1" applyProtection="1">
      <protection locked="0"/>
    </xf>
    <xf fontId="1" fillId="0" borderId="99" numFmtId="0" xfId="1" applyFont="1" applyBorder="1" applyAlignment="1" applyProtection="1">
      <alignment wrapText="1"/>
      <protection locked="0"/>
    </xf>
    <xf fontId="10" fillId="4" borderId="6" numFmtId="0" xfId="1" applyFont="1" applyFill="1" applyBorder="1" applyAlignment="1" applyProtection="1">
      <alignment vertical="center" wrapText="1"/>
      <protection locked="0"/>
    </xf>
    <xf fontId="1" fillId="19" borderId="6" numFmtId="0" xfId="1" applyFont="1" applyFill="1" applyBorder="1" applyAlignment="1" applyProtection="1">
      <alignment horizontal="center" vertical="center" wrapText="1"/>
    </xf>
    <xf fontId="10" fillId="22" borderId="6" numFmtId="0" xfId="1" applyFont="1" applyFill="1" applyBorder="1" applyProtection="1">
      <protection locked="0"/>
    </xf>
    <xf fontId="10" fillId="4" borderId="6" numFmtId="4" xfId="1" applyNumberFormat="1" applyFont="1" applyFill="1" applyBorder="1" applyProtection="1">
      <protection locked="0"/>
    </xf>
    <xf fontId="10" fillId="22" borderId="6" numFmtId="0" xfId="1" applyFont="1" applyFill="1" applyBorder="1" applyAlignment="1" applyProtection="1">
      <alignment wrapText="1"/>
      <protection locked="0"/>
    </xf>
    <xf fontId="1" fillId="22" borderId="6" numFmtId="0" xfId="1" applyFont="1" applyFill="1" applyBorder="1" applyProtection="1">
      <protection locked="0"/>
    </xf>
    <xf fontId="0" fillId="22" borderId="6" numFmtId="0" xfId="1" applyFill="1" applyBorder="1"/>
    <xf fontId="0" fillId="22" borderId="8" numFmtId="0" xfId="1" applyFill="1" applyBorder="1"/>
    <xf fontId="10" fillId="16" borderId="68" numFmtId="4" xfId="1" applyNumberFormat="1" applyFont="1" applyFill="1" applyBorder="1" applyAlignment="1" applyProtection="1">
      <alignment horizontal="left" vertical="center" wrapText="1"/>
      <protection locked="0"/>
    </xf>
    <xf fontId="10" fillId="16" borderId="30" numFmtId="4" xfId="1" applyNumberFormat="1" applyFont="1" applyFill="1" applyBorder="1" applyAlignment="1" applyProtection="1">
      <alignment horizontal="left" vertical="center" wrapText="1"/>
      <protection locked="0"/>
    </xf>
    <xf fontId="1" fillId="0" borderId="0" numFmtId="0" xfId="1" applyFont="1" applyAlignment="1" applyProtection="1">
      <alignment wrapText="1"/>
      <protection locked="0"/>
    </xf>
    <xf fontId="9" fillId="0" borderId="109" numFmtId="0" xfId="1" applyFont="1" applyBorder="1" applyAlignment="1" applyProtection="1">
      <alignment horizontal="left" wrapText="1"/>
      <protection locked="0"/>
    </xf>
    <xf fontId="9" fillId="0" borderId="35" numFmtId="0" xfId="1" applyFont="1" applyBorder="1" applyAlignment="1" applyProtection="1">
      <alignment horizontal="left" wrapText="1"/>
      <protection locked="0"/>
    </xf>
    <xf fontId="9" fillId="0" borderId="70" numFmtId="0" xfId="1" applyFont="1" applyBorder="1" applyAlignment="1" applyProtection="1">
      <alignment horizontal="left" wrapText="1"/>
      <protection locked="0"/>
    </xf>
    <xf fontId="10" fillId="16" borderId="70" numFmtId="163" xfId="1" applyNumberFormat="1" applyFont="1" applyFill="1" applyBorder="1" applyAlignment="1" applyProtection="1">
      <alignment wrapText="1"/>
      <protection locked="0"/>
    </xf>
    <xf fontId="1" fillId="0" borderId="94" numFmtId="0" xfId="1" applyFont="1" applyBorder="1" applyAlignment="1" applyProtection="1">
      <alignment wrapText="1"/>
      <protection locked="0"/>
    </xf>
    <xf fontId="9" fillId="15" borderId="114" numFmtId="0" xfId="1" applyFont="1" applyFill="1" applyBorder="1" applyAlignment="1" applyProtection="1">
      <alignment horizontal="left" vertical="center" wrapText="1"/>
      <protection locked="0"/>
    </xf>
    <xf fontId="9" fillId="0" borderId="114" numFmtId="0" xfId="1" applyFont="1" applyBorder="1" applyAlignment="1" applyProtection="1">
      <alignment horizontal="left" wrapText="1"/>
      <protection locked="0"/>
    </xf>
    <xf fontId="9" fillId="16" borderId="21" numFmtId="163" xfId="1" applyNumberFormat="1" applyFont="1" applyFill="1" applyBorder="1" applyAlignment="1" applyProtection="1">
      <alignment horizontal="left"/>
      <protection locked="0"/>
    </xf>
    <xf fontId="10" fillId="0" borderId="28" numFmtId="0" xfId="1" applyFont="1" applyBorder="1" applyAlignment="1" applyProtection="1">
      <alignment wrapText="1"/>
      <protection locked="0"/>
    </xf>
    <xf fontId="10" fillId="0" borderId="51" numFmtId="0" xfId="1" applyFont="1" applyBorder="1" applyAlignment="1" applyProtection="1">
      <alignment wrapText="1"/>
      <protection locked="0"/>
    </xf>
    <xf fontId="22" fillId="6" borderId="41" numFmtId="0" xfId="1" applyFont="1" applyFill="1" applyBorder="1" applyAlignment="1" applyProtection="1">
      <alignment horizontal="left" vertical="center" wrapText="1"/>
      <protection locked="0"/>
    </xf>
    <xf fontId="0" fillId="0" borderId="99" numFmtId="0" xfId="1" applyBorder="1"/>
    <xf fontId="0" fillId="0" borderId="115" numFmtId="0" xfId="1" applyBorder="1"/>
    <xf fontId="10" fillId="6" borderId="108" numFmtId="0" xfId="1" applyFont="1" applyFill="1" applyBorder="1" applyProtection="1">
      <protection locked="0"/>
    </xf>
    <xf fontId="1" fillId="0" borderId="33" numFmtId="0" xfId="1" applyFont="1" applyBorder="1" applyProtection="1">
      <protection locked="0"/>
    </xf>
    <xf fontId="1" fillId="16" borderId="21" numFmtId="4" xfId="1" applyNumberFormat="1" applyFont="1" applyFill="1" applyBorder="1" applyProtection="1">
      <protection locked="0"/>
    </xf>
    <xf fontId="1" fillId="19" borderId="21" numFmtId="163" xfId="1" applyNumberFormat="1" applyFont="1" applyFill="1" applyBorder="1" applyProtection="1">
      <protection locked="0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D27" activeCellId="0" sqref="D2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v>46082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29"/>
      <c r="C11" s="30"/>
      <c r="D11" s="31"/>
      <c r="E11" s="32"/>
      <c r="F11" s="30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B00BC-004A-4DE5-BF4A-00190009000B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5A00AB-0071-4406-BFD8-0067001D00C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C2" activeCellId="0" sqref="C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'01'!C2+1</f>
        <v>46083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853840.68999999994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12958.5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839524.94999999995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 t="s">
        <v>45</v>
      </c>
      <c r="C11" s="33"/>
      <c r="D11" s="34"/>
      <c r="E11" s="164">
        <v>861643.83999999997</v>
      </c>
      <c r="F11" s="33" t="s">
        <v>46</v>
      </c>
      <c r="G11" s="33"/>
      <c r="H11" s="34"/>
      <c r="I11" s="35"/>
      <c r="J11" s="36" t="s">
        <v>47</v>
      </c>
      <c r="K11" s="37"/>
    </row>
    <row r="12" ht="14.25" customHeight="1" outlineLevel="1">
      <c r="A12" s="38">
        <v>2</v>
      </c>
      <c r="B12" s="34" t="s">
        <v>48</v>
      </c>
      <c r="C12" s="33" t="s">
        <v>49</v>
      </c>
      <c r="D12" s="34" t="s">
        <v>50</v>
      </c>
      <c r="E12" s="165">
        <v>807215</v>
      </c>
      <c r="F12" s="33" t="s">
        <v>51</v>
      </c>
      <c r="G12" s="39"/>
      <c r="H12" s="42"/>
      <c r="I12" s="42"/>
      <c r="J12" s="43" t="s">
        <v>47</v>
      </c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1668858.8399999999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-815018.14999999991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562970.04000000004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562970.04000000004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28.5" outlineLevel="1">
      <c r="A190" s="62">
        <v>1</v>
      </c>
      <c r="B190" s="166" t="s">
        <v>45</v>
      </c>
      <c r="C190" s="166" t="s">
        <v>52</v>
      </c>
      <c r="D190" s="166"/>
      <c r="E190" s="167"/>
      <c r="F190" s="168" t="s">
        <v>53</v>
      </c>
      <c r="G190" s="169" t="s">
        <v>54</v>
      </c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170" t="s">
        <v>55</v>
      </c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562970.04000000004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3372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3372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3372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12332.25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9172.9500000000007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3159.3000000000002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12332.25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5000F-0008-4EF2-9D69-0032008000C6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2E0004-008A-4E23-953A-00F100BF000D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1"/>
  </sheetPr>
  <sheetViews>
    <sheetView showGridLines="0" showRuler="1" topLeftCell="A156" zoomScale="90" workbookViewId="0">
      <selection activeCell="D34" activeCellId="0" sqref="D3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4.140625"/>
    <col customWidth="1" min="4" max="4" style="1" width="43.28125"/>
    <col customWidth="1" min="5" max="5" style="1" width="26"/>
    <col customWidth="1" min="6" max="6" style="1" width="52.421875"/>
    <col customWidth="1" min="7" max="7" style="1" width="20.7109375"/>
    <col customWidth="1" min="8" max="8" style="1" width="11.28515625"/>
    <col customWidth="1" min="9" max="9" style="1" width="22.140625"/>
    <col customWidth="1" min="10" max="10" style="1" width="13.85156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'02'!C2+1</f>
        <v>46084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12771391.84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12292153.5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477881.09999999998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171"/>
      <c r="B10" s="172" t="s">
        <v>17</v>
      </c>
      <c r="C10" s="173"/>
      <c r="D10" s="174"/>
      <c r="E10" s="175"/>
      <c r="F10" s="172"/>
      <c r="G10" s="172"/>
      <c r="H10" s="23"/>
      <c r="I10" s="23"/>
      <c r="J10" s="23"/>
      <c r="K10" s="27"/>
    </row>
    <row r="11" s="21" customFormat="1" ht="14.25" customHeight="1" outlineLevel="1">
      <c r="A11" s="176"/>
      <c r="B11" s="177" t="s">
        <v>45</v>
      </c>
      <c r="C11" s="39"/>
      <c r="D11" s="39"/>
      <c r="E11" s="178">
        <v>10000000</v>
      </c>
      <c r="F11" s="41" t="s">
        <v>56</v>
      </c>
      <c r="G11" s="39"/>
      <c r="H11" s="42"/>
      <c r="I11" s="42"/>
      <c r="K11" s="44"/>
    </row>
    <row r="12" ht="14.25" customHeight="1" outlineLevel="1">
      <c r="A12" s="176">
        <v>1</v>
      </c>
      <c r="B12" s="179" t="s">
        <v>57</v>
      </c>
      <c r="C12" s="33" t="s">
        <v>58</v>
      </c>
      <c r="D12" s="34" t="s">
        <v>59</v>
      </c>
      <c r="E12" s="180" t="s">
        <v>60</v>
      </c>
      <c r="F12" s="181" t="s">
        <v>61</v>
      </c>
      <c r="G12" s="182" t="s">
        <v>62</v>
      </c>
      <c r="H12" s="179"/>
      <c r="I12" s="183"/>
      <c r="J12" s="57" t="s">
        <v>47</v>
      </c>
      <c r="K12" s="184"/>
    </row>
    <row r="13" ht="14.25" customHeight="1" outlineLevel="1">
      <c r="A13" s="176">
        <v>2</v>
      </c>
      <c r="B13" s="177" t="s">
        <v>57</v>
      </c>
      <c r="C13" s="185" t="s">
        <v>63</v>
      </c>
      <c r="D13" s="185" t="s">
        <v>64</v>
      </c>
      <c r="E13" s="186" t="s">
        <v>65</v>
      </c>
      <c r="F13" s="187" t="s">
        <v>66</v>
      </c>
      <c r="G13" s="182" t="s">
        <v>62</v>
      </c>
      <c r="H13" s="188"/>
      <c r="I13" s="189" t="s">
        <v>67</v>
      </c>
      <c r="J13" s="57" t="s">
        <v>47</v>
      </c>
      <c r="K13" s="184"/>
    </row>
    <row r="14" ht="14.25" customHeight="1" outlineLevel="1">
      <c r="A14" s="176">
        <v>3</v>
      </c>
      <c r="B14" s="190" t="s">
        <v>57</v>
      </c>
      <c r="C14" s="190" t="s">
        <v>68</v>
      </c>
      <c r="D14" s="191" t="s">
        <v>69</v>
      </c>
      <c r="E14" s="192" t="s">
        <v>70</v>
      </c>
      <c r="F14" s="191" t="s">
        <v>71</v>
      </c>
      <c r="G14" s="182" t="s">
        <v>62</v>
      </c>
      <c r="H14" s="193"/>
      <c r="I14" s="193"/>
      <c r="J14" s="57" t="s">
        <v>47</v>
      </c>
      <c r="K14" s="184"/>
    </row>
    <row r="15" ht="14.25" customHeight="1" outlineLevel="1">
      <c r="A15" s="176">
        <v>4</v>
      </c>
      <c r="B15" s="190" t="s">
        <v>57</v>
      </c>
      <c r="C15" s="190" t="s">
        <v>72</v>
      </c>
      <c r="D15" s="194" t="s">
        <v>73</v>
      </c>
      <c r="E15" s="195" t="s">
        <v>74</v>
      </c>
      <c r="F15" s="194" t="s">
        <v>75</v>
      </c>
      <c r="G15" s="182" t="s">
        <v>62</v>
      </c>
      <c r="H15" s="196"/>
      <c r="I15" s="197"/>
      <c r="J15" s="57" t="s">
        <v>47</v>
      </c>
      <c r="K15" s="184"/>
    </row>
    <row r="16" ht="14.25" customHeight="1" outlineLevel="1">
      <c r="A16" s="176">
        <v>5</v>
      </c>
      <c r="B16" s="190" t="s">
        <v>57</v>
      </c>
      <c r="C16" s="190" t="s">
        <v>72</v>
      </c>
      <c r="D16" s="194" t="s">
        <v>76</v>
      </c>
      <c r="E16" s="195" t="s">
        <v>77</v>
      </c>
      <c r="F16" s="194" t="s">
        <v>78</v>
      </c>
      <c r="G16" s="182" t="s">
        <v>62</v>
      </c>
      <c r="H16" s="196"/>
      <c r="I16" s="197"/>
      <c r="J16" s="57" t="s">
        <v>47</v>
      </c>
      <c r="K16" s="184"/>
    </row>
    <row r="17" ht="14.25" customHeight="1" outlineLevel="1">
      <c r="A17" s="176">
        <v>6</v>
      </c>
      <c r="B17" s="190" t="s">
        <v>57</v>
      </c>
      <c r="C17" s="190" t="s">
        <v>79</v>
      </c>
      <c r="D17" s="194" t="s">
        <v>80</v>
      </c>
      <c r="E17" s="195" t="s">
        <v>81</v>
      </c>
      <c r="F17" s="194" t="s">
        <v>82</v>
      </c>
      <c r="G17" s="182" t="s">
        <v>62</v>
      </c>
      <c r="H17" s="196"/>
      <c r="I17" s="197"/>
      <c r="J17" s="57" t="s">
        <v>47</v>
      </c>
      <c r="K17" s="184"/>
    </row>
    <row r="18" ht="14.25" customHeight="1" outlineLevel="1">
      <c r="A18" s="176">
        <v>7</v>
      </c>
      <c r="B18" s="198" t="s">
        <v>83</v>
      </c>
      <c r="C18" s="198" t="s">
        <v>84</v>
      </c>
      <c r="D18" s="199" t="s">
        <v>85</v>
      </c>
      <c r="E18" s="200" t="s">
        <v>86</v>
      </c>
      <c r="F18" s="201" t="s">
        <v>87</v>
      </c>
      <c r="G18" s="182" t="s">
        <v>62</v>
      </c>
      <c r="H18" s="202"/>
      <c r="I18" s="94"/>
      <c r="J18" s="203" t="s">
        <v>47</v>
      </c>
      <c r="K18" s="44"/>
    </row>
    <row r="19" ht="14.25" customHeight="1" outlineLevel="1">
      <c r="A19" s="176">
        <v>8</v>
      </c>
      <c r="B19" s="198" t="s">
        <v>83</v>
      </c>
      <c r="C19" s="198" t="s">
        <v>84</v>
      </c>
      <c r="D19" s="199" t="s">
        <v>88</v>
      </c>
      <c r="E19" s="200" t="s">
        <v>89</v>
      </c>
      <c r="F19" s="201" t="s">
        <v>90</v>
      </c>
      <c r="G19" s="182" t="s">
        <v>62</v>
      </c>
      <c r="H19" s="202"/>
      <c r="I19" s="94"/>
      <c r="J19" s="57" t="s">
        <v>47</v>
      </c>
      <c r="K19" s="44"/>
    </row>
    <row r="20" ht="14.25" customHeight="1" outlineLevel="1">
      <c r="A20" s="176">
        <v>9</v>
      </c>
      <c r="B20" s="198" t="s">
        <v>83</v>
      </c>
      <c r="C20" s="204" t="s">
        <v>91</v>
      </c>
      <c r="D20" s="205" t="s">
        <v>92</v>
      </c>
      <c r="E20" s="206" t="s">
        <v>93</v>
      </c>
      <c r="F20" s="201" t="s">
        <v>94</v>
      </c>
      <c r="G20" s="182" t="s">
        <v>62</v>
      </c>
      <c r="H20" s="202"/>
      <c r="I20" s="94"/>
      <c r="J20" s="57" t="s">
        <v>47</v>
      </c>
      <c r="K20" s="44"/>
    </row>
    <row r="21" ht="14.25" customHeight="1" outlineLevel="1">
      <c r="A21" s="176">
        <v>10</v>
      </c>
      <c r="B21" s="198" t="s">
        <v>83</v>
      </c>
      <c r="C21" s="204" t="s">
        <v>91</v>
      </c>
      <c r="D21" s="205" t="s">
        <v>95</v>
      </c>
      <c r="E21" s="206" t="s">
        <v>96</v>
      </c>
      <c r="F21" s="201" t="s">
        <v>94</v>
      </c>
      <c r="G21" s="182" t="s">
        <v>62</v>
      </c>
      <c r="H21" s="202"/>
      <c r="I21" s="94"/>
      <c r="J21" s="57" t="s">
        <v>47</v>
      </c>
      <c r="K21" s="44"/>
    </row>
    <row r="22" ht="14.25" customHeight="1" outlineLevel="1">
      <c r="A22" s="176">
        <v>11</v>
      </c>
      <c r="B22" s="198" t="s">
        <v>83</v>
      </c>
      <c r="C22" s="204" t="s">
        <v>91</v>
      </c>
      <c r="D22" s="205" t="s">
        <v>97</v>
      </c>
      <c r="E22" s="206" t="s">
        <v>98</v>
      </c>
      <c r="F22" s="201" t="s">
        <v>94</v>
      </c>
      <c r="G22" s="182" t="s">
        <v>62</v>
      </c>
      <c r="H22" s="202"/>
      <c r="I22" s="94"/>
      <c r="J22" s="57" t="s">
        <v>47</v>
      </c>
      <c r="K22" s="44"/>
    </row>
    <row r="23" ht="14.25" customHeight="1" outlineLevel="1">
      <c r="A23" s="176">
        <v>12</v>
      </c>
      <c r="B23" s="198" t="s">
        <v>83</v>
      </c>
      <c r="C23" s="204" t="s">
        <v>91</v>
      </c>
      <c r="D23" s="205" t="s">
        <v>99</v>
      </c>
      <c r="E23" s="206" t="s">
        <v>100</v>
      </c>
      <c r="F23" s="201" t="s">
        <v>94</v>
      </c>
      <c r="G23" s="182" t="s">
        <v>62</v>
      </c>
      <c r="H23" s="202"/>
      <c r="I23" s="94"/>
      <c r="J23" s="57" t="s">
        <v>47</v>
      </c>
      <c r="K23" s="44"/>
    </row>
    <row r="24" ht="14.25" customHeight="1" outlineLevel="1">
      <c r="A24" s="176">
        <v>13</v>
      </c>
      <c r="B24" s="198" t="s">
        <v>83</v>
      </c>
      <c r="C24" s="204" t="s">
        <v>91</v>
      </c>
      <c r="D24" s="205" t="s">
        <v>101</v>
      </c>
      <c r="E24" s="206" t="s">
        <v>102</v>
      </c>
      <c r="F24" s="201" t="s">
        <v>94</v>
      </c>
      <c r="G24" s="182" t="s">
        <v>62</v>
      </c>
      <c r="H24" s="202"/>
      <c r="I24" s="94"/>
      <c r="J24" s="57" t="s">
        <v>47</v>
      </c>
      <c r="K24" s="44"/>
    </row>
    <row r="25" ht="14.25" customHeight="1" outlineLevel="1">
      <c r="A25" s="176">
        <v>14</v>
      </c>
      <c r="B25" s="198" t="s">
        <v>83</v>
      </c>
      <c r="C25" s="204" t="s">
        <v>91</v>
      </c>
      <c r="D25" s="205" t="s">
        <v>103</v>
      </c>
      <c r="E25" s="206" t="s">
        <v>104</v>
      </c>
      <c r="F25" s="201" t="s">
        <v>94</v>
      </c>
      <c r="G25" s="182" t="s">
        <v>62</v>
      </c>
      <c r="H25" s="202"/>
      <c r="I25" s="94"/>
      <c r="J25" s="57" t="s">
        <v>47</v>
      </c>
      <c r="K25" s="44"/>
    </row>
    <row r="26" ht="14.25" customHeight="1" outlineLevel="1">
      <c r="A26" s="176">
        <v>15</v>
      </c>
      <c r="B26" s="198" t="s">
        <v>83</v>
      </c>
      <c r="C26" s="204" t="s">
        <v>91</v>
      </c>
      <c r="D26" s="205" t="s">
        <v>105</v>
      </c>
      <c r="E26" s="206" t="s">
        <v>106</v>
      </c>
      <c r="F26" s="201" t="s">
        <v>94</v>
      </c>
      <c r="G26" s="182" t="s">
        <v>62</v>
      </c>
      <c r="H26" s="202"/>
      <c r="I26" s="94"/>
      <c r="J26" s="57" t="s">
        <v>47</v>
      </c>
      <c r="K26" s="44"/>
    </row>
    <row r="27" ht="14.25" customHeight="1" outlineLevel="1">
      <c r="A27" s="176">
        <v>16</v>
      </c>
      <c r="B27" s="198" t="s">
        <v>83</v>
      </c>
      <c r="C27" s="204" t="s">
        <v>91</v>
      </c>
      <c r="D27" s="205" t="s">
        <v>107</v>
      </c>
      <c r="E27" s="206" t="s">
        <v>108</v>
      </c>
      <c r="F27" s="201" t="s">
        <v>94</v>
      </c>
      <c r="G27" s="182" t="s">
        <v>62</v>
      </c>
      <c r="H27" s="202"/>
      <c r="I27" s="94"/>
      <c r="J27" s="57" t="s">
        <v>47</v>
      </c>
      <c r="K27" s="44"/>
    </row>
    <row r="28" ht="14.25" customHeight="1" outlineLevel="1">
      <c r="A28" s="176">
        <v>17</v>
      </c>
      <c r="B28" s="198" t="s">
        <v>83</v>
      </c>
      <c r="C28" s="198" t="s">
        <v>109</v>
      </c>
      <c r="D28" s="199" t="s">
        <v>110</v>
      </c>
      <c r="E28" s="207" t="s">
        <v>111</v>
      </c>
      <c r="F28" s="201" t="s">
        <v>112</v>
      </c>
      <c r="G28" s="182" t="s">
        <v>62</v>
      </c>
      <c r="H28" s="202"/>
      <c r="I28" s="94"/>
      <c r="J28" s="57" t="s">
        <v>47</v>
      </c>
      <c r="K28" s="44"/>
    </row>
    <row r="29" ht="14.25" customHeight="1" outlineLevel="1">
      <c r="A29" s="176">
        <v>18</v>
      </c>
      <c r="B29" s="198" t="s">
        <v>83</v>
      </c>
      <c r="C29" s="198" t="s">
        <v>109</v>
      </c>
      <c r="D29" s="199" t="s">
        <v>113</v>
      </c>
      <c r="E29" s="207" t="s">
        <v>114</v>
      </c>
      <c r="F29" s="201" t="s">
        <v>115</v>
      </c>
      <c r="G29" s="182" t="s">
        <v>62</v>
      </c>
      <c r="H29" s="202"/>
      <c r="I29" s="94"/>
      <c r="J29" s="57" t="s">
        <v>47</v>
      </c>
      <c r="K29" s="44"/>
    </row>
    <row r="30" ht="14.25" customHeight="1" outlineLevel="1">
      <c r="A30" s="176">
        <v>19</v>
      </c>
      <c r="B30" s="198" t="s">
        <v>83</v>
      </c>
      <c r="C30" s="198" t="s">
        <v>109</v>
      </c>
      <c r="D30" s="199" t="s">
        <v>116</v>
      </c>
      <c r="E30" s="207" t="s">
        <v>117</v>
      </c>
      <c r="F30" s="201" t="s">
        <v>118</v>
      </c>
      <c r="G30" s="182" t="s">
        <v>62</v>
      </c>
      <c r="H30" s="202"/>
      <c r="I30" s="94"/>
      <c r="J30" s="57" t="s">
        <v>47</v>
      </c>
      <c r="K30" s="44"/>
    </row>
    <row r="31" ht="14.25" customHeight="1" outlineLevel="1">
      <c r="A31" s="176">
        <v>20</v>
      </c>
      <c r="B31" s="204" t="s">
        <v>83</v>
      </c>
      <c r="C31" s="182" t="s">
        <v>119</v>
      </c>
      <c r="D31" s="205" t="s">
        <v>120</v>
      </c>
      <c r="E31" s="208" t="s">
        <v>121</v>
      </c>
      <c r="F31" s="201" t="s">
        <v>122</v>
      </c>
      <c r="G31" s="182" t="s">
        <v>62</v>
      </c>
      <c r="H31" s="202"/>
      <c r="I31" s="94"/>
      <c r="J31" s="57" t="s">
        <v>47</v>
      </c>
      <c r="K31" s="44"/>
    </row>
    <row r="32" ht="14.25" customHeight="1" outlineLevel="1">
      <c r="A32" s="176">
        <v>21</v>
      </c>
      <c r="B32" s="209" t="s">
        <v>123</v>
      </c>
      <c r="C32" s="182" t="s">
        <v>124</v>
      </c>
      <c r="D32" s="205" t="s">
        <v>125</v>
      </c>
      <c r="E32" s="207" t="s">
        <v>126</v>
      </c>
      <c r="F32" s="201" t="s">
        <v>127</v>
      </c>
      <c r="G32" s="182" t="s">
        <v>62</v>
      </c>
      <c r="H32" s="202"/>
      <c r="I32" s="94"/>
      <c r="J32" s="57" t="s">
        <v>47</v>
      </c>
      <c r="K32" s="44"/>
    </row>
    <row r="33" ht="14.25" customHeight="1" outlineLevel="1">
      <c r="A33" s="176">
        <v>22</v>
      </c>
      <c r="B33" s="209" t="s">
        <v>128</v>
      </c>
      <c r="C33" s="182" t="s">
        <v>37</v>
      </c>
      <c r="D33" s="205" t="s">
        <v>129</v>
      </c>
      <c r="E33" s="207" t="s">
        <v>130</v>
      </c>
      <c r="F33" s="201" t="s">
        <v>131</v>
      </c>
      <c r="G33" s="182" t="s">
        <v>62</v>
      </c>
      <c r="H33" s="202"/>
      <c r="I33" s="94"/>
      <c r="J33" s="57" t="s">
        <v>47</v>
      </c>
      <c r="K33" s="44"/>
    </row>
    <row r="34" ht="14.25" customHeight="1" outlineLevel="1">
      <c r="A34" s="176">
        <v>23</v>
      </c>
      <c r="B34" s="204" t="s">
        <v>83</v>
      </c>
      <c r="C34" s="210" t="s">
        <v>132</v>
      </c>
      <c r="D34" s="177" t="s">
        <v>133</v>
      </c>
      <c r="E34" s="211" t="s">
        <v>134</v>
      </c>
      <c r="F34" s="212" t="s">
        <v>135</v>
      </c>
      <c r="G34" s="182" t="s">
        <v>62</v>
      </c>
      <c r="H34" s="202"/>
      <c r="I34" s="94"/>
      <c r="J34" s="57" t="s">
        <v>47</v>
      </c>
      <c r="K34" s="44"/>
    </row>
    <row r="35" ht="14.25" customHeight="1" outlineLevel="1">
      <c r="A35" s="176">
        <v>24</v>
      </c>
      <c r="B35" s="204" t="s">
        <v>83</v>
      </c>
      <c r="C35" s="190" t="s">
        <v>136</v>
      </c>
      <c r="D35" s="191" t="s">
        <v>137</v>
      </c>
      <c r="E35" s="213" t="s">
        <v>138</v>
      </c>
      <c r="F35" s="191" t="s">
        <v>139</v>
      </c>
      <c r="G35" s="182" t="s">
        <v>62</v>
      </c>
      <c r="H35" s="202"/>
      <c r="I35" s="94"/>
      <c r="J35" s="57" t="s">
        <v>47</v>
      </c>
      <c r="K35" s="44"/>
    </row>
    <row r="36" ht="14.25" customHeight="1" outlineLevel="1">
      <c r="A36" s="176">
        <v>25</v>
      </c>
      <c r="B36" s="214" t="s">
        <v>48</v>
      </c>
      <c r="C36" s="215" t="s">
        <v>49</v>
      </c>
      <c r="D36" s="34" t="s">
        <v>50</v>
      </c>
      <c r="E36" s="180" t="s">
        <v>140</v>
      </c>
      <c r="F36" s="181" t="s">
        <v>51</v>
      </c>
      <c r="G36" s="182" t="s">
        <v>62</v>
      </c>
      <c r="H36" s="216" t="s">
        <v>141</v>
      </c>
      <c r="I36" s="42"/>
      <c r="J36" s="57" t="s">
        <v>47</v>
      </c>
      <c r="K36" s="44"/>
    </row>
    <row r="37" ht="14.25" customHeight="1" outlineLevel="1">
      <c r="A37" s="176">
        <v>26</v>
      </c>
      <c r="B37" s="217" t="s">
        <v>48</v>
      </c>
      <c r="C37" s="33" t="s">
        <v>49</v>
      </c>
      <c r="D37" s="34" t="s">
        <v>50</v>
      </c>
      <c r="E37" s="180" t="s">
        <v>142</v>
      </c>
      <c r="F37" s="181" t="s">
        <v>51</v>
      </c>
      <c r="G37" s="182" t="s">
        <v>62</v>
      </c>
      <c r="H37" s="34"/>
      <c r="I37" s="35"/>
      <c r="J37" s="57" t="s">
        <v>47</v>
      </c>
      <c r="K37" s="37"/>
    </row>
    <row r="38" ht="14.25" customHeight="1" outlineLevel="1">
      <c r="A38" s="176">
        <v>27</v>
      </c>
      <c r="B38" s="204" t="s">
        <v>83</v>
      </c>
      <c r="C38" s="177" t="s">
        <v>143</v>
      </c>
      <c r="D38" s="39" t="s">
        <v>144</v>
      </c>
      <c r="E38" s="211" t="s">
        <v>145</v>
      </c>
      <c r="F38" s="212" t="s">
        <v>146</v>
      </c>
      <c r="G38" s="182" t="s">
        <v>62</v>
      </c>
      <c r="H38" s="42"/>
      <c r="I38" s="42"/>
      <c r="J38" s="57" t="s">
        <v>47</v>
      </c>
      <c r="K38" s="44"/>
    </row>
    <row r="39" ht="14.25" customHeight="1" outlineLevel="1">
      <c r="A39" s="176">
        <v>28</v>
      </c>
      <c r="B39" s="204" t="s">
        <v>83</v>
      </c>
      <c r="C39" s="177" t="s">
        <v>147</v>
      </c>
      <c r="D39" s="39" t="s">
        <v>148</v>
      </c>
      <c r="E39" s="211" t="s">
        <v>149</v>
      </c>
      <c r="F39" s="39" t="s">
        <v>150</v>
      </c>
      <c r="G39" s="182" t="s">
        <v>62</v>
      </c>
      <c r="H39" s="42"/>
      <c r="I39" s="42"/>
      <c r="J39" s="57" t="s">
        <v>47</v>
      </c>
      <c r="K39" s="44"/>
    </row>
    <row r="40" ht="14.25" customHeight="1" outlineLevel="1">
      <c r="A40" s="176">
        <v>29</v>
      </c>
      <c r="B40" s="218" t="s">
        <v>83</v>
      </c>
      <c r="C40" s="219" t="s">
        <v>147</v>
      </c>
      <c r="D40" s="220" t="s">
        <v>151</v>
      </c>
      <c r="E40" s="178">
        <v>135400</v>
      </c>
      <c r="F40" s="220" t="s">
        <v>152</v>
      </c>
      <c r="G40" s="221" t="s">
        <v>62</v>
      </c>
      <c r="H40" s="42"/>
      <c r="I40" s="42"/>
      <c r="J40" s="57" t="s">
        <v>47</v>
      </c>
      <c r="K40" s="44"/>
    </row>
    <row r="41" ht="14.25" customHeight="1" outlineLevel="1">
      <c r="A41" s="176">
        <v>30</v>
      </c>
      <c r="B41" s="222" t="s">
        <v>153</v>
      </c>
      <c r="C41" s="223" t="s">
        <v>154</v>
      </c>
      <c r="D41" s="223" t="s">
        <v>155</v>
      </c>
      <c r="E41" s="224">
        <v>375000</v>
      </c>
      <c r="F41" s="225" t="s">
        <v>156</v>
      </c>
      <c r="G41" s="221" t="s">
        <v>62</v>
      </c>
      <c r="H41" s="223" t="s">
        <v>141</v>
      </c>
      <c r="I41" s="42"/>
      <c r="J41" s="57" t="s">
        <v>47</v>
      </c>
      <c r="K41" s="44"/>
    </row>
    <row r="42" ht="14.25" customHeight="1" outlineLevel="1">
      <c r="A42" s="176">
        <v>31</v>
      </c>
      <c r="B42" s="204" t="s">
        <v>83</v>
      </c>
      <c r="C42" s="177" t="s">
        <v>157</v>
      </c>
      <c r="D42" s="39" t="s">
        <v>158</v>
      </c>
      <c r="E42" s="178">
        <v>22185</v>
      </c>
      <c r="F42" s="212" t="s">
        <v>159</v>
      </c>
      <c r="G42" s="182" t="s">
        <v>62</v>
      </c>
      <c r="H42" s="42"/>
      <c r="I42" s="42"/>
      <c r="J42" s="57" t="s">
        <v>47</v>
      </c>
      <c r="K42" s="44"/>
    </row>
    <row r="43" ht="14.25" customHeight="1" outlineLevel="1">
      <c r="A43" s="176">
        <v>32</v>
      </c>
      <c r="B43" s="226" t="s">
        <v>83</v>
      </c>
      <c r="C43" s="177" t="s">
        <v>157</v>
      </c>
      <c r="D43" s="39" t="s">
        <v>160</v>
      </c>
      <c r="E43" s="178">
        <v>28602.5</v>
      </c>
      <c r="F43" s="212" t="s">
        <v>161</v>
      </c>
      <c r="G43" s="182" t="s">
        <v>62</v>
      </c>
      <c r="H43" s="42"/>
      <c r="I43" s="42"/>
      <c r="J43" s="57" t="s">
        <v>47</v>
      </c>
      <c r="K43" s="44"/>
    </row>
    <row r="44" ht="14.25" customHeight="1" outlineLevel="1">
      <c r="A44" s="176">
        <v>33</v>
      </c>
      <c r="B44" s="204" t="s">
        <v>83</v>
      </c>
      <c r="C44" s="177" t="s">
        <v>162</v>
      </c>
      <c r="D44" s="39" t="s">
        <v>163</v>
      </c>
      <c r="E44" s="178">
        <f>169200-100000</f>
        <v>69200</v>
      </c>
      <c r="F44" s="212" t="s">
        <v>164</v>
      </c>
      <c r="G44" s="182" t="s">
        <v>62</v>
      </c>
      <c r="H44" s="42"/>
      <c r="I44" s="42"/>
      <c r="J44" s="57" t="s">
        <v>47</v>
      </c>
      <c r="K44" s="44"/>
    </row>
    <row r="45" ht="14.25" customHeight="1" outlineLevel="1">
      <c r="A45" s="176">
        <v>34</v>
      </c>
      <c r="B45" s="179" t="s">
        <v>57</v>
      </c>
      <c r="C45" s="33" t="s">
        <v>165</v>
      </c>
      <c r="D45" s="34" t="s">
        <v>166</v>
      </c>
      <c r="E45" s="165">
        <f>308946-100000</f>
        <v>208946</v>
      </c>
      <c r="F45" s="181" t="s">
        <v>167</v>
      </c>
      <c r="G45" s="182" t="s">
        <v>62</v>
      </c>
      <c r="H45" s="179"/>
      <c r="I45" s="183" t="s">
        <v>67</v>
      </c>
      <c r="J45" s="57" t="s">
        <v>47</v>
      </c>
      <c r="K45" s="44"/>
    </row>
    <row r="46" ht="14.25" customHeight="1" outlineLevel="1">
      <c r="A46" s="176">
        <v>35</v>
      </c>
      <c r="B46" s="179" t="s">
        <v>57</v>
      </c>
      <c r="C46" s="33" t="s">
        <v>168</v>
      </c>
      <c r="D46" s="34" t="s">
        <v>169</v>
      </c>
      <c r="E46" s="164">
        <v>86261.759999999995</v>
      </c>
      <c r="F46" s="181" t="s">
        <v>170</v>
      </c>
      <c r="G46" s="182" t="s">
        <v>62</v>
      </c>
      <c r="H46" s="179"/>
      <c r="I46" s="183" t="s">
        <v>67</v>
      </c>
      <c r="J46" s="57" t="s">
        <v>47</v>
      </c>
      <c r="K46" s="44"/>
    </row>
    <row r="47" ht="14.25" customHeight="1" outlineLevel="1">
      <c r="A47" s="176">
        <v>36</v>
      </c>
      <c r="B47" s="177" t="s">
        <v>57</v>
      </c>
      <c r="C47" s="41" t="s">
        <v>171</v>
      </c>
      <c r="D47" s="39" t="s">
        <v>172</v>
      </c>
      <c r="E47" s="178">
        <f>252805-150000</f>
        <v>102805</v>
      </c>
      <c r="F47" s="212" t="s">
        <v>173</v>
      </c>
      <c r="G47" s="182" t="s">
        <v>62</v>
      </c>
      <c r="H47" s="216"/>
      <c r="I47" s="183" t="s">
        <v>67</v>
      </c>
      <c r="J47" s="57" t="s">
        <v>47</v>
      </c>
      <c r="K47" s="44"/>
    </row>
    <row r="48" ht="14.25" customHeight="1" outlineLevel="1">
      <c r="A48" s="176">
        <v>37</v>
      </c>
      <c r="B48" s="177" t="s">
        <v>57</v>
      </c>
      <c r="C48" s="39" t="s">
        <v>63</v>
      </c>
      <c r="D48" s="39" t="s">
        <v>64</v>
      </c>
      <c r="E48" s="178">
        <f>516900-100000</f>
        <v>416900</v>
      </c>
      <c r="F48" s="212" t="s">
        <v>174</v>
      </c>
      <c r="G48" s="182" t="s">
        <v>62</v>
      </c>
      <c r="H48" s="216"/>
      <c r="I48" s="183" t="s">
        <v>67</v>
      </c>
      <c r="J48" s="57" t="s">
        <v>47</v>
      </c>
      <c r="K48" s="44"/>
    </row>
    <row r="49" ht="14.25" customHeight="1" outlineLevel="1">
      <c r="A49" s="176">
        <v>38</v>
      </c>
      <c r="B49" s="227" t="s">
        <v>57</v>
      </c>
      <c r="C49" s="228" t="s">
        <v>175</v>
      </c>
      <c r="D49" s="229" t="s">
        <v>176</v>
      </c>
      <c r="E49" s="230">
        <f>439900-130000</f>
        <v>309900</v>
      </c>
      <c r="F49" s="210" t="s">
        <v>177</v>
      </c>
      <c r="G49" s="182" t="s">
        <v>62</v>
      </c>
      <c r="H49" s="176"/>
      <c r="I49" s="176" t="s">
        <v>67</v>
      </c>
      <c r="J49" s="57" t="s">
        <v>47</v>
      </c>
      <c r="K49" s="44"/>
    </row>
    <row r="50" ht="14.25" customHeight="1" outlineLevel="1">
      <c r="A50" s="176">
        <v>39</v>
      </c>
      <c r="B50" s="231" t="s">
        <v>57</v>
      </c>
      <c r="C50" s="228" t="s">
        <v>178</v>
      </c>
      <c r="D50" s="229" t="s">
        <v>179</v>
      </c>
      <c r="E50" s="230">
        <v>63502.190000000002</v>
      </c>
      <c r="F50" s="210" t="s">
        <v>180</v>
      </c>
      <c r="G50" s="182" t="s">
        <v>62</v>
      </c>
      <c r="H50" s="176"/>
      <c r="I50" s="176"/>
      <c r="J50" s="57" t="s">
        <v>47</v>
      </c>
      <c r="K50" s="44"/>
    </row>
    <row r="51" ht="14.25" customHeight="1" outlineLevel="1">
      <c r="A51" s="176">
        <v>40</v>
      </c>
      <c r="B51" s="209" t="s">
        <v>83</v>
      </c>
      <c r="C51" s="209" t="s">
        <v>84</v>
      </c>
      <c r="D51" s="232" t="s">
        <v>181</v>
      </c>
      <c r="E51" s="178">
        <v>392745.15999999997</v>
      </c>
      <c r="F51" s="226" t="s">
        <v>182</v>
      </c>
      <c r="G51" s="182" t="s">
        <v>62</v>
      </c>
      <c r="H51" s="42"/>
      <c r="I51" s="42"/>
      <c r="J51" s="57" t="s">
        <v>47</v>
      </c>
      <c r="K51" s="44"/>
    </row>
    <row r="52" ht="14.25" customHeight="1" outlineLevel="1">
      <c r="A52" s="176">
        <v>41</v>
      </c>
      <c r="B52" s="198" t="s">
        <v>83</v>
      </c>
      <c r="C52" s="204" t="s">
        <v>91</v>
      </c>
      <c r="D52" s="205" t="s">
        <v>183</v>
      </c>
      <c r="E52" s="178">
        <v>17600</v>
      </c>
      <c r="F52" s="201" t="s">
        <v>94</v>
      </c>
      <c r="G52" s="182" t="s">
        <v>62</v>
      </c>
      <c r="H52" s="42"/>
      <c r="I52" s="42"/>
      <c r="J52" s="57" t="s">
        <v>47</v>
      </c>
      <c r="K52" s="44"/>
    </row>
    <row r="53" ht="14.25" customHeight="1" outlineLevel="1">
      <c r="A53" s="176">
        <v>42</v>
      </c>
      <c r="B53" s="198" t="s">
        <v>83</v>
      </c>
      <c r="C53" s="204" t="s">
        <v>91</v>
      </c>
      <c r="D53" s="205" t="s">
        <v>184</v>
      </c>
      <c r="E53" s="178">
        <v>76800</v>
      </c>
      <c r="F53" s="201" t="s">
        <v>94</v>
      </c>
      <c r="G53" s="182" t="s">
        <v>62</v>
      </c>
      <c r="H53" s="42"/>
      <c r="I53" s="42"/>
      <c r="J53" s="57" t="s">
        <v>47</v>
      </c>
      <c r="K53" s="44"/>
    </row>
    <row r="54" ht="14.25" customHeight="1" outlineLevel="1">
      <c r="A54" s="176">
        <v>43</v>
      </c>
      <c r="B54" s="198" t="s">
        <v>83</v>
      </c>
      <c r="C54" s="204" t="s">
        <v>91</v>
      </c>
      <c r="D54" s="205" t="s">
        <v>185</v>
      </c>
      <c r="E54" s="178">
        <v>67200</v>
      </c>
      <c r="F54" s="201" t="s">
        <v>94</v>
      </c>
      <c r="G54" s="182" t="s">
        <v>62</v>
      </c>
      <c r="H54" s="42"/>
      <c r="I54" s="42"/>
      <c r="J54" s="57" t="s">
        <v>47</v>
      </c>
      <c r="K54" s="44"/>
    </row>
    <row r="55" ht="14.25" customHeight="1" outlineLevel="1">
      <c r="A55" s="176">
        <v>44</v>
      </c>
      <c r="B55" s="198" t="s">
        <v>83</v>
      </c>
      <c r="C55" s="204" t="s">
        <v>91</v>
      </c>
      <c r="D55" s="205" t="s">
        <v>186</v>
      </c>
      <c r="E55" s="178">
        <v>38000</v>
      </c>
      <c r="F55" s="201" t="s">
        <v>94</v>
      </c>
      <c r="G55" s="182" t="s">
        <v>62</v>
      </c>
      <c r="H55" s="42"/>
      <c r="I55" s="42"/>
      <c r="J55" s="57" t="s">
        <v>47</v>
      </c>
      <c r="K55" s="44"/>
    </row>
    <row r="56" ht="14.25" customHeight="1" outlineLevel="1">
      <c r="A56" s="176">
        <v>45</v>
      </c>
      <c r="B56" s="204" t="s">
        <v>83</v>
      </c>
      <c r="C56" s="204" t="s">
        <v>187</v>
      </c>
      <c r="D56" s="205" t="s">
        <v>188</v>
      </c>
      <c r="E56" s="178">
        <f>599556-100000-100000-150000</f>
        <v>249556</v>
      </c>
      <c r="F56" s="201" t="s">
        <v>189</v>
      </c>
      <c r="G56" s="182" t="s">
        <v>62</v>
      </c>
      <c r="H56" s="42"/>
      <c r="I56" s="42"/>
      <c r="J56" s="57" t="s">
        <v>47</v>
      </c>
      <c r="K56" s="44"/>
    </row>
    <row r="57" ht="14.25" customHeight="1" outlineLevel="1">
      <c r="A57" s="176">
        <v>46</v>
      </c>
      <c r="B57" s="204" t="s">
        <v>83</v>
      </c>
      <c r="C57" s="182" t="s">
        <v>119</v>
      </c>
      <c r="D57" s="205" t="s">
        <v>190</v>
      </c>
      <c r="E57" s="178">
        <v>1455320</v>
      </c>
      <c r="F57" s="201" t="s">
        <v>191</v>
      </c>
      <c r="G57" s="182" t="s">
        <v>62</v>
      </c>
      <c r="H57" s="42"/>
      <c r="I57" s="42"/>
      <c r="J57" s="57" t="s">
        <v>47</v>
      </c>
      <c r="K57" s="44"/>
    </row>
    <row r="58" ht="14.25" customHeight="1" outlineLevel="1">
      <c r="A58" s="176">
        <v>47</v>
      </c>
      <c r="B58" s="204" t="s">
        <v>83</v>
      </c>
      <c r="C58" s="210" t="s">
        <v>132</v>
      </c>
      <c r="D58" s="233" t="s">
        <v>192</v>
      </c>
      <c r="E58" s="234">
        <f>375133.5-100000</f>
        <v>275133.5</v>
      </c>
      <c r="F58" s="235" t="s">
        <v>193</v>
      </c>
      <c r="G58" s="182" t="s">
        <v>62</v>
      </c>
      <c r="H58" s="42"/>
      <c r="I58" s="42"/>
      <c r="J58" s="57" t="s">
        <v>47</v>
      </c>
      <c r="K58" s="44"/>
    </row>
    <row r="59" ht="14.25" customHeight="1" outlineLevel="1">
      <c r="A59" s="176">
        <v>48</v>
      </c>
      <c r="B59" s="204" t="s">
        <v>83</v>
      </c>
      <c r="C59" s="210" t="s">
        <v>132</v>
      </c>
      <c r="D59" s="236" t="s">
        <v>133</v>
      </c>
      <c r="E59" s="178">
        <v>300000</v>
      </c>
      <c r="F59" s="212" t="s">
        <v>135</v>
      </c>
      <c r="G59" s="182" t="s">
        <v>62</v>
      </c>
      <c r="H59" s="42"/>
      <c r="I59" s="42"/>
      <c r="J59" s="57" t="s">
        <v>47</v>
      </c>
      <c r="K59" s="44"/>
    </row>
    <row r="60" ht="14.25" customHeight="1" outlineLevel="1">
      <c r="A60" s="176">
        <v>49</v>
      </c>
      <c r="B60" s="204" t="s">
        <v>83</v>
      </c>
      <c r="C60" s="190" t="s">
        <v>136</v>
      </c>
      <c r="D60" s="237" t="s">
        <v>194</v>
      </c>
      <c r="E60" s="238">
        <f>1016327.94-400000-200000</f>
        <v>416327.93999999994</v>
      </c>
      <c r="F60" s="237" t="s">
        <v>195</v>
      </c>
      <c r="G60" s="182" t="s">
        <v>62</v>
      </c>
      <c r="H60" s="42"/>
      <c r="I60" s="42"/>
      <c r="J60" s="57" t="s">
        <v>47</v>
      </c>
      <c r="K60" s="44"/>
    </row>
    <row r="61" ht="14.25" customHeight="1" outlineLevel="1">
      <c r="A61" s="176">
        <v>50</v>
      </c>
      <c r="B61" s="204" t="s">
        <v>83</v>
      </c>
      <c r="C61" s="190" t="s">
        <v>196</v>
      </c>
      <c r="D61" s="239" t="s">
        <v>197</v>
      </c>
      <c r="E61" s="240">
        <f>257579.6-40000</f>
        <v>217579.60000000001</v>
      </c>
      <c r="F61" s="239" t="s">
        <v>198</v>
      </c>
      <c r="G61" s="182" t="s">
        <v>62</v>
      </c>
      <c r="H61" s="202"/>
      <c r="I61" s="42"/>
      <c r="J61" s="57" t="s">
        <v>47</v>
      </c>
      <c r="K61" s="44"/>
    </row>
    <row r="62" ht="14.25" customHeight="1" outlineLevel="1">
      <c r="A62" s="176">
        <v>51</v>
      </c>
      <c r="B62" s="177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176">
        <v>52</v>
      </c>
      <c r="B63" s="177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176">
        <v>53</v>
      </c>
      <c r="B64" s="177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176">
        <v>73</v>
      </c>
      <c r="B65" s="177"/>
      <c r="C65" s="39"/>
      <c r="D65" s="39"/>
      <c r="E65" s="40"/>
      <c r="F65" s="41"/>
      <c r="G65" s="41"/>
      <c r="H65" s="39"/>
      <c r="I65" s="43"/>
      <c r="J65" s="43"/>
      <c r="K65" s="44"/>
    </row>
    <row r="66" ht="14.25" customHeight="1" outlineLevel="1">
      <c r="A66" s="176">
        <v>74</v>
      </c>
      <c r="B66" s="177"/>
      <c r="C66" s="39"/>
      <c r="D66" s="39"/>
      <c r="E66" s="40"/>
      <c r="F66" s="41"/>
      <c r="G66" s="39"/>
      <c r="H66" s="39"/>
      <c r="I66" s="39"/>
      <c r="J66" s="43"/>
      <c r="K66" s="44"/>
    </row>
    <row r="67" ht="14.25" customHeight="1" outlineLevel="1">
      <c r="A67" s="176">
        <v>75</v>
      </c>
      <c r="B67" s="177"/>
      <c r="C67" s="39"/>
      <c r="D67" s="39"/>
      <c r="E67" s="40"/>
      <c r="F67" s="41"/>
      <c r="G67" s="39"/>
      <c r="H67" s="39"/>
      <c r="I67" s="39"/>
      <c r="J67" s="43"/>
      <c r="K67" s="44"/>
    </row>
    <row r="68" ht="14.25" customHeight="1" outlineLevel="1">
      <c r="A68" s="176">
        <v>76</v>
      </c>
      <c r="B68" s="177"/>
      <c r="C68" s="39"/>
      <c r="D68" s="39"/>
      <c r="E68" s="40"/>
      <c r="F68" s="41"/>
      <c r="G68" s="39"/>
      <c r="H68" s="39"/>
      <c r="I68" s="39"/>
      <c r="J68" s="43"/>
      <c r="K68" s="44"/>
    </row>
    <row r="69" ht="14.25" customHeight="1" outlineLevel="1">
      <c r="A69" s="176">
        <v>77</v>
      </c>
      <c r="B69" s="177"/>
      <c r="C69" s="39"/>
      <c r="D69" s="39"/>
      <c r="E69" s="40"/>
      <c r="F69" s="41"/>
      <c r="G69" s="39"/>
      <c r="H69" s="39"/>
      <c r="I69" s="39"/>
      <c r="J69" s="43"/>
      <c r="K69" s="44"/>
    </row>
    <row r="70" ht="14.25" customHeight="1" outlineLevel="1">
      <c r="A70" s="176">
        <v>78</v>
      </c>
      <c r="B70" s="177"/>
      <c r="C70" s="39"/>
      <c r="D70" s="39"/>
      <c r="E70" s="40"/>
      <c r="F70" s="41"/>
      <c r="G70" s="39"/>
      <c r="H70" s="39"/>
      <c r="I70" s="39"/>
      <c r="J70" s="43"/>
      <c r="K70" s="44"/>
    </row>
    <row r="71" ht="14.25" customHeight="1" outlineLevel="1">
      <c r="A71" s="176">
        <v>79</v>
      </c>
      <c r="B71" s="177"/>
      <c r="C71" s="39"/>
      <c r="D71" s="39"/>
      <c r="E71" s="40"/>
      <c r="F71" s="41"/>
      <c r="G71" s="39"/>
      <c r="H71" s="39"/>
      <c r="I71" s="39"/>
      <c r="J71" s="43"/>
      <c r="K71" s="44"/>
    </row>
    <row r="72" ht="14.25" customHeight="1" outlineLevel="1">
      <c r="A72" s="176">
        <v>80</v>
      </c>
      <c r="B72" s="177"/>
      <c r="C72" s="39"/>
      <c r="D72" s="39"/>
      <c r="E72" s="40"/>
      <c r="F72" s="41"/>
      <c r="G72" s="39"/>
      <c r="H72" s="39"/>
      <c r="I72" s="39"/>
      <c r="J72" s="43"/>
      <c r="K72" s="44"/>
    </row>
    <row r="73" ht="14.25" customHeight="1" outlineLevel="1">
      <c r="A73" s="176">
        <v>81</v>
      </c>
      <c r="B73" s="177"/>
      <c r="C73" s="39"/>
      <c r="D73" s="39"/>
      <c r="E73" s="40"/>
      <c r="F73" s="41"/>
      <c r="G73" s="39"/>
      <c r="H73" s="39"/>
      <c r="I73" s="39"/>
      <c r="J73" s="43"/>
      <c r="K73" s="44"/>
    </row>
    <row r="74" ht="14.25" customHeight="1" outlineLevel="1">
      <c r="A74" s="176">
        <v>82</v>
      </c>
      <c r="B74" s="177"/>
      <c r="C74" s="39"/>
      <c r="D74" s="39"/>
      <c r="E74" s="40"/>
      <c r="F74" s="41"/>
      <c r="G74" s="39"/>
      <c r="H74" s="39"/>
      <c r="I74" s="39"/>
      <c r="J74" s="43"/>
      <c r="K74" s="44"/>
    </row>
    <row r="75" ht="14.25" customHeight="1" outlineLevel="1">
      <c r="A75" s="176">
        <v>83</v>
      </c>
      <c r="B75" s="177"/>
      <c r="C75" s="39"/>
      <c r="D75" s="41"/>
      <c r="E75" s="40"/>
      <c r="F75" s="41"/>
      <c r="G75" s="39"/>
      <c r="H75" s="39"/>
      <c r="I75" s="39"/>
      <c r="J75" s="43"/>
      <c r="K75" s="44"/>
    </row>
    <row r="76" ht="14.25" customHeight="1" outlineLevel="1">
      <c r="A76" s="176">
        <v>84</v>
      </c>
      <c r="B76" s="177"/>
      <c r="C76" s="39"/>
      <c r="D76" s="39"/>
      <c r="E76" s="40"/>
      <c r="F76" s="41"/>
      <c r="G76" s="41"/>
      <c r="H76" s="39"/>
      <c r="I76" s="39"/>
      <c r="J76" s="43"/>
      <c r="K76" s="44"/>
    </row>
    <row r="77" ht="14.25" customHeight="1" outlineLevel="1">
      <c r="A77" s="176">
        <v>85</v>
      </c>
      <c r="B77" s="177"/>
      <c r="C77" s="39"/>
      <c r="D77" s="39"/>
      <c r="E77" s="40"/>
      <c r="F77" s="41"/>
      <c r="G77" s="39"/>
      <c r="H77" s="39"/>
      <c r="I77" s="39"/>
      <c r="J77" s="43"/>
      <c r="K77" s="44"/>
    </row>
    <row r="78" ht="14.25" customHeight="1" outlineLevel="1">
      <c r="A78" s="176">
        <v>86</v>
      </c>
      <c r="B78" s="177"/>
      <c r="C78" s="39"/>
      <c r="D78" s="39"/>
      <c r="E78" s="40"/>
      <c r="F78" s="41"/>
      <c r="G78" s="39"/>
      <c r="H78" s="39"/>
      <c r="I78" s="39"/>
      <c r="J78" s="43"/>
      <c r="K78" s="44"/>
    </row>
    <row r="79" ht="14.25" customHeight="1" outlineLevel="1">
      <c r="A79" s="176">
        <v>87</v>
      </c>
      <c r="B79" s="177"/>
      <c r="C79" s="39"/>
      <c r="D79" s="39"/>
      <c r="E79" s="40"/>
      <c r="F79" s="41"/>
      <c r="G79" s="39"/>
      <c r="H79" s="39"/>
      <c r="I79" s="39"/>
      <c r="J79" s="43"/>
      <c r="K79" s="44"/>
    </row>
    <row r="80" ht="14.25" customHeight="1" outlineLevel="1">
      <c r="A80" s="176">
        <v>88</v>
      </c>
      <c r="B80" s="177"/>
      <c r="C80" s="39"/>
      <c r="D80" s="39"/>
      <c r="E80" s="40"/>
      <c r="F80" s="41"/>
      <c r="G80" s="39"/>
      <c r="H80" s="39"/>
      <c r="I80" s="39"/>
      <c r="J80" s="43"/>
      <c r="K80" s="44"/>
    </row>
    <row r="81" ht="14.25" customHeight="1" outlineLevel="1">
      <c r="A81" s="176">
        <v>89</v>
      </c>
      <c r="B81" s="177"/>
      <c r="C81" s="39"/>
      <c r="D81" s="39"/>
      <c r="E81" s="45"/>
      <c r="F81" s="41"/>
      <c r="G81" s="39"/>
      <c r="H81" s="39"/>
      <c r="I81" s="39"/>
      <c r="J81" s="43"/>
      <c r="K81" s="44"/>
    </row>
    <row r="82" ht="14.25" customHeight="1" outlineLevel="1">
      <c r="A82" s="176">
        <v>90</v>
      </c>
      <c r="B82" s="177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176">
        <v>91</v>
      </c>
      <c r="B83" s="177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176">
        <v>92</v>
      </c>
      <c r="B84" s="177"/>
      <c r="C84" s="39"/>
      <c r="D84" s="39"/>
      <c r="E84" s="40"/>
      <c r="F84" s="39"/>
      <c r="G84" s="39"/>
      <c r="H84" s="39"/>
      <c r="I84" s="39"/>
      <c r="J84" s="43"/>
      <c r="K84" s="44"/>
    </row>
    <row r="85" ht="14.25" customHeight="1" outlineLevel="1">
      <c r="A85" s="176">
        <v>93</v>
      </c>
      <c r="B85" s="241"/>
      <c r="C85" s="46"/>
      <c r="D85" s="46"/>
      <c r="E85" s="47"/>
      <c r="F85" s="48"/>
      <c r="G85" s="46"/>
      <c r="H85" s="46"/>
      <c r="I85" s="39"/>
      <c r="J85" s="43"/>
      <c r="K85" s="44"/>
    </row>
    <row r="86" ht="14.25" customHeight="1" outlineLevel="1">
      <c r="A86" s="176">
        <v>94</v>
      </c>
      <c r="B86" s="177"/>
      <c r="C86" s="39"/>
      <c r="D86" s="41"/>
      <c r="E86" s="40"/>
      <c r="F86" s="41"/>
      <c r="G86" s="39"/>
      <c r="H86" s="39"/>
      <c r="I86" s="39"/>
      <c r="J86" s="43"/>
      <c r="K86" s="44"/>
    </row>
    <row r="87" ht="14.25" customHeight="1" outlineLevel="1">
      <c r="A87" s="176">
        <v>95</v>
      </c>
      <c r="B87" s="177"/>
      <c r="C87" s="39"/>
      <c r="D87" s="41"/>
      <c r="E87" s="40"/>
      <c r="F87" s="41"/>
      <c r="G87" s="39"/>
      <c r="H87" s="39"/>
      <c r="I87" s="39"/>
      <c r="J87" s="43"/>
      <c r="K87" s="44"/>
    </row>
    <row r="88" ht="14.25" customHeight="1" outlineLevel="1">
      <c r="A88" s="176">
        <v>96</v>
      </c>
      <c r="B88" s="177"/>
      <c r="C88" s="39"/>
      <c r="D88" s="39"/>
      <c r="E88" s="45"/>
      <c r="F88" s="41"/>
      <c r="G88" s="39"/>
      <c r="H88" s="39"/>
      <c r="I88" s="39"/>
      <c r="J88" s="43"/>
      <c r="K88" s="44"/>
    </row>
    <row r="89" ht="14.25" customHeight="1" outlineLevel="1">
      <c r="A89" s="176">
        <v>97</v>
      </c>
      <c r="B89" s="242"/>
      <c r="C89" s="49"/>
      <c r="D89" s="49"/>
      <c r="E89" s="45"/>
      <c r="F89" s="50"/>
      <c r="G89" s="49"/>
      <c r="H89" s="49"/>
      <c r="I89" s="49"/>
      <c r="J89" s="43"/>
      <c r="K89" s="44"/>
    </row>
    <row r="90" ht="14.25" customHeight="1" outlineLevel="1">
      <c r="A90" s="176">
        <v>98</v>
      </c>
      <c r="B90" s="177"/>
      <c r="C90" s="39"/>
      <c r="D90" s="39"/>
      <c r="E90" s="45"/>
      <c r="F90" s="41"/>
      <c r="G90" s="51"/>
      <c r="H90" s="51"/>
      <c r="I90" s="52"/>
      <c r="J90" s="43"/>
      <c r="K90" s="44"/>
    </row>
    <row r="91" ht="14.25" customHeight="1" outlineLevel="1">
      <c r="A91" s="176">
        <v>99</v>
      </c>
      <c r="B91" s="177"/>
      <c r="C91" s="39"/>
      <c r="D91" s="39"/>
      <c r="E91" s="45"/>
      <c r="F91" s="41"/>
      <c r="G91" s="41"/>
      <c r="H91" s="39"/>
      <c r="I91" s="39"/>
      <c r="J91" s="43"/>
      <c r="K91" s="44"/>
    </row>
    <row r="92" ht="14.25" customHeight="1" outlineLevel="1">
      <c r="A92" s="176">
        <v>100</v>
      </c>
      <c r="B92" s="177"/>
      <c r="C92" s="39"/>
      <c r="D92" s="39"/>
      <c r="E92" s="45"/>
      <c r="F92" s="41"/>
      <c r="G92" s="41"/>
      <c r="H92" s="39"/>
      <c r="I92" s="39"/>
      <c r="J92" s="43"/>
      <c r="K92" s="44"/>
    </row>
    <row r="93" ht="14.25" customHeight="1" outlineLevel="1">
      <c r="A93" s="176">
        <v>101</v>
      </c>
      <c r="B93" s="243"/>
      <c r="C93" s="53"/>
      <c r="D93" s="53"/>
      <c r="E93" s="54"/>
      <c r="F93" s="55"/>
      <c r="G93" s="53"/>
      <c r="H93" s="53"/>
      <c r="I93" s="42"/>
      <c r="J93" s="43"/>
      <c r="K93" s="44"/>
    </row>
    <row r="94" ht="14.25" customHeight="1" outlineLevel="1">
      <c r="A94" s="176">
        <v>102</v>
      </c>
      <c r="B94" s="244"/>
      <c r="C94" s="56"/>
      <c r="D94" s="56"/>
      <c r="E94" s="54"/>
      <c r="F94" s="55"/>
      <c r="G94" s="53"/>
      <c r="H94" s="53"/>
      <c r="I94" s="42"/>
      <c r="J94" s="57"/>
      <c r="K94" s="58"/>
    </row>
    <row r="95" ht="14.25" customHeight="1" outlineLevel="1">
      <c r="A95" s="176">
        <v>103</v>
      </c>
      <c r="B95" s="244"/>
      <c r="C95" s="56"/>
      <c r="D95" s="56"/>
      <c r="E95" s="54"/>
      <c r="F95" s="55"/>
      <c r="G95" s="53"/>
      <c r="H95" s="53"/>
      <c r="I95" s="42"/>
      <c r="J95" s="57"/>
      <c r="K95" s="58"/>
    </row>
    <row r="96" ht="14.25" customHeight="1" outlineLevel="1">
      <c r="A96" s="176">
        <v>104</v>
      </c>
      <c r="B96" s="244"/>
      <c r="C96" s="56"/>
      <c r="D96" s="56"/>
      <c r="E96" s="54"/>
      <c r="F96" s="55"/>
      <c r="G96" s="53"/>
      <c r="H96" s="53"/>
      <c r="I96" s="42"/>
      <c r="J96" s="57"/>
      <c r="K96" s="58"/>
    </row>
    <row r="97" ht="14.25" customHeight="1" outlineLevel="1">
      <c r="A97" s="176">
        <v>105</v>
      </c>
      <c r="B97" s="244"/>
      <c r="C97" s="56"/>
      <c r="D97" s="56"/>
      <c r="E97" s="54"/>
      <c r="F97" s="55"/>
      <c r="G97" s="53"/>
      <c r="H97" s="53"/>
      <c r="I97" s="42"/>
      <c r="J97" s="57"/>
      <c r="K97" s="58"/>
    </row>
    <row r="98" ht="14.25" customHeight="1" outlineLevel="1">
      <c r="A98" s="176">
        <v>106</v>
      </c>
      <c r="B98" s="245"/>
      <c r="C98" s="59"/>
      <c r="D98" s="59"/>
      <c r="E98" s="60"/>
      <c r="F98" s="61"/>
      <c r="G98" s="59"/>
      <c r="H98" s="59"/>
      <c r="I98" s="59"/>
      <c r="J98" s="57"/>
      <c r="K98" s="58"/>
    </row>
    <row r="99" ht="14.25" customHeight="1" outlineLevel="1">
      <c r="A99" s="176">
        <v>107</v>
      </c>
      <c r="B99" s="245"/>
      <c r="C99" s="59"/>
      <c r="D99" s="59"/>
      <c r="E99" s="60"/>
      <c r="F99" s="61"/>
      <c r="G99" s="59"/>
      <c r="H99" s="59"/>
      <c r="I99" s="59"/>
      <c r="J99" s="57"/>
      <c r="K99" s="58"/>
    </row>
    <row r="100" ht="14.25" customHeight="1" outlineLevel="1">
      <c r="A100" s="176">
        <v>108</v>
      </c>
      <c r="B100" s="245"/>
      <c r="C100" s="59"/>
      <c r="D100" s="59"/>
      <c r="E100" s="60"/>
      <c r="F100" s="61"/>
      <c r="G100" s="61"/>
      <c r="H100" s="59"/>
      <c r="I100" s="59"/>
      <c r="J100" s="57"/>
      <c r="K100" s="58"/>
    </row>
    <row r="101" ht="14.25" customHeight="1" outlineLevel="1">
      <c r="A101" s="176">
        <v>109</v>
      </c>
      <c r="B101" s="245"/>
      <c r="C101" s="59"/>
      <c r="D101" s="59"/>
      <c r="E101" s="60"/>
      <c r="F101" s="61"/>
      <c r="G101" s="61"/>
      <c r="H101" s="59"/>
      <c r="I101" s="59"/>
      <c r="J101" s="57"/>
      <c r="K101" s="58"/>
    </row>
    <row r="102" ht="14.25" customHeight="1" outlineLevel="1">
      <c r="A102" s="176">
        <v>110</v>
      </c>
      <c r="B102" s="245"/>
      <c r="C102" s="59"/>
      <c r="D102" s="59"/>
      <c r="E102" s="60"/>
      <c r="F102" s="61"/>
      <c r="G102" s="61"/>
      <c r="H102" s="59"/>
      <c r="I102" s="59"/>
      <c r="J102" s="57"/>
      <c r="K102" s="58"/>
    </row>
    <row r="103" ht="14.25" customHeight="1" outlineLevel="1">
      <c r="A103" s="176">
        <v>111</v>
      </c>
      <c r="B103" s="245"/>
      <c r="C103" s="59"/>
      <c r="D103" s="59"/>
      <c r="E103" s="60"/>
      <c r="F103" s="61"/>
      <c r="G103" s="61"/>
      <c r="H103" s="59"/>
      <c r="I103" s="59"/>
      <c r="J103" s="57"/>
      <c r="K103" s="58"/>
    </row>
    <row r="104" ht="14.25" customHeight="1" outlineLevel="1">
      <c r="A104" s="176">
        <v>112</v>
      </c>
      <c r="B104" s="245"/>
      <c r="C104" s="59"/>
      <c r="D104" s="59"/>
      <c r="E104" s="60"/>
      <c r="F104" s="61"/>
      <c r="G104" s="61"/>
      <c r="H104" s="59"/>
      <c r="I104" s="59"/>
      <c r="J104" s="57"/>
      <c r="K104" s="58"/>
    </row>
    <row r="105" s="21" customFormat="1" ht="18.75" customHeight="1" outlineLevel="1">
      <c r="A105" s="246"/>
      <c r="B105" s="172" t="s">
        <v>18</v>
      </c>
      <c r="C105" s="173"/>
      <c r="D105" s="174"/>
      <c r="E105" s="175"/>
      <c r="F105" s="172"/>
      <c r="G105" s="172"/>
      <c r="H105" s="172"/>
      <c r="I105" s="23"/>
      <c r="J105" s="172"/>
      <c r="K105" s="247"/>
    </row>
    <row r="106" ht="14.25" customHeight="1" outlineLevel="1">
      <c r="A106" s="248">
        <v>1</v>
      </c>
      <c r="B106" s="249" t="s">
        <v>199</v>
      </c>
      <c r="C106" s="249" t="s">
        <v>200</v>
      </c>
      <c r="D106" s="249" t="s">
        <v>201</v>
      </c>
      <c r="E106" s="250" t="s">
        <v>202</v>
      </c>
      <c r="F106" s="251" t="s">
        <v>203</v>
      </c>
      <c r="G106" s="182" t="s">
        <v>62</v>
      </c>
      <c r="H106" s="252"/>
      <c r="I106" s="59"/>
      <c r="J106" s="57"/>
      <c r="K106" s="58"/>
    </row>
    <row r="107" ht="14.25" customHeight="1" outlineLevel="1">
      <c r="A107" s="68">
        <v>3</v>
      </c>
      <c r="B107" s="253" t="s">
        <v>204</v>
      </c>
      <c r="C107" s="253" t="s">
        <v>205</v>
      </c>
      <c r="D107" s="253" t="s">
        <v>206</v>
      </c>
      <c r="E107" s="254" t="s">
        <v>207</v>
      </c>
      <c r="F107" s="255" t="s">
        <v>208</v>
      </c>
      <c r="G107" s="182" t="s">
        <v>62</v>
      </c>
      <c r="H107" s="245"/>
      <c r="I107" s="59"/>
      <c r="J107" s="57"/>
      <c r="K107" s="58"/>
    </row>
    <row r="108" ht="14.25" customHeight="1" outlineLevel="1">
      <c r="A108" s="256">
        <v>4</v>
      </c>
      <c r="B108" s="257" t="s">
        <v>209</v>
      </c>
      <c r="C108" s="257" t="s">
        <v>210</v>
      </c>
      <c r="D108" s="258" t="s">
        <v>211</v>
      </c>
      <c r="E108" s="259">
        <v>100000</v>
      </c>
      <c r="F108" s="260" t="s">
        <v>212</v>
      </c>
      <c r="G108" s="204" t="s">
        <v>62</v>
      </c>
      <c r="H108" s="245"/>
      <c r="I108" s="59"/>
      <c r="J108" s="57" t="s">
        <v>47</v>
      </c>
      <c r="K108" s="58"/>
    </row>
    <row r="109" ht="14.25" customHeight="1" outlineLevel="1">
      <c r="A109" s="68">
        <v>5</v>
      </c>
      <c r="B109" s="107" t="s">
        <v>209</v>
      </c>
      <c r="C109" s="107" t="s">
        <v>213</v>
      </c>
      <c r="D109" s="106" t="s">
        <v>214</v>
      </c>
      <c r="E109" s="261">
        <f>150000-60000-25000</f>
        <v>65000</v>
      </c>
      <c r="F109" s="262" t="s">
        <v>215</v>
      </c>
      <c r="G109" s="204" t="s">
        <v>62</v>
      </c>
      <c r="H109" s="245"/>
      <c r="I109" s="59"/>
      <c r="J109" s="57" t="s">
        <v>47</v>
      </c>
      <c r="K109" s="58"/>
    </row>
    <row r="110" ht="14.25" customHeight="1" outlineLevel="1">
      <c r="A110" s="68">
        <v>6</v>
      </c>
      <c r="B110" s="107" t="s">
        <v>209</v>
      </c>
      <c r="C110" s="107" t="s">
        <v>216</v>
      </c>
      <c r="D110" s="106" t="s">
        <v>217</v>
      </c>
      <c r="E110" s="261">
        <v>40000</v>
      </c>
      <c r="F110" s="263" t="s">
        <v>218</v>
      </c>
      <c r="G110" s="204" t="s">
        <v>62</v>
      </c>
      <c r="H110" s="245"/>
      <c r="I110" s="59"/>
      <c r="J110" s="57" t="s">
        <v>47</v>
      </c>
      <c r="K110" s="58"/>
    </row>
    <row r="111" ht="14.25" customHeight="1" outlineLevel="1">
      <c r="A111" s="68">
        <v>7</v>
      </c>
      <c r="B111" s="249" t="s">
        <v>199</v>
      </c>
      <c r="C111" s="249" t="s">
        <v>200</v>
      </c>
      <c r="D111" s="249" t="s">
        <v>201</v>
      </c>
      <c r="E111" s="264">
        <v>20000</v>
      </c>
      <c r="F111" s="265" t="s">
        <v>203</v>
      </c>
      <c r="G111" s="204" t="s">
        <v>62</v>
      </c>
      <c r="H111" s="59"/>
      <c r="I111" s="59"/>
      <c r="J111" s="57" t="s">
        <v>47</v>
      </c>
      <c r="K111" s="58"/>
    </row>
    <row r="112" ht="14.25" customHeight="1" outlineLevel="1">
      <c r="A112" s="68">
        <v>8</v>
      </c>
      <c r="B112" s="191" t="s">
        <v>199</v>
      </c>
      <c r="C112" s="191" t="s">
        <v>219</v>
      </c>
      <c r="D112" s="191" t="s">
        <v>220</v>
      </c>
      <c r="E112" s="266">
        <f>464100-232000</f>
        <v>232100</v>
      </c>
      <c r="F112" s="267" t="s">
        <v>221</v>
      </c>
      <c r="G112" s="182" t="s">
        <v>62</v>
      </c>
      <c r="H112" s="59"/>
      <c r="I112" s="59"/>
      <c r="J112" s="57" t="s">
        <v>47</v>
      </c>
      <c r="K112" s="58"/>
    </row>
    <row r="113" ht="14.25" customHeight="1" outlineLevel="1">
      <c r="A113" s="68">
        <v>10</v>
      </c>
      <c r="B113" s="59"/>
      <c r="C113" s="59"/>
      <c r="D113" s="59"/>
      <c r="E113" s="268"/>
      <c r="F113" s="61"/>
      <c r="G113" s="59"/>
      <c r="H113" s="59"/>
      <c r="I113" s="59"/>
      <c r="J113" s="57"/>
      <c r="K113" s="58"/>
    </row>
    <row r="114" ht="14.25" customHeight="1" outlineLevel="1">
      <c r="A114" s="68">
        <v>11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68">
        <v>12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68">
        <v>13</v>
      </c>
      <c r="B116" s="59"/>
      <c r="C116" s="59"/>
      <c r="D116" s="59"/>
      <c r="E116" s="60"/>
      <c r="F116" s="61"/>
      <c r="G116" s="59"/>
      <c r="H116" s="59"/>
      <c r="I116" s="59"/>
      <c r="J116" s="57"/>
      <c r="K116" s="58"/>
    </row>
    <row r="117" ht="14.25" customHeight="1" outlineLevel="1">
      <c r="A117" s="68">
        <v>14</v>
      </c>
      <c r="B117" s="59"/>
      <c r="C117" s="59"/>
      <c r="D117" s="59"/>
      <c r="E117" s="60"/>
      <c r="F117" s="61"/>
      <c r="G117" s="59"/>
      <c r="H117" s="59"/>
      <c r="I117" s="59"/>
      <c r="J117" s="57"/>
      <c r="K117" s="58"/>
    </row>
    <row r="118" ht="14.25" customHeight="1" outlineLevel="1">
      <c r="A118" s="68">
        <v>15</v>
      </c>
      <c r="B118" s="59"/>
      <c r="C118" s="59"/>
      <c r="D118" s="59"/>
      <c r="E118" s="60"/>
      <c r="F118" s="61"/>
      <c r="G118" s="59"/>
      <c r="H118" s="59"/>
      <c r="I118" s="59"/>
      <c r="J118" s="57"/>
      <c r="K118" s="58"/>
    </row>
    <row r="119" ht="14.25" customHeight="1" outlineLevel="1">
      <c r="A119" s="68">
        <v>16</v>
      </c>
      <c r="B119" s="59"/>
      <c r="C119" s="59"/>
      <c r="D119" s="59"/>
      <c r="E119" s="60"/>
      <c r="F119" s="61"/>
      <c r="G119" s="59"/>
      <c r="H119" s="59"/>
      <c r="I119" s="59"/>
      <c r="J119" s="57"/>
      <c r="K119" s="58"/>
    </row>
    <row r="120" ht="14.25" customHeight="1" outlineLevel="1">
      <c r="A120" s="68">
        <v>17</v>
      </c>
      <c r="B120" s="59"/>
      <c r="C120" s="59"/>
      <c r="D120" s="59"/>
      <c r="E120" s="60"/>
      <c r="F120" s="61"/>
      <c r="G120" s="59"/>
      <c r="H120" s="59"/>
      <c r="I120" s="59"/>
      <c r="J120" s="57"/>
      <c r="K120" s="58"/>
    </row>
    <row r="121" ht="14.25" customHeight="1" outlineLevel="1">
      <c r="A121" s="68">
        <v>18</v>
      </c>
      <c r="B121" s="59"/>
      <c r="C121" s="59"/>
      <c r="D121" s="59"/>
      <c r="E121" s="60"/>
      <c r="F121" s="61"/>
      <c r="G121" s="59"/>
      <c r="H121" s="59"/>
      <c r="I121" s="59"/>
      <c r="J121" s="57"/>
      <c r="K121" s="58"/>
    </row>
    <row r="122" ht="14.25" customHeight="1" outlineLevel="1">
      <c r="A122" s="68">
        <v>19</v>
      </c>
      <c r="B122" s="59"/>
      <c r="C122" s="59"/>
      <c r="D122" s="59"/>
      <c r="E122" s="60"/>
      <c r="F122" s="61"/>
      <c r="G122" s="59"/>
      <c r="H122" s="59"/>
      <c r="I122" s="59"/>
      <c r="J122" s="57"/>
      <c r="K122" s="58"/>
    </row>
    <row r="123" ht="14.25" customHeight="1" outlineLevel="1">
      <c r="A123" s="69">
        <v>20</v>
      </c>
      <c r="B123" s="70"/>
      <c r="C123" s="70"/>
      <c r="D123" s="70"/>
      <c r="E123" s="71"/>
      <c r="F123" s="72"/>
      <c r="G123" s="70"/>
      <c r="H123" s="70"/>
      <c r="I123" s="70"/>
      <c r="J123" s="73"/>
      <c r="K123" s="74"/>
    </row>
    <row r="124" s="21" customFormat="1" ht="18.75" customHeight="1" outlineLevel="1">
      <c r="A124" s="171"/>
      <c r="B124" s="172" t="s">
        <v>19</v>
      </c>
      <c r="C124" s="173"/>
      <c r="D124" s="174"/>
      <c r="E124" s="175"/>
      <c r="F124" s="172"/>
      <c r="G124" s="23"/>
      <c r="H124" s="23"/>
      <c r="I124" s="23"/>
      <c r="J124" s="23"/>
      <c r="K124" s="27"/>
    </row>
    <row r="125" ht="24.75" customHeight="1" outlineLevel="1">
      <c r="A125" s="191">
        <v>1</v>
      </c>
      <c r="B125" s="269" t="s">
        <v>222</v>
      </c>
      <c r="C125" s="270" t="s">
        <v>223</v>
      </c>
      <c r="D125" s="270" t="s">
        <v>224</v>
      </c>
      <c r="E125" s="271">
        <v>51000</v>
      </c>
      <c r="F125" s="272" t="s">
        <v>225</v>
      </c>
      <c r="G125" s="273"/>
      <c r="H125" s="102"/>
      <c r="I125" s="102"/>
      <c r="J125" s="274" t="s">
        <v>47</v>
      </c>
      <c r="K125" s="275"/>
    </row>
    <row r="126" ht="14.25" customHeight="1" outlineLevel="1">
      <c r="A126" s="191">
        <v>2</v>
      </c>
      <c r="B126" s="276" t="s">
        <v>222</v>
      </c>
      <c r="C126" s="270" t="s">
        <v>223</v>
      </c>
      <c r="D126" s="270" t="s">
        <v>224</v>
      </c>
      <c r="E126" s="271">
        <v>117000</v>
      </c>
      <c r="F126" s="267" t="s">
        <v>226</v>
      </c>
      <c r="G126" s="191"/>
      <c r="H126" s="191"/>
      <c r="I126" s="191"/>
      <c r="J126" s="277" t="s">
        <v>47</v>
      </c>
      <c r="K126" s="277"/>
    </row>
    <row r="127" ht="14.25" customHeight="1" outlineLevel="1">
      <c r="A127" s="191">
        <v>3</v>
      </c>
      <c r="B127" s="278" t="s">
        <v>153</v>
      </c>
      <c r="C127" s="279" t="s">
        <v>223</v>
      </c>
      <c r="D127" s="279" t="s">
        <v>227</v>
      </c>
      <c r="E127" s="280">
        <v>383717</v>
      </c>
      <c r="F127" s="281" t="s">
        <v>228</v>
      </c>
      <c r="G127" s="191"/>
      <c r="H127" s="191"/>
      <c r="I127" s="191" t="s">
        <v>229</v>
      </c>
      <c r="J127" s="277" t="s">
        <v>47</v>
      </c>
      <c r="K127" s="282" t="s">
        <v>230</v>
      </c>
    </row>
    <row r="128" ht="14.25" customHeight="1" outlineLevel="1">
      <c r="A128" s="191">
        <v>4</v>
      </c>
      <c r="B128" s="278" t="s">
        <v>153</v>
      </c>
      <c r="C128" s="269" t="s">
        <v>223</v>
      </c>
      <c r="D128" s="283" t="s">
        <v>227</v>
      </c>
      <c r="E128" s="284">
        <v>1000000</v>
      </c>
      <c r="F128" s="281" t="s">
        <v>228</v>
      </c>
      <c r="G128" s="191"/>
      <c r="H128" s="191"/>
      <c r="I128" s="191" t="s">
        <v>231</v>
      </c>
      <c r="J128" s="277" t="s">
        <v>47</v>
      </c>
      <c r="K128" s="282"/>
    </row>
    <row r="129" ht="14.25" customHeight="1" outlineLevel="1">
      <c r="A129" s="191">
        <v>5</v>
      </c>
      <c r="B129" s="278" t="s">
        <v>153</v>
      </c>
      <c r="C129" s="276" t="s">
        <v>223</v>
      </c>
      <c r="D129" s="276" t="s">
        <v>227</v>
      </c>
      <c r="E129" s="284">
        <v>3936</v>
      </c>
      <c r="F129" s="281" t="s">
        <v>228</v>
      </c>
      <c r="G129" s="191"/>
      <c r="H129" s="191"/>
      <c r="I129" s="191" t="s">
        <v>232</v>
      </c>
      <c r="J129" s="277" t="s">
        <v>47</v>
      </c>
      <c r="K129" s="282"/>
    </row>
    <row r="130" ht="14.25" customHeight="1" outlineLevel="1">
      <c r="A130" s="191">
        <v>6</v>
      </c>
      <c r="B130" s="285" t="s">
        <v>153</v>
      </c>
      <c r="C130" s="286" t="s">
        <v>233</v>
      </c>
      <c r="D130" s="287" t="s">
        <v>234</v>
      </c>
      <c r="E130" s="288">
        <v>53577</v>
      </c>
      <c r="F130" s="61" t="s">
        <v>235</v>
      </c>
      <c r="G130" s="59"/>
      <c r="H130" s="59" t="s">
        <v>141</v>
      </c>
      <c r="I130" s="191"/>
      <c r="J130" s="277" t="s">
        <v>47</v>
      </c>
      <c r="K130" s="282"/>
    </row>
    <row r="131" ht="14.25" customHeight="1" outlineLevel="1">
      <c r="A131" s="191">
        <v>7</v>
      </c>
      <c r="B131" s="289" t="s">
        <v>222</v>
      </c>
      <c r="C131" s="290" t="s">
        <v>223</v>
      </c>
      <c r="D131" s="290" t="s">
        <v>227</v>
      </c>
      <c r="E131" s="291">
        <v>330000</v>
      </c>
      <c r="F131" s="292" t="s">
        <v>236</v>
      </c>
      <c r="G131" s="59"/>
      <c r="H131" s="59"/>
      <c r="I131" s="191"/>
      <c r="J131" s="277" t="s">
        <v>47</v>
      </c>
      <c r="K131" s="282"/>
    </row>
    <row r="132" ht="14.25" customHeight="1" outlineLevel="1">
      <c r="A132" s="191">
        <v>8</v>
      </c>
      <c r="B132" s="245" t="s">
        <v>237</v>
      </c>
      <c r="C132" s="293" t="s">
        <v>238</v>
      </c>
      <c r="D132" s="293" t="s">
        <v>239</v>
      </c>
      <c r="E132" s="294">
        <v>55000</v>
      </c>
      <c r="F132" s="61" t="s">
        <v>240</v>
      </c>
      <c r="G132" s="59"/>
      <c r="H132" s="59"/>
      <c r="I132" s="191"/>
      <c r="J132" s="277" t="s">
        <v>47</v>
      </c>
      <c r="K132" s="282"/>
    </row>
    <row r="133" ht="14.25" customHeight="1" outlineLevel="1">
      <c r="A133" s="191">
        <v>9</v>
      </c>
      <c r="B133" s="295" t="s">
        <v>153</v>
      </c>
      <c r="C133" s="270" t="s">
        <v>223</v>
      </c>
      <c r="D133" s="296" t="s">
        <v>224</v>
      </c>
      <c r="E133" s="297">
        <v>321049</v>
      </c>
      <c r="F133" s="61" t="s">
        <v>228</v>
      </c>
      <c r="G133" s="59"/>
      <c r="H133" s="59"/>
      <c r="I133" s="191" t="s">
        <v>241</v>
      </c>
      <c r="J133" s="277" t="s">
        <v>47</v>
      </c>
      <c r="K133" s="282"/>
    </row>
    <row r="134" ht="14.25" customHeight="1" outlineLevel="1">
      <c r="A134" s="191">
        <v>10</v>
      </c>
      <c r="B134" s="278" t="s">
        <v>153</v>
      </c>
      <c r="C134" s="279" t="s">
        <v>223</v>
      </c>
      <c r="D134" s="283" t="s">
        <v>227</v>
      </c>
      <c r="E134" s="298" t="s">
        <v>242</v>
      </c>
      <c r="F134" s="281" t="s">
        <v>228</v>
      </c>
      <c r="G134" s="191"/>
      <c r="H134" s="191"/>
      <c r="I134" s="191" t="s">
        <v>231</v>
      </c>
      <c r="J134" s="277"/>
      <c r="K134" s="282" t="s">
        <v>230</v>
      </c>
    </row>
    <row r="135" ht="14.25" customHeight="1" outlineLevel="1">
      <c r="A135" s="191">
        <v>11</v>
      </c>
      <c r="B135" s="299" t="s">
        <v>153</v>
      </c>
      <c r="C135" s="300" t="s">
        <v>243</v>
      </c>
      <c r="D135" s="61" t="s">
        <v>244</v>
      </c>
      <c r="E135" s="301" t="s">
        <v>245</v>
      </c>
      <c r="F135" s="61" t="s">
        <v>246</v>
      </c>
      <c r="G135" s="99"/>
      <c r="H135" s="99" t="s">
        <v>141</v>
      </c>
      <c r="I135" s="99"/>
      <c r="J135" s="302"/>
      <c r="K135" s="303"/>
    </row>
    <row r="136" ht="14.25" outlineLevel="1">
      <c r="A136" s="191">
        <v>12</v>
      </c>
      <c r="B136" s="285" t="s">
        <v>153</v>
      </c>
      <c r="C136" s="286" t="s">
        <v>233</v>
      </c>
      <c r="D136" s="252" t="s">
        <v>247</v>
      </c>
      <c r="E136" s="298" t="s">
        <v>248</v>
      </c>
      <c r="F136" s="61" t="s">
        <v>249</v>
      </c>
      <c r="G136" s="59"/>
      <c r="H136" s="59" t="s">
        <v>141</v>
      </c>
      <c r="I136" s="59"/>
      <c r="J136" s="57"/>
      <c r="K136" s="58"/>
    </row>
    <row r="137" ht="14.25" customHeight="1" outlineLevel="1">
      <c r="A137" s="191"/>
      <c r="B137" s="245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191"/>
      <c r="B138" s="244"/>
      <c r="C138" s="56"/>
      <c r="D138" s="56"/>
      <c r="E138" s="78"/>
      <c r="F138" s="79"/>
      <c r="G138" s="56"/>
      <c r="H138" s="56"/>
      <c r="I138" s="56"/>
      <c r="J138" s="80"/>
      <c r="K138" s="81"/>
    </row>
    <row r="139" s="21" customFormat="1" ht="18.75" customHeight="1" outlineLevel="1">
      <c r="A139" s="246"/>
      <c r="B139" s="23" t="s">
        <v>20</v>
      </c>
      <c r="C139" s="24"/>
      <c r="D139" s="25"/>
      <c r="E139" s="26"/>
      <c r="F139" s="23"/>
      <c r="G139" s="23"/>
      <c r="H139" s="23"/>
      <c r="I139" s="23"/>
      <c r="J139" s="23"/>
      <c r="K139" s="27"/>
    </row>
    <row r="140" ht="36" customHeight="1" outlineLevel="1">
      <c r="A140" s="68">
        <v>1</v>
      </c>
      <c r="B140" s="304" t="s">
        <v>45</v>
      </c>
      <c r="C140" s="166" t="s">
        <v>250</v>
      </c>
      <c r="D140" s="166"/>
      <c r="E140" s="305">
        <v>2000000</v>
      </c>
      <c r="F140" s="306" t="s">
        <v>251</v>
      </c>
      <c r="G140" s="166" t="s">
        <v>252</v>
      </c>
      <c r="H140" s="63"/>
      <c r="I140" s="63"/>
      <c r="J140" s="66" t="s">
        <v>47</v>
      </c>
      <c r="K140" s="67"/>
    </row>
    <row r="141" ht="62.25" customHeight="1" outlineLevel="1">
      <c r="A141" s="256">
        <v>2</v>
      </c>
      <c r="B141" s="307" t="s">
        <v>45</v>
      </c>
      <c r="C141" s="308" t="s">
        <v>253</v>
      </c>
      <c r="D141" s="223"/>
      <c r="E141" s="224">
        <v>1000000</v>
      </c>
      <c r="F141" s="225" t="s">
        <v>254</v>
      </c>
      <c r="G141" s="223" t="s">
        <v>255</v>
      </c>
      <c r="H141" s="59"/>
      <c r="I141" s="59"/>
      <c r="J141" s="57" t="s">
        <v>47</v>
      </c>
      <c r="K141" s="58"/>
    </row>
    <row r="142" ht="48" customHeight="1" outlineLevel="1">
      <c r="A142" s="68">
        <v>3</v>
      </c>
      <c r="B142" s="309" t="s">
        <v>45</v>
      </c>
      <c r="C142" s="310" t="s">
        <v>256</v>
      </c>
      <c r="D142" s="310"/>
      <c r="E142" s="311">
        <v>1500000</v>
      </c>
      <c r="F142" s="312" t="s">
        <v>257</v>
      </c>
      <c r="G142" s="310"/>
      <c r="H142" s="56"/>
      <c r="I142" s="56"/>
      <c r="J142" s="80" t="s">
        <v>47</v>
      </c>
      <c r="K142" s="81"/>
    </row>
    <row r="143" ht="14.25" customHeight="1" outlineLevel="1">
      <c r="A143" s="68">
        <v>4</v>
      </c>
      <c r="B143" s="56"/>
      <c r="C143" s="56"/>
      <c r="D143" s="56"/>
      <c r="E143" s="78"/>
      <c r="F143" s="79"/>
      <c r="G143" s="56"/>
      <c r="H143" s="56"/>
      <c r="I143" s="56"/>
      <c r="J143" s="80"/>
      <c r="K143" s="81"/>
    </row>
    <row r="144" ht="14.25" customHeight="1" outlineLevel="1">
      <c r="A144" s="68">
        <v>5</v>
      </c>
      <c r="B144" s="56"/>
      <c r="C144" s="56"/>
      <c r="D144" s="56"/>
      <c r="E144" s="78"/>
      <c r="F144" s="79"/>
      <c r="G144" s="56"/>
      <c r="H144" s="56"/>
      <c r="I144" s="56"/>
      <c r="J144" s="80"/>
      <c r="K144" s="81"/>
    </row>
    <row r="145" ht="14.25" customHeight="1" outlineLevel="1">
      <c r="A145" s="68">
        <v>6</v>
      </c>
      <c r="B145" s="70"/>
      <c r="C145" s="70"/>
      <c r="D145" s="70"/>
      <c r="E145" s="71"/>
      <c r="F145" s="72"/>
      <c r="G145" s="70"/>
      <c r="H145" s="70"/>
      <c r="I145" s="70"/>
      <c r="J145" s="73"/>
      <c r="K145" s="74"/>
    </row>
    <row r="146" s="21" customFormat="1" ht="23.25" customHeight="1">
      <c r="A146" s="82" t="s">
        <v>21</v>
      </c>
      <c r="B146" s="83"/>
      <c r="C146" s="83"/>
      <c r="D146" s="84"/>
      <c r="E146" s="85">
        <f>SUM(E12:E145)</f>
        <v>12597343.649999999</v>
      </c>
    </row>
    <row r="147" s="21" customFormat="1" ht="23.25" customHeight="1">
      <c r="A147" s="82" t="s">
        <v>22</v>
      </c>
      <c r="B147" s="83"/>
      <c r="C147" s="83"/>
      <c r="D147" s="84"/>
      <c r="E147" s="85">
        <f>E4-E146</f>
        <v>174048.19000000134</v>
      </c>
      <c r="F147" s="86"/>
    </row>
    <row r="148" ht="27.75" customHeight="1">
      <c r="E148" s="1"/>
    </row>
    <row r="149" ht="29.25" customHeight="1">
      <c r="A149" s="9" t="s">
        <v>23</v>
      </c>
      <c r="B149" s="10"/>
      <c r="C149" s="10"/>
      <c r="D149" s="11"/>
      <c r="E149" s="12">
        <f>SUM(E150:E151)</f>
        <v>798866.39000000001</v>
      </c>
      <c r="F149" s="163" t="s">
        <v>44</v>
      </c>
      <c r="G149" s="13"/>
      <c r="H149" s="13"/>
      <c r="I149" s="13"/>
    </row>
    <row r="150" ht="15" customHeight="1">
      <c r="A150" s="14"/>
      <c r="B150" s="15"/>
      <c r="C150" s="15"/>
      <c r="D150" s="16"/>
      <c r="E150" s="17"/>
      <c r="F150" s="13"/>
      <c r="G150" s="13"/>
      <c r="H150" s="13"/>
      <c r="I150" s="13"/>
      <c r="J150" s="1"/>
      <c r="K150" s="1"/>
    </row>
    <row r="151" ht="15" customHeight="1">
      <c r="A151" s="14" t="s">
        <v>24</v>
      </c>
      <c r="B151" s="15"/>
      <c r="C151" s="15"/>
      <c r="D151" s="16"/>
      <c r="E151" s="17">
        <v>798866.39000000001</v>
      </c>
      <c r="F151" s="313" t="s">
        <v>258</v>
      </c>
      <c r="G151" s="13"/>
      <c r="H151" s="13"/>
      <c r="I151" s="13"/>
    </row>
    <row r="152" ht="6" customHeight="1">
      <c r="A152" s="13"/>
      <c r="B152" s="13"/>
      <c r="C152" s="13"/>
      <c r="D152" s="13"/>
      <c r="E152" s="13"/>
      <c r="F152" s="13"/>
      <c r="G152" s="13"/>
      <c r="H152" s="13"/>
      <c r="I152" s="13"/>
    </row>
    <row r="153" ht="26.25" customHeight="1" outlineLevel="1">
      <c r="A153" s="87" t="s">
        <v>6</v>
      </c>
      <c r="B153" s="87" t="s">
        <v>7</v>
      </c>
      <c r="C153" s="87" t="s">
        <v>8</v>
      </c>
      <c r="D153" s="87" t="s">
        <v>9</v>
      </c>
      <c r="E153" s="88" t="s">
        <v>10</v>
      </c>
      <c r="F153" s="87" t="s">
        <v>11</v>
      </c>
      <c r="G153" s="87" t="s">
        <v>12</v>
      </c>
      <c r="H153" s="89" t="s">
        <v>13</v>
      </c>
      <c r="I153" s="87" t="s">
        <v>14</v>
      </c>
      <c r="J153" s="87" t="s">
        <v>15</v>
      </c>
      <c r="K153" s="87" t="s">
        <v>16</v>
      </c>
    </row>
    <row r="154" s="21" customFormat="1" ht="20.25" customHeight="1" outlineLevel="1">
      <c r="A154" s="22"/>
      <c r="B154" s="23" t="s">
        <v>25</v>
      </c>
      <c r="C154" s="24"/>
      <c r="D154" s="25"/>
      <c r="E154" s="26"/>
      <c r="F154" s="23"/>
      <c r="G154" s="23"/>
      <c r="H154" s="23"/>
      <c r="I154" s="23"/>
      <c r="J154" s="23"/>
      <c r="K154" s="27"/>
    </row>
    <row r="155" ht="14.25" customHeight="1" outlineLevel="1">
      <c r="A155" s="62">
        <v>1</v>
      </c>
      <c r="B155" s="39" t="s">
        <v>259</v>
      </c>
      <c r="C155" s="39" t="s">
        <v>260</v>
      </c>
      <c r="D155" s="39" t="s">
        <v>261</v>
      </c>
      <c r="E155" s="211" t="s">
        <v>262</v>
      </c>
      <c r="F155" s="41" t="s">
        <v>263</v>
      </c>
      <c r="G155" s="39"/>
      <c r="H155" s="42"/>
      <c r="I155" s="59"/>
      <c r="J155" s="66"/>
      <c r="K155" s="67"/>
    </row>
    <row r="156" ht="14.25" customHeight="1" outlineLevel="1">
      <c r="A156" s="68">
        <v>2</v>
      </c>
      <c r="B156" s="39" t="s">
        <v>259</v>
      </c>
      <c r="C156" s="39" t="s">
        <v>260</v>
      </c>
      <c r="D156" s="39" t="s">
        <v>264</v>
      </c>
      <c r="E156" s="211" t="s">
        <v>265</v>
      </c>
      <c r="F156" s="41" t="s">
        <v>266</v>
      </c>
      <c r="G156" s="39"/>
      <c r="H156" s="42"/>
      <c r="I156" s="59"/>
      <c r="J156" s="57"/>
      <c r="K156" s="58"/>
    </row>
    <row r="157" ht="14.25" customHeight="1" outlineLevel="1">
      <c r="A157" s="68">
        <v>3</v>
      </c>
      <c r="B157" s="39" t="s">
        <v>259</v>
      </c>
      <c r="C157" s="39" t="s">
        <v>267</v>
      </c>
      <c r="D157" s="39" t="s">
        <v>268</v>
      </c>
      <c r="E157" s="211" t="s">
        <v>269</v>
      </c>
      <c r="F157" s="41" t="s">
        <v>270</v>
      </c>
      <c r="G157" s="39"/>
      <c r="H157" s="42"/>
      <c r="I157" s="59"/>
      <c r="J157" s="57"/>
      <c r="K157" s="58"/>
    </row>
    <row r="158" ht="14.25" customHeight="1" outlineLevel="1">
      <c r="A158" s="68">
        <v>4</v>
      </c>
      <c r="B158" s="39" t="s">
        <v>259</v>
      </c>
      <c r="C158" s="39" t="s">
        <v>109</v>
      </c>
      <c r="D158" s="39" t="s">
        <v>271</v>
      </c>
      <c r="E158" s="314" t="s">
        <v>272</v>
      </c>
      <c r="F158" s="315" t="s">
        <v>273</v>
      </c>
      <c r="G158" s="177"/>
      <c r="H158" s="42"/>
      <c r="I158" s="59"/>
      <c r="J158" s="57"/>
      <c r="K158" s="58"/>
    </row>
    <row r="159" ht="14.25" customHeight="1" outlineLevel="1">
      <c r="A159" s="68">
        <v>5</v>
      </c>
      <c r="B159" s="185" t="s">
        <v>274</v>
      </c>
      <c r="C159" s="39" t="s">
        <v>275</v>
      </c>
      <c r="D159" s="185" t="s">
        <v>276</v>
      </c>
      <c r="E159" s="314" t="s">
        <v>277</v>
      </c>
      <c r="F159" s="316" t="s">
        <v>278</v>
      </c>
      <c r="G159" s="177"/>
      <c r="H159" s="42"/>
      <c r="I159" s="59"/>
      <c r="J159" s="57"/>
      <c r="K159" s="58"/>
    </row>
    <row r="160" ht="14.25" customHeight="1" outlineLevel="1">
      <c r="A160" s="68">
        <v>6</v>
      </c>
      <c r="B160" s="317" t="s">
        <v>279</v>
      </c>
      <c r="C160" s="318" t="s">
        <v>136</v>
      </c>
      <c r="D160" s="319" t="s">
        <v>280</v>
      </c>
      <c r="E160" s="320" t="s">
        <v>281</v>
      </c>
      <c r="F160" s="319" t="s">
        <v>282</v>
      </c>
      <c r="G160" s="177"/>
      <c r="H160" s="42"/>
      <c r="I160" s="59"/>
      <c r="J160" s="57"/>
      <c r="K160" s="58"/>
    </row>
    <row r="161" ht="14.25" customHeight="1" outlineLevel="1">
      <c r="A161" s="68">
        <v>7</v>
      </c>
      <c r="B161" s="321" t="s">
        <v>283</v>
      </c>
      <c r="C161" s="318" t="s">
        <v>284</v>
      </c>
      <c r="D161" s="322" t="s">
        <v>285</v>
      </c>
      <c r="E161" s="320" t="s">
        <v>286</v>
      </c>
      <c r="F161" s="322" t="s">
        <v>287</v>
      </c>
      <c r="G161" s="177"/>
      <c r="H161" s="42"/>
      <c r="I161" s="59"/>
      <c r="J161" s="57"/>
      <c r="K161" s="58"/>
    </row>
    <row r="162" ht="14.25" customHeight="1" outlineLevel="1">
      <c r="A162" s="68">
        <v>8</v>
      </c>
      <c r="B162" s="185" t="s">
        <v>259</v>
      </c>
      <c r="C162" s="185" t="s">
        <v>288</v>
      </c>
      <c r="D162" s="323" t="s">
        <v>289</v>
      </c>
      <c r="E162" s="324" t="s">
        <v>277</v>
      </c>
      <c r="F162" s="316" t="s">
        <v>290</v>
      </c>
      <c r="G162" s="177"/>
      <c r="H162" s="42"/>
      <c r="I162" s="59"/>
      <c r="J162" s="57"/>
      <c r="K162" s="58"/>
    </row>
    <row r="163" ht="14.25" customHeight="1" outlineLevel="1">
      <c r="A163" s="68">
        <v>9</v>
      </c>
      <c r="B163" s="210" t="s">
        <v>259</v>
      </c>
      <c r="C163" s="210" t="s">
        <v>288</v>
      </c>
      <c r="D163" s="210" t="s">
        <v>291</v>
      </c>
      <c r="E163" s="325" t="s">
        <v>277</v>
      </c>
      <c r="F163" s="228" t="s">
        <v>292</v>
      </c>
      <c r="G163" s="177"/>
      <c r="H163" s="42"/>
      <c r="I163" s="59"/>
      <c r="J163" s="57"/>
      <c r="K163" s="58"/>
    </row>
    <row r="164" ht="14.25" customHeight="1" outlineLevel="1">
      <c r="A164" s="68">
        <v>10</v>
      </c>
      <c r="B164" s="210" t="s">
        <v>259</v>
      </c>
      <c r="C164" s="210" t="s">
        <v>288</v>
      </c>
      <c r="D164" s="228" t="s">
        <v>293</v>
      </c>
      <c r="E164" s="326" t="s">
        <v>277</v>
      </c>
      <c r="F164" s="228" t="s">
        <v>294</v>
      </c>
      <c r="G164" s="177"/>
      <c r="H164" s="42"/>
      <c r="I164" s="59"/>
      <c r="J164" s="57"/>
      <c r="K164" s="58"/>
    </row>
    <row r="165" ht="14.25" customHeight="1" outlineLevel="1">
      <c r="A165" s="68">
        <v>11</v>
      </c>
      <c r="B165" s="210" t="s">
        <v>259</v>
      </c>
      <c r="C165" s="210" t="s">
        <v>288</v>
      </c>
      <c r="D165" s="228" t="s">
        <v>295</v>
      </c>
      <c r="E165" s="326" t="s">
        <v>277</v>
      </c>
      <c r="F165" s="228" t="s">
        <v>296</v>
      </c>
      <c r="G165" s="177"/>
      <c r="H165" s="42"/>
      <c r="I165" s="59"/>
      <c r="J165" s="57"/>
      <c r="K165" s="58"/>
    </row>
    <row r="166" ht="14.25" customHeight="1" outlineLevel="1">
      <c r="A166" s="68">
        <v>12</v>
      </c>
      <c r="B166" s="327" t="s">
        <v>259</v>
      </c>
      <c r="C166" s="210" t="s">
        <v>288</v>
      </c>
      <c r="D166" s="228" t="s">
        <v>297</v>
      </c>
      <c r="E166" s="326" t="s">
        <v>277</v>
      </c>
      <c r="F166" s="228" t="s">
        <v>298</v>
      </c>
      <c r="G166" s="177"/>
      <c r="H166" s="42"/>
      <c r="I166" s="59"/>
      <c r="J166" s="57"/>
      <c r="K166" s="58"/>
    </row>
    <row r="167" ht="14.25" customHeight="1" outlineLevel="1">
      <c r="A167" s="68">
        <v>13</v>
      </c>
      <c r="B167" s="328" t="s">
        <v>259</v>
      </c>
      <c r="C167" s="329" t="s">
        <v>275</v>
      </c>
      <c r="D167" s="330" t="s">
        <v>299</v>
      </c>
      <c r="E167" s="331" t="s">
        <v>277</v>
      </c>
      <c r="F167" s="330" t="s">
        <v>300</v>
      </c>
      <c r="G167" s="177"/>
      <c r="H167" s="42"/>
      <c r="I167" s="59"/>
      <c r="J167" s="57"/>
      <c r="K167" s="58"/>
    </row>
    <row r="168" ht="14.25" customHeight="1" outlineLevel="1">
      <c r="A168" s="68">
        <v>14</v>
      </c>
      <c r="B168" s="39" t="s">
        <v>259</v>
      </c>
      <c r="C168" s="42" t="s">
        <v>275</v>
      </c>
      <c r="D168" s="94" t="s">
        <v>301</v>
      </c>
      <c r="E168" s="332" t="s">
        <v>277</v>
      </c>
      <c r="F168" s="333" t="s">
        <v>302</v>
      </c>
      <c r="G168" s="177"/>
      <c r="H168" s="42"/>
      <c r="I168" s="59"/>
      <c r="J168" s="57"/>
      <c r="K168" s="58"/>
    </row>
    <row r="169" ht="14.25" customHeight="1" outlineLevel="1">
      <c r="A169" s="68">
        <v>15</v>
      </c>
      <c r="B169" s="39" t="s">
        <v>259</v>
      </c>
      <c r="C169" s="39" t="s">
        <v>303</v>
      </c>
      <c r="D169" s="39" t="s">
        <v>304</v>
      </c>
      <c r="E169" s="314" t="s">
        <v>305</v>
      </c>
      <c r="F169" s="315" t="s">
        <v>306</v>
      </c>
      <c r="G169" s="177"/>
      <c r="H169" s="42"/>
      <c r="I169" s="59"/>
      <c r="J169" s="57"/>
      <c r="K169" s="58"/>
    </row>
    <row r="170" ht="14.25" customHeight="1" outlineLevel="1">
      <c r="A170" s="68">
        <v>16</v>
      </c>
      <c r="B170" s="39" t="s">
        <v>283</v>
      </c>
      <c r="C170" s="39" t="s">
        <v>307</v>
      </c>
      <c r="D170" s="41" t="s">
        <v>308</v>
      </c>
      <c r="E170" s="314" t="s">
        <v>309</v>
      </c>
      <c r="F170" s="315" t="s">
        <v>310</v>
      </c>
      <c r="G170" s="177"/>
      <c r="H170" s="42"/>
      <c r="I170" s="59"/>
      <c r="J170" s="57"/>
      <c r="K170" s="58"/>
    </row>
    <row r="171" ht="14.25" customHeight="1" outlineLevel="1">
      <c r="A171" s="68">
        <v>17</v>
      </c>
      <c r="B171" s="39" t="s">
        <v>279</v>
      </c>
      <c r="C171" s="334" t="s">
        <v>136</v>
      </c>
      <c r="D171" s="335" t="s">
        <v>311</v>
      </c>
      <c r="E171" s="324" t="s">
        <v>312</v>
      </c>
      <c r="F171" s="336" t="s">
        <v>313</v>
      </c>
      <c r="G171" s="177"/>
      <c r="H171" s="42"/>
      <c r="I171" s="59"/>
      <c r="J171" s="57"/>
      <c r="K171" s="58"/>
    </row>
    <row r="172" ht="14.25" customHeight="1" outlineLevel="1">
      <c r="A172" s="68">
        <v>18</v>
      </c>
      <c r="B172" s="42" t="s">
        <v>259</v>
      </c>
      <c r="C172" s="42" t="s">
        <v>260</v>
      </c>
      <c r="D172" s="94" t="s">
        <v>314</v>
      </c>
      <c r="E172" s="332" t="s">
        <v>315</v>
      </c>
      <c r="F172" s="333" t="s">
        <v>316</v>
      </c>
      <c r="G172" s="216"/>
      <c r="H172" s="42"/>
      <c r="I172" s="59"/>
      <c r="J172" s="57"/>
      <c r="K172" s="58"/>
    </row>
    <row r="173" ht="14.25" customHeight="1" outlineLevel="1">
      <c r="A173" s="68">
        <v>19</v>
      </c>
      <c r="B173" s="42" t="s">
        <v>259</v>
      </c>
      <c r="C173" s="42" t="s">
        <v>267</v>
      </c>
      <c r="D173" s="94" t="s">
        <v>317</v>
      </c>
      <c r="E173" s="332" t="s">
        <v>318</v>
      </c>
      <c r="F173" s="333" t="s">
        <v>319</v>
      </c>
      <c r="G173" s="216"/>
      <c r="H173" s="42"/>
      <c r="I173" s="59"/>
      <c r="J173" s="57"/>
      <c r="K173" s="58"/>
    </row>
    <row r="174" ht="14.25" customHeight="1" outlineLevel="1">
      <c r="A174" s="68">
        <v>20</v>
      </c>
      <c r="B174" s="39" t="s">
        <v>320</v>
      </c>
      <c r="C174" s="39" t="s">
        <v>321</v>
      </c>
      <c r="D174" s="41" t="s">
        <v>322</v>
      </c>
      <c r="E174" s="314" t="s">
        <v>323</v>
      </c>
      <c r="F174" s="315" t="s">
        <v>324</v>
      </c>
      <c r="G174" s="216"/>
      <c r="H174" s="42"/>
      <c r="I174" s="59"/>
      <c r="J174" s="57"/>
      <c r="K174" s="58"/>
    </row>
    <row r="175" ht="14.25" customHeight="1" outlineLevel="1">
      <c r="A175" s="68">
        <v>21</v>
      </c>
      <c r="B175" s="59" t="s">
        <v>259</v>
      </c>
      <c r="C175" s="59" t="s">
        <v>325</v>
      </c>
      <c r="D175" s="61" t="s">
        <v>326</v>
      </c>
      <c r="E175" s="332" t="s">
        <v>327</v>
      </c>
      <c r="F175" s="337" t="s">
        <v>328</v>
      </c>
      <c r="G175" s="216"/>
      <c r="H175" s="42"/>
      <c r="I175" s="59"/>
      <c r="J175" s="57"/>
      <c r="K175" s="58"/>
    </row>
    <row r="176" ht="14.25" customHeight="1" outlineLevel="1">
      <c r="A176" s="68">
        <v>22</v>
      </c>
      <c r="B176" s="39" t="s">
        <v>259</v>
      </c>
      <c r="C176" s="39" t="s">
        <v>329</v>
      </c>
      <c r="D176" s="41" t="s">
        <v>330</v>
      </c>
      <c r="E176" s="211" t="s">
        <v>331</v>
      </c>
      <c r="F176" s="41" t="s">
        <v>332</v>
      </c>
      <c r="G176" s="42"/>
      <c r="H176" s="42"/>
      <c r="I176" s="59"/>
      <c r="J176" s="57"/>
      <c r="K176" s="58"/>
    </row>
    <row r="177" ht="14.25" customHeight="1" outlineLevel="1">
      <c r="A177" s="68">
        <v>23</v>
      </c>
      <c r="B177" s="39" t="s">
        <v>259</v>
      </c>
      <c r="C177" s="39" t="s">
        <v>329</v>
      </c>
      <c r="D177" s="41" t="s">
        <v>333</v>
      </c>
      <c r="E177" s="314" t="s">
        <v>334</v>
      </c>
      <c r="F177" s="315" t="s">
        <v>335</v>
      </c>
      <c r="G177" s="216"/>
      <c r="H177" s="42"/>
      <c r="I177" s="59"/>
      <c r="J177" s="57"/>
      <c r="K177" s="58"/>
    </row>
    <row r="178" ht="14.25" customHeight="1" outlineLevel="1">
      <c r="A178" s="68">
        <v>24</v>
      </c>
      <c r="B178" s="39" t="s">
        <v>283</v>
      </c>
      <c r="C178" s="39" t="s">
        <v>336</v>
      </c>
      <c r="D178" s="41" t="s">
        <v>308</v>
      </c>
      <c r="E178" s="314" t="s">
        <v>337</v>
      </c>
      <c r="F178" s="315" t="s">
        <v>338</v>
      </c>
      <c r="G178" s="216"/>
      <c r="H178" s="42"/>
      <c r="I178" s="59"/>
      <c r="J178" s="57"/>
      <c r="K178" s="58"/>
    </row>
    <row r="179" ht="14.25" customHeight="1" outlineLevel="1">
      <c r="A179" s="68">
        <v>25</v>
      </c>
      <c r="B179" s="95" t="s">
        <v>283</v>
      </c>
      <c r="C179" s="95" t="s">
        <v>336</v>
      </c>
      <c r="D179" s="95" t="s">
        <v>339</v>
      </c>
      <c r="E179" s="338" t="s">
        <v>340</v>
      </c>
      <c r="F179" s="315" t="s">
        <v>341</v>
      </c>
      <c r="G179" s="243"/>
      <c r="H179" s="95"/>
      <c r="I179" s="98"/>
      <c r="J179" s="57"/>
      <c r="K179" s="58"/>
    </row>
    <row r="180" ht="14.25" customHeight="1" outlineLevel="1">
      <c r="A180" s="68">
        <v>26</v>
      </c>
      <c r="B180" s="42" t="s">
        <v>57</v>
      </c>
      <c r="C180" s="42" t="s">
        <v>342</v>
      </c>
      <c r="D180" s="42" t="s">
        <v>343</v>
      </c>
      <c r="E180" s="224">
        <v>9476</v>
      </c>
      <c r="F180" s="339" t="s">
        <v>344</v>
      </c>
      <c r="G180" s="182" t="s">
        <v>62</v>
      </c>
      <c r="H180" s="340"/>
      <c r="I180" s="98"/>
      <c r="J180" s="57" t="s">
        <v>47</v>
      </c>
      <c r="K180" s="58"/>
    </row>
    <row r="181" ht="14.25" customHeight="1" outlineLevel="1">
      <c r="A181" s="68">
        <v>27</v>
      </c>
      <c r="B181" s="95" t="s">
        <v>345</v>
      </c>
      <c r="C181" s="95" t="s">
        <v>346</v>
      </c>
      <c r="D181" s="95" t="s">
        <v>347</v>
      </c>
      <c r="E181" s="341">
        <v>2880</v>
      </c>
      <c r="F181" s="342" t="s">
        <v>348</v>
      </c>
      <c r="G181" s="182" t="s">
        <v>62</v>
      </c>
      <c r="H181" s="340"/>
      <c r="I181" s="98"/>
      <c r="J181" s="57" t="s">
        <v>47</v>
      </c>
      <c r="K181" s="58"/>
    </row>
    <row r="182" ht="14.25" customHeight="1" outlineLevel="1">
      <c r="A182" s="68">
        <v>28</v>
      </c>
      <c r="B182" s="95" t="s">
        <v>283</v>
      </c>
      <c r="C182" s="95" t="s">
        <v>336</v>
      </c>
      <c r="D182" s="95" t="s">
        <v>339</v>
      </c>
      <c r="E182" s="343">
        <v>375000</v>
      </c>
      <c r="F182" s="315" t="s">
        <v>341</v>
      </c>
      <c r="G182" s="182" t="s">
        <v>62</v>
      </c>
      <c r="H182" s="344"/>
      <c r="I182" s="98"/>
      <c r="J182" s="57" t="s">
        <v>47</v>
      </c>
      <c r="K182" s="58"/>
    </row>
    <row r="183" ht="14.25" customHeight="1" outlineLevel="1">
      <c r="A183" s="68">
        <v>29</v>
      </c>
      <c r="B183" s="99" t="s">
        <v>57</v>
      </c>
      <c r="C183" s="99" t="s">
        <v>349</v>
      </c>
      <c r="D183" s="99" t="s">
        <v>350</v>
      </c>
      <c r="E183" s="341">
        <v>26742</v>
      </c>
      <c r="F183" s="345" t="s">
        <v>351</v>
      </c>
      <c r="G183" s="182" t="s">
        <v>62</v>
      </c>
      <c r="H183" s="344"/>
      <c r="I183" s="98"/>
      <c r="J183" s="57" t="s">
        <v>47</v>
      </c>
      <c r="K183" s="58"/>
    </row>
    <row r="184" ht="14.25" customHeight="1" outlineLevel="1">
      <c r="A184" s="68">
        <v>30</v>
      </c>
      <c r="B184" s="39" t="s">
        <v>320</v>
      </c>
      <c r="C184" s="334" t="s">
        <v>352</v>
      </c>
      <c r="D184" s="335" t="s">
        <v>353</v>
      </c>
      <c r="E184" s="341">
        <v>63000</v>
      </c>
      <c r="F184" s="336" t="s">
        <v>354</v>
      </c>
      <c r="G184" s="182" t="s">
        <v>62</v>
      </c>
      <c r="H184" s="344"/>
      <c r="I184" s="98"/>
      <c r="J184" s="57" t="s">
        <v>47</v>
      </c>
      <c r="K184" s="58"/>
    </row>
    <row r="185" s="21" customFormat="1" ht="20.25" customHeight="1" outlineLevel="1">
      <c r="A185" s="22"/>
      <c r="B185" s="23" t="s">
        <v>26</v>
      </c>
      <c r="C185" s="24"/>
      <c r="D185" s="25"/>
      <c r="E185" s="26"/>
      <c r="F185" s="23"/>
      <c r="G185" s="346"/>
      <c r="H185" s="23"/>
      <c r="I185" s="23"/>
      <c r="J185" s="23"/>
      <c r="K185" s="27"/>
    </row>
    <row r="186" s="347" customFormat="1" ht="28.5" outlineLevel="1">
      <c r="A186" s="348">
        <v>1</v>
      </c>
      <c r="B186" s="349" t="s">
        <v>209</v>
      </c>
      <c r="C186" s="349" t="s">
        <v>355</v>
      </c>
      <c r="D186" s="349" t="s">
        <v>356</v>
      </c>
      <c r="E186" s="350">
        <v>1500</v>
      </c>
      <c r="F186" s="351" t="s">
        <v>357</v>
      </c>
      <c r="G186" s="182" t="s">
        <v>62</v>
      </c>
      <c r="H186" s="352"/>
      <c r="I186" s="353"/>
      <c r="J186" s="354" t="s">
        <v>47</v>
      </c>
      <c r="K186" s="355"/>
    </row>
    <row r="187" ht="14.25" customHeight="1" outlineLevel="1">
      <c r="A187" s="68">
        <v>2</v>
      </c>
      <c r="B187" s="99" t="s">
        <v>283</v>
      </c>
      <c r="C187" s="99" t="s">
        <v>147</v>
      </c>
      <c r="D187" s="356"/>
      <c r="E187" s="357">
        <v>20000</v>
      </c>
      <c r="F187" s="287" t="s">
        <v>358</v>
      </c>
      <c r="G187" s="99"/>
      <c r="H187" s="59"/>
      <c r="I187" s="59"/>
      <c r="J187" s="57" t="s">
        <v>47</v>
      </c>
      <c r="K187" s="58"/>
    </row>
    <row r="188" ht="14.25" customHeight="1" outlineLevel="1">
      <c r="A188" s="68">
        <v>3</v>
      </c>
      <c r="B188" s="56"/>
      <c r="C188" s="56"/>
      <c r="D188" s="56"/>
      <c r="E188" s="358"/>
      <c r="F188" s="79"/>
      <c r="G188" s="59"/>
      <c r="H188" s="59"/>
      <c r="I188" s="59"/>
      <c r="J188" s="57"/>
      <c r="K188" s="58"/>
    </row>
    <row r="189" ht="14.25" customHeight="1" outlineLevel="1">
      <c r="A189" s="68">
        <v>4</v>
      </c>
      <c r="B189" s="59"/>
      <c r="C189" s="59"/>
      <c r="D189" s="59"/>
      <c r="E189" s="60"/>
      <c r="F189" s="61"/>
      <c r="G189" s="59"/>
      <c r="H189" s="59"/>
      <c r="I189" s="59"/>
      <c r="J189" s="57"/>
      <c r="K189" s="58"/>
    </row>
    <row r="190" ht="14.25" customHeight="1" outlineLevel="1">
      <c r="A190" s="69">
        <v>5</v>
      </c>
      <c r="B190" s="70"/>
      <c r="C190" s="70"/>
      <c r="D190" s="70"/>
      <c r="E190" s="71"/>
      <c r="F190" s="72"/>
      <c r="G190" s="70"/>
      <c r="H190" s="70"/>
      <c r="I190" s="70"/>
      <c r="J190" s="73"/>
      <c r="K190" s="74"/>
    </row>
    <row r="191" s="21" customFormat="1" ht="20.25" customHeight="1" outlineLevel="1">
      <c r="A191" s="22"/>
      <c r="B191" s="23" t="s">
        <v>19</v>
      </c>
      <c r="C191" s="24"/>
      <c r="D191" s="25"/>
      <c r="E191" s="26"/>
      <c r="F191" s="23"/>
      <c r="G191" s="23"/>
      <c r="H191" s="23"/>
      <c r="I191" s="23"/>
      <c r="J191" s="23"/>
      <c r="K191" s="27"/>
    </row>
    <row r="192" ht="14.25" customHeight="1" outlineLevel="1">
      <c r="A192" s="62">
        <v>1</v>
      </c>
      <c r="B192" s="99" t="s">
        <v>153</v>
      </c>
      <c r="C192" s="99" t="s">
        <v>359</v>
      </c>
      <c r="D192" s="65" t="s">
        <v>360</v>
      </c>
      <c r="E192" s="359">
        <v>720</v>
      </c>
      <c r="F192" s="65" t="s">
        <v>361</v>
      </c>
      <c r="G192" s="102"/>
      <c r="H192" s="102"/>
      <c r="I192" s="56"/>
      <c r="J192" s="274" t="s">
        <v>47</v>
      </c>
      <c r="K192" s="67"/>
    </row>
    <row r="193" ht="21.75" customHeight="1" outlineLevel="1">
      <c r="A193" s="68">
        <v>2</v>
      </c>
      <c r="B193" s="360" t="s">
        <v>222</v>
      </c>
      <c r="C193" s="361" t="s">
        <v>223</v>
      </c>
      <c r="D193" s="362" t="s">
        <v>224</v>
      </c>
      <c r="E193" s="264">
        <v>71000</v>
      </c>
      <c r="F193" s="363" t="s">
        <v>362</v>
      </c>
      <c r="G193" s="191"/>
      <c r="H193" s="191"/>
      <c r="I193" s="191"/>
      <c r="J193" s="277" t="s">
        <v>47</v>
      </c>
      <c r="K193" s="364"/>
    </row>
    <row r="194" ht="14.25" customHeight="1" outlineLevel="1">
      <c r="A194" s="68">
        <v>3</v>
      </c>
      <c r="B194" s="365" t="s">
        <v>237</v>
      </c>
      <c r="C194" s="366" t="s">
        <v>223</v>
      </c>
      <c r="D194" s="366" t="s">
        <v>227</v>
      </c>
      <c r="E194" s="367" t="s">
        <v>363</v>
      </c>
      <c r="F194" s="41" t="s">
        <v>364</v>
      </c>
      <c r="G194" s="99"/>
      <c r="H194" s="99"/>
      <c r="I194" s="99" t="s">
        <v>365</v>
      </c>
      <c r="J194" s="302"/>
      <c r="K194" s="58"/>
    </row>
    <row r="195" ht="14.25" customHeight="1" outlineLevel="1">
      <c r="A195" s="68">
        <v>4</v>
      </c>
      <c r="B195" s="59"/>
      <c r="C195" s="99"/>
      <c r="D195" s="99"/>
      <c r="E195" s="60"/>
      <c r="F195" s="61"/>
      <c r="G195" s="59"/>
      <c r="H195" s="59"/>
      <c r="I195" s="59"/>
      <c r="J195" s="57"/>
      <c r="K195" s="58"/>
    </row>
    <row r="196" ht="14.25" customHeight="1" outlineLevel="1">
      <c r="A196" s="69">
        <v>5</v>
      </c>
      <c r="B196" s="70"/>
      <c r="C196" s="70"/>
      <c r="D196" s="70"/>
      <c r="E196" s="71"/>
      <c r="F196" s="72"/>
      <c r="G196" s="70"/>
      <c r="H196" s="70"/>
      <c r="I196" s="70"/>
      <c r="J196" s="73"/>
      <c r="K196" s="74"/>
    </row>
    <row r="197" s="21" customFormat="1" ht="23.25" customHeight="1">
      <c r="A197" s="82" t="s">
        <v>27</v>
      </c>
      <c r="B197" s="83"/>
      <c r="C197" s="83"/>
      <c r="D197" s="103"/>
      <c r="E197" s="104">
        <f>SUM(E154:E196)</f>
        <v>570318</v>
      </c>
    </row>
    <row r="198" s="21" customFormat="1" ht="23.25" customHeight="1">
      <c r="A198" s="82" t="s">
        <v>22</v>
      </c>
      <c r="B198" s="83"/>
      <c r="C198" s="83"/>
      <c r="D198" s="103"/>
      <c r="E198" s="104">
        <f>E149-E197</f>
        <v>228548.39000000001</v>
      </c>
      <c r="F198" s="86"/>
    </row>
    <row r="199" ht="28.5" customHeight="1">
      <c r="E199" s="1"/>
    </row>
    <row r="200" ht="30.75" customHeight="1">
      <c r="A200" s="9" t="s">
        <v>28</v>
      </c>
      <c r="B200" s="10"/>
      <c r="C200" s="10"/>
      <c r="D200" s="11"/>
      <c r="E200" s="12">
        <f>SUM(E201:E201)</f>
        <v>3372</v>
      </c>
      <c r="F200" s="163" t="s">
        <v>44</v>
      </c>
      <c r="G200" s="13"/>
      <c r="H200" s="13"/>
      <c r="I200" s="13"/>
    </row>
    <row r="201" ht="15" customHeight="1">
      <c r="A201" s="105" t="s">
        <v>29</v>
      </c>
      <c r="B201" s="15"/>
      <c r="C201" s="15"/>
      <c r="D201" s="16"/>
      <c r="E201" s="17">
        <v>3372</v>
      </c>
      <c r="F201" s="13"/>
      <c r="G201" s="13"/>
      <c r="H201" s="13"/>
      <c r="I201" s="13"/>
    </row>
    <row r="202" ht="5.25" customHeight="1">
      <c r="A202" s="13"/>
      <c r="B202" s="13"/>
      <c r="C202" s="13"/>
      <c r="D202" s="13"/>
      <c r="E202" s="13"/>
      <c r="F202" s="13"/>
      <c r="G202" s="13"/>
      <c r="H202" s="13"/>
      <c r="I202" s="13"/>
    </row>
    <row r="203" ht="25.5" customHeight="1" outlineLevel="1">
      <c r="A203" s="87" t="s">
        <v>6</v>
      </c>
      <c r="B203" s="87" t="s">
        <v>7</v>
      </c>
      <c r="C203" s="87" t="s">
        <v>8</v>
      </c>
      <c r="D203" s="87" t="s">
        <v>9</v>
      </c>
      <c r="E203" s="88" t="s">
        <v>10</v>
      </c>
      <c r="F203" s="87" t="s">
        <v>11</v>
      </c>
      <c r="G203" s="87" t="s">
        <v>12</v>
      </c>
      <c r="H203" s="89" t="s">
        <v>13</v>
      </c>
      <c r="I203" s="87" t="s">
        <v>14</v>
      </c>
      <c r="J203" s="87" t="s">
        <v>15</v>
      </c>
      <c r="K203" s="87" t="s">
        <v>16</v>
      </c>
    </row>
    <row r="204" s="21" customFormat="1" ht="18.75" customHeight="1" outlineLevel="1">
      <c r="A204" s="22"/>
      <c r="B204" s="23" t="s">
        <v>30</v>
      </c>
      <c r="C204" s="24"/>
      <c r="D204" s="25"/>
      <c r="E204" s="26"/>
      <c r="F204" s="23"/>
      <c r="G204" s="23"/>
      <c r="H204" s="23"/>
      <c r="I204" s="23"/>
      <c r="J204" s="23"/>
      <c r="K204" s="27"/>
    </row>
    <row r="205" ht="14.25" customHeight="1" outlineLevel="1">
      <c r="A205" s="62">
        <v>1</v>
      </c>
      <c r="B205" s="63"/>
      <c r="C205" s="63"/>
      <c r="D205" s="63"/>
      <c r="E205" s="64"/>
      <c r="F205" s="65"/>
      <c r="G205" s="63"/>
      <c r="H205" s="63"/>
      <c r="I205" s="63"/>
      <c r="J205" s="66"/>
      <c r="K205" s="67"/>
    </row>
    <row r="206" ht="14.25" customHeight="1" outlineLevel="1">
      <c r="A206" s="68">
        <v>2</v>
      </c>
      <c r="B206" s="59"/>
      <c r="C206" s="59"/>
      <c r="D206" s="59"/>
      <c r="E206" s="60"/>
      <c r="F206" s="61"/>
      <c r="G206" s="59"/>
      <c r="H206" s="59"/>
      <c r="I206" s="59"/>
      <c r="J206" s="57"/>
      <c r="K206" s="58"/>
    </row>
    <row r="207" ht="14.25" customHeight="1" outlineLevel="1">
      <c r="A207" s="68">
        <v>3</v>
      </c>
      <c r="B207" s="59"/>
      <c r="C207" s="59"/>
      <c r="D207" s="59"/>
      <c r="E207" s="60"/>
      <c r="F207" s="61"/>
      <c r="G207" s="59"/>
      <c r="H207" s="59"/>
      <c r="I207" s="59"/>
      <c r="J207" s="57"/>
      <c r="K207" s="58"/>
    </row>
    <row r="208" ht="14.25" customHeight="1" outlineLevel="1">
      <c r="A208" s="68">
        <v>4</v>
      </c>
      <c r="B208" s="59"/>
      <c r="C208" s="59"/>
      <c r="D208" s="59"/>
      <c r="E208" s="60"/>
      <c r="F208" s="61"/>
      <c r="G208" s="59"/>
      <c r="H208" s="59"/>
      <c r="I208" s="59"/>
      <c r="J208" s="57"/>
      <c r="K208" s="58"/>
    </row>
    <row r="209" ht="14.25" customHeight="1" outlineLevel="1">
      <c r="A209" s="68">
        <v>5</v>
      </c>
      <c r="B209" s="59"/>
      <c r="C209" s="59"/>
      <c r="D209" s="59"/>
      <c r="E209" s="60"/>
      <c r="F209" s="61"/>
      <c r="G209" s="59"/>
      <c r="H209" s="59"/>
      <c r="I209" s="59"/>
      <c r="J209" s="57"/>
      <c r="K209" s="58"/>
    </row>
    <row r="210" ht="14.25" customHeight="1" outlineLevel="1">
      <c r="A210" s="68">
        <v>6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7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5.75" customHeight="1" outlineLevel="1">
      <c r="A212" s="68">
        <v>8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5.75" customHeight="1" outlineLevel="1">
      <c r="A213" s="68">
        <v>9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5.75" customHeight="1" outlineLevel="1">
      <c r="A214" s="68">
        <v>10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5.75" customHeight="1" outlineLevel="1">
      <c r="A215" s="68">
        <v>11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12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13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14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9">
        <v>15</v>
      </c>
      <c r="B219" s="70"/>
      <c r="C219" s="70"/>
      <c r="D219" s="70"/>
      <c r="E219" s="71"/>
      <c r="F219" s="72"/>
      <c r="G219" s="70"/>
      <c r="H219" s="70"/>
      <c r="I219" s="70"/>
      <c r="J219" s="73"/>
      <c r="K219" s="74"/>
    </row>
    <row r="220" s="21" customFormat="1" ht="21.75" customHeight="1">
      <c r="A220" s="82" t="s">
        <v>31</v>
      </c>
      <c r="B220" s="83"/>
      <c r="C220" s="83"/>
      <c r="D220" s="103"/>
      <c r="E220" s="104">
        <f>SUM(E204:E219)</f>
        <v>0</v>
      </c>
    </row>
    <row r="221" s="21" customFormat="1" ht="21.75" customHeight="1">
      <c r="A221" s="82" t="s">
        <v>22</v>
      </c>
      <c r="B221" s="83"/>
      <c r="C221" s="83"/>
      <c r="D221" s="103"/>
      <c r="E221" s="104">
        <f>E200-E220</f>
        <v>3372</v>
      </c>
      <c r="F221" s="86"/>
    </row>
    <row r="222" ht="15.75">
      <c r="E222" s="1"/>
      <c r="F222" s="1"/>
    </row>
    <row r="223" ht="25.5" customHeight="1">
      <c r="A223" s="9" t="s">
        <v>32</v>
      </c>
      <c r="B223" s="10"/>
      <c r="C223" s="10"/>
      <c r="D223" s="11"/>
      <c r="E223" s="12">
        <f>SUM(E224:E225)</f>
        <v>12332.25</v>
      </c>
      <c r="F223" s="163" t="s">
        <v>44</v>
      </c>
      <c r="G223" s="13"/>
      <c r="H223" s="13"/>
      <c r="I223" s="13"/>
    </row>
    <row r="224" ht="15.75">
      <c r="A224" s="14" t="s">
        <v>33</v>
      </c>
      <c r="B224" s="15"/>
      <c r="C224" s="15"/>
      <c r="D224" s="16"/>
      <c r="E224" s="17">
        <v>9172.9500000000007</v>
      </c>
      <c r="F224" s="13"/>
      <c r="G224" s="13"/>
      <c r="H224" s="13"/>
      <c r="I224" s="13"/>
    </row>
    <row r="225" ht="15.75">
      <c r="A225" s="14" t="s">
        <v>34</v>
      </c>
      <c r="B225" s="15"/>
      <c r="C225" s="15"/>
      <c r="D225" s="16"/>
      <c r="E225" s="17">
        <v>3159.3000000000002</v>
      </c>
      <c r="F225" s="13"/>
      <c r="G225" s="13"/>
      <c r="H225" s="13"/>
      <c r="I225" s="13"/>
    </row>
    <row r="226" ht="15.75">
      <c r="A226" s="13"/>
      <c r="B226" s="13"/>
      <c r="C226" s="13"/>
      <c r="D226" s="13"/>
      <c r="E226" s="13"/>
      <c r="F226" s="13"/>
      <c r="G226" s="13"/>
      <c r="H226" s="13"/>
      <c r="I226" s="13"/>
    </row>
    <row r="227" ht="22.5">
      <c r="A227" s="87" t="s">
        <v>6</v>
      </c>
      <c r="B227" s="87" t="s">
        <v>7</v>
      </c>
      <c r="C227" s="87" t="s">
        <v>8</v>
      </c>
      <c r="D227" s="87" t="s">
        <v>9</v>
      </c>
      <c r="E227" s="88" t="s">
        <v>10</v>
      </c>
      <c r="F227" s="87" t="s">
        <v>11</v>
      </c>
      <c r="G227" s="87" t="s">
        <v>12</v>
      </c>
      <c r="H227" s="89" t="s">
        <v>13</v>
      </c>
      <c r="I227" s="87" t="s">
        <v>14</v>
      </c>
      <c r="J227" s="87" t="s">
        <v>15</v>
      </c>
      <c r="K227" s="87" t="s">
        <v>16</v>
      </c>
    </row>
    <row r="228" ht="15.75">
      <c r="A228" s="22"/>
      <c r="B228" s="23" t="s">
        <v>25</v>
      </c>
      <c r="C228" s="24"/>
      <c r="D228" s="25"/>
      <c r="E228" s="26"/>
      <c r="F228" s="23"/>
      <c r="G228" s="23"/>
      <c r="H228" s="23"/>
      <c r="I228" s="23"/>
      <c r="J228" s="23"/>
      <c r="K228" s="27"/>
    </row>
    <row r="229">
      <c r="A229" s="68">
        <v>1</v>
      </c>
      <c r="B229" s="106"/>
      <c r="C229" s="106"/>
      <c r="D229" s="107"/>
      <c r="E229" s="92"/>
      <c r="F229" s="107"/>
      <c r="G229" s="42"/>
      <c r="H229" s="42"/>
      <c r="I229" s="42" t="s">
        <v>35</v>
      </c>
      <c r="J229" s="57"/>
      <c r="K229" s="58"/>
    </row>
    <row r="230">
      <c r="A230" s="68">
        <v>2</v>
      </c>
      <c r="B230" s="106"/>
      <c r="C230" s="106"/>
      <c r="D230" s="107"/>
      <c r="E230" s="93"/>
      <c r="F230" s="107"/>
      <c r="G230" s="59"/>
      <c r="H230" s="59"/>
      <c r="I230" s="42"/>
      <c r="J230" s="57"/>
      <c r="K230" s="58"/>
    </row>
    <row r="231">
      <c r="A231" s="68">
        <v>3</v>
      </c>
      <c r="B231" s="108"/>
      <c r="C231" s="109"/>
      <c r="D231" s="110"/>
      <c r="E231" s="111"/>
      <c r="F231" s="110"/>
      <c r="G231" s="112"/>
      <c r="H231" s="113"/>
      <c r="I231" s="35"/>
      <c r="J231" s="114"/>
      <c r="K231" s="115"/>
    </row>
    <row r="232">
      <c r="A232" s="68">
        <v>4</v>
      </c>
      <c r="B232" s="108"/>
      <c r="C232" s="109"/>
      <c r="D232" s="110"/>
      <c r="E232" s="111"/>
      <c r="F232" s="110"/>
      <c r="G232" s="112"/>
      <c r="H232" s="113"/>
      <c r="I232" s="35"/>
      <c r="J232" s="114"/>
      <c r="K232" s="116"/>
    </row>
    <row r="233">
      <c r="A233" s="68">
        <v>5</v>
      </c>
      <c r="B233" s="42"/>
      <c r="C233" s="42"/>
      <c r="D233" s="42"/>
      <c r="E233" s="93"/>
      <c r="F233" s="94"/>
      <c r="G233" s="42"/>
      <c r="H233" s="42"/>
      <c r="I233" s="42"/>
      <c r="J233" s="43"/>
      <c r="K233" s="44"/>
    </row>
    <row r="234">
      <c r="A234" s="68">
        <v>6</v>
      </c>
      <c r="B234" s="43"/>
      <c r="C234" s="43"/>
      <c r="D234" s="43"/>
      <c r="E234" s="43"/>
      <c r="F234" s="43"/>
      <c r="G234" s="43"/>
      <c r="H234" s="42"/>
      <c r="I234" s="42"/>
      <c r="J234" s="43"/>
      <c r="K234" s="44"/>
    </row>
    <row r="235">
      <c r="A235" s="68">
        <v>7</v>
      </c>
      <c r="B235" s="43"/>
      <c r="C235" s="43"/>
      <c r="D235" s="43"/>
      <c r="E235" s="43"/>
      <c r="F235" s="43"/>
      <c r="G235" s="43"/>
      <c r="H235" s="42"/>
      <c r="I235" s="42"/>
      <c r="J235" s="43"/>
      <c r="K235" s="44"/>
    </row>
    <row r="236">
      <c r="A236" s="68">
        <v>8</v>
      </c>
      <c r="B236" s="42"/>
      <c r="C236" s="94"/>
      <c r="D236" s="94"/>
      <c r="E236" s="93"/>
      <c r="F236" s="94"/>
      <c r="G236" s="42"/>
      <c r="H236" s="42"/>
      <c r="I236" s="42"/>
      <c r="J236" s="43"/>
      <c r="K236" s="44"/>
    </row>
    <row r="237">
      <c r="A237" s="68">
        <v>9</v>
      </c>
      <c r="B237" s="42"/>
      <c r="C237" s="94"/>
      <c r="D237" s="94"/>
      <c r="E237" s="93"/>
      <c r="F237" s="94"/>
      <c r="G237" s="42"/>
      <c r="H237" s="42"/>
      <c r="I237" s="42"/>
      <c r="J237" s="43"/>
      <c r="K237" s="44"/>
    </row>
    <row r="238">
      <c r="A238" s="68">
        <v>10</v>
      </c>
      <c r="B238" s="42"/>
      <c r="C238" s="94"/>
      <c r="D238" s="94"/>
      <c r="E238" s="93"/>
      <c r="F238" s="94"/>
      <c r="G238" s="42"/>
      <c r="H238" s="42"/>
      <c r="I238" s="42"/>
      <c r="J238" s="43"/>
      <c r="K238" s="44"/>
    </row>
    <row r="239">
      <c r="A239" s="68">
        <v>11</v>
      </c>
      <c r="B239" s="42"/>
      <c r="C239" s="94"/>
      <c r="D239" s="94"/>
      <c r="E239" s="93"/>
      <c r="F239" s="94"/>
      <c r="G239" s="42"/>
      <c r="H239" s="42"/>
      <c r="I239" s="42"/>
      <c r="J239" s="43"/>
      <c r="K239" s="44"/>
    </row>
    <row r="240">
      <c r="A240" s="68">
        <v>12</v>
      </c>
      <c r="B240" s="59"/>
      <c r="C240" s="61"/>
      <c r="D240" s="61"/>
      <c r="E240" s="93"/>
      <c r="F240" s="61"/>
      <c r="G240" s="59"/>
      <c r="H240" s="59"/>
      <c r="I240" s="42"/>
      <c r="J240" s="57"/>
      <c r="K240" s="58"/>
    </row>
    <row r="241">
      <c r="A241" s="68">
        <v>13</v>
      </c>
      <c r="B241" s="59"/>
      <c r="C241" s="61"/>
      <c r="D241" s="61"/>
      <c r="E241" s="93"/>
      <c r="F241" s="61"/>
      <c r="G241" s="59"/>
      <c r="H241" s="59"/>
      <c r="I241" s="42"/>
      <c r="J241" s="57"/>
      <c r="K241" s="58"/>
    </row>
    <row r="242">
      <c r="A242" s="68">
        <v>14</v>
      </c>
      <c r="B242" s="59"/>
      <c r="C242" s="61"/>
      <c r="D242" s="61"/>
      <c r="E242" s="93"/>
      <c r="F242" s="61"/>
      <c r="G242" s="59"/>
      <c r="H242" s="59"/>
      <c r="I242" s="42"/>
      <c r="J242" s="57"/>
      <c r="K242" s="58"/>
    </row>
    <row r="243" ht="15.75">
      <c r="A243" s="68">
        <v>15</v>
      </c>
      <c r="B243" s="59"/>
      <c r="C243" s="61"/>
      <c r="D243" s="61"/>
      <c r="E243" s="93"/>
      <c r="F243" s="61"/>
      <c r="G243" s="59"/>
      <c r="H243" s="59"/>
      <c r="I243" s="42"/>
      <c r="J243" s="57"/>
      <c r="K243" s="58"/>
    </row>
    <row r="244" ht="15.75">
      <c r="A244" s="22"/>
      <c r="B244" s="23" t="s">
        <v>26</v>
      </c>
      <c r="C244" s="24"/>
      <c r="D244" s="25"/>
      <c r="E244" s="26"/>
      <c r="F244" s="23"/>
      <c r="G244" s="23"/>
      <c r="H244" s="23"/>
      <c r="I244" s="23"/>
      <c r="J244" s="23"/>
      <c r="K244" s="27"/>
    </row>
    <row r="245">
      <c r="A245" s="62">
        <v>1</v>
      </c>
      <c r="B245" s="63"/>
      <c r="C245" s="63"/>
      <c r="D245" s="63"/>
      <c r="E245" s="64"/>
      <c r="F245" s="65"/>
      <c r="G245" s="63"/>
      <c r="H245" s="63"/>
      <c r="I245" s="63"/>
      <c r="J245" s="66"/>
      <c r="K245" s="67"/>
    </row>
    <row r="246">
      <c r="A246" s="68">
        <v>2</v>
      </c>
      <c r="B246" s="59"/>
      <c r="C246" s="59"/>
      <c r="D246" s="59"/>
      <c r="E246" s="60"/>
      <c r="F246" s="61"/>
      <c r="G246" s="59"/>
      <c r="H246" s="59"/>
      <c r="I246" s="59"/>
      <c r="J246" s="57"/>
      <c r="K246" s="58"/>
    </row>
    <row r="247">
      <c r="A247" s="68">
        <v>3</v>
      </c>
      <c r="B247" s="59"/>
      <c r="C247" s="59"/>
      <c r="D247" s="59"/>
      <c r="E247" s="60"/>
      <c r="F247" s="61"/>
      <c r="G247" s="59"/>
      <c r="H247" s="59"/>
      <c r="I247" s="59"/>
      <c r="J247" s="57"/>
      <c r="K247" s="58"/>
    </row>
    <row r="248">
      <c r="A248" s="68">
        <v>4</v>
      </c>
      <c r="B248" s="59"/>
      <c r="C248" s="59"/>
      <c r="D248" s="59"/>
      <c r="E248" s="60"/>
      <c r="F248" s="61"/>
      <c r="G248" s="59"/>
      <c r="H248" s="59"/>
      <c r="I248" s="59"/>
      <c r="J248" s="57"/>
      <c r="K248" s="58"/>
    </row>
    <row r="249" ht="15.75">
      <c r="A249" s="69">
        <v>5</v>
      </c>
      <c r="B249" s="70"/>
      <c r="C249" s="70"/>
      <c r="D249" s="70"/>
      <c r="E249" s="71"/>
      <c r="F249" s="72"/>
      <c r="G249" s="70"/>
      <c r="H249" s="70"/>
      <c r="I249" s="70"/>
      <c r="J249" s="73"/>
      <c r="K249" s="74"/>
    </row>
    <row r="250" ht="15.75">
      <c r="A250" s="22"/>
      <c r="B250" s="23" t="s">
        <v>19</v>
      </c>
      <c r="C250" s="24"/>
      <c r="D250" s="25"/>
      <c r="E250" s="26"/>
      <c r="F250" s="23"/>
      <c r="G250" s="23"/>
      <c r="H250" s="23"/>
      <c r="I250" s="23"/>
      <c r="J250" s="23"/>
      <c r="K250" s="27"/>
    </row>
    <row r="251">
      <c r="A251" s="62">
        <v>1</v>
      </c>
      <c r="B251" s="39"/>
      <c r="C251" s="56"/>
      <c r="D251" s="59"/>
      <c r="E251" s="60"/>
      <c r="F251" s="101"/>
      <c r="G251" s="63"/>
      <c r="H251" s="63"/>
      <c r="I251" s="63"/>
      <c r="J251" s="66"/>
      <c r="K251" s="67"/>
    </row>
    <row r="252">
      <c r="A252" s="68">
        <v>2</v>
      </c>
      <c r="B252" s="117"/>
      <c r="C252" s="117"/>
      <c r="D252" s="118"/>
      <c r="E252" s="60"/>
      <c r="F252" s="119"/>
      <c r="G252" s="59"/>
      <c r="H252" s="59"/>
      <c r="I252" s="59"/>
      <c r="J252" s="57"/>
      <c r="K252" s="58"/>
    </row>
    <row r="253">
      <c r="A253" s="68">
        <v>3</v>
      </c>
      <c r="B253" s="59"/>
      <c r="C253" s="59"/>
      <c r="D253" s="59"/>
      <c r="E253" s="60"/>
      <c r="F253" s="61"/>
      <c r="G253" s="59"/>
      <c r="H253" s="59"/>
      <c r="I253" s="59"/>
      <c r="J253" s="57"/>
      <c r="K253" s="58"/>
    </row>
    <row r="254">
      <c r="A254" s="68">
        <v>4</v>
      </c>
      <c r="B254" s="59"/>
      <c r="C254" s="59"/>
      <c r="D254" s="59"/>
      <c r="E254" s="60"/>
      <c r="F254" s="61"/>
      <c r="G254" s="59"/>
      <c r="H254" s="59"/>
      <c r="I254" s="59"/>
      <c r="J254" s="57"/>
      <c r="K254" s="58"/>
    </row>
    <row r="255" ht="15.75">
      <c r="A255" s="69">
        <v>5</v>
      </c>
      <c r="B255" s="70"/>
      <c r="C255" s="70"/>
      <c r="D255" s="70"/>
      <c r="E255" s="71"/>
      <c r="F255" s="72"/>
      <c r="G255" s="70"/>
      <c r="H255" s="70"/>
      <c r="I255" s="70"/>
      <c r="J255" s="73"/>
      <c r="K255" s="74"/>
    </row>
    <row r="256" s="21" customFormat="1" ht="26.25" customHeight="1">
      <c r="A256" s="82" t="s">
        <v>36</v>
      </c>
      <c r="B256" s="83"/>
      <c r="C256" s="83"/>
      <c r="D256" s="103"/>
      <c r="E256" s="104">
        <f>SUM(E229:E255)</f>
        <v>0</v>
      </c>
    </row>
    <row r="257" s="21" customFormat="1" ht="27" customHeight="1">
      <c r="A257" s="82" t="s">
        <v>22</v>
      </c>
      <c r="B257" s="83"/>
      <c r="C257" s="83"/>
      <c r="D257" s="103"/>
      <c r="E257" s="104">
        <f>E223-E256</f>
        <v>12332.25</v>
      </c>
      <c r="F257" s="86"/>
    </row>
    <row r="258" ht="14.25">
      <c r="E258" s="1"/>
    </row>
    <row r="259" ht="15.75">
      <c r="E259" s="1"/>
    </row>
    <row r="260" ht="36" customHeight="1">
      <c r="A260" s="120" t="s">
        <v>37</v>
      </c>
      <c r="B260" s="120"/>
      <c r="C260" s="120"/>
      <c r="D260" s="120"/>
      <c r="E260" s="121">
        <f>E261+E262</f>
        <v>2715</v>
      </c>
      <c r="F260" s="163" t="s">
        <v>44</v>
      </c>
      <c r="G260" s="123"/>
      <c r="H260" s="123"/>
      <c r="I260" s="123"/>
      <c r="J260" s="124"/>
      <c r="K260" s="124"/>
    </row>
    <row r="261" ht="15.75" customHeight="1">
      <c r="A261" s="125" t="s">
        <v>38</v>
      </c>
      <c r="B261" s="125"/>
      <c r="C261" s="125"/>
      <c r="D261" s="125"/>
      <c r="E261" s="126">
        <v>0</v>
      </c>
      <c r="F261" s="123"/>
      <c r="G261" s="123"/>
      <c r="H261" s="123"/>
      <c r="I261" s="123"/>
      <c r="J261" s="124"/>
      <c r="K261" s="124"/>
    </row>
    <row r="262" ht="15.75" customHeight="1">
      <c r="A262" s="125" t="s">
        <v>39</v>
      </c>
      <c r="B262" s="125"/>
      <c r="C262" s="125"/>
      <c r="D262" s="125"/>
      <c r="E262" s="126">
        <v>2715</v>
      </c>
      <c r="F262" s="123"/>
      <c r="G262" s="123"/>
      <c r="H262" s="123"/>
      <c r="I262" s="123"/>
      <c r="J262" s="124"/>
      <c r="K262" s="124"/>
    </row>
    <row r="263" ht="15.75">
      <c r="A263" s="123"/>
      <c r="B263" s="123"/>
      <c r="C263" s="123"/>
      <c r="D263" s="123"/>
      <c r="E263" s="123"/>
      <c r="F263" s="123"/>
      <c r="G263" s="123"/>
      <c r="H263" s="123"/>
      <c r="I263" s="123"/>
      <c r="J263" s="124"/>
      <c r="K263" s="124"/>
    </row>
    <row r="264" ht="22.5">
      <c r="A264" s="127" t="s">
        <v>6</v>
      </c>
      <c r="B264" s="127" t="s">
        <v>7</v>
      </c>
      <c r="C264" s="127" t="s">
        <v>8</v>
      </c>
      <c r="D264" s="127" t="s">
        <v>9</v>
      </c>
      <c r="E264" s="127" t="s">
        <v>40</v>
      </c>
      <c r="F264" s="127" t="s">
        <v>11</v>
      </c>
      <c r="G264" s="127" t="s">
        <v>12</v>
      </c>
      <c r="H264" s="128" t="s">
        <v>13</v>
      </c>
      <c r="I264" s="127" t="s">
        <v>14</v>
      </c>
      <c r="J264" s="127" t="s">
        <v>15</v>
      </c>
      <c r="K264" s="127" t="s">
        <v>16</v>
      </c>
    </row>
    <row r="265" ht="15.75">
      <c r="A265" s="129" t="s">
        <v>41</v>
      </c>
      <c r="B265" s="130"/>
      <c r="C265" s="130"/>
      <c r="D265" s="130"/>
      <c r="E265" s="130"/>
      <c r="F265" s="130"/>
      <c r="G265" s="130"/>
      <c r="H265" s="130"/>
      <c r="I265" s="130"/>
      <c r="J265" s="130"/>
      <c r="K265" s="131"/>
    </row>
    <row r="266">
      <c r="A266" s="132">
        <v>1</v>
      </c>
      <c r="B266" s="133"/>
      <c r="C266" s="133"/>
      <c r="D266" s="134"/>
      <c r="E266" s="135"/>
      <c r="F266" s="134"/>
      <c r="G266" s="136"/>
      <c r="H266" s="136"/>
      <c r="I266" s="136"/>
      <c r="J266" s="137"/>
      <c r="K266" s="138"/>
    </row>
    <row r="267">
      <c r="A267" s="139">
        <v>2</v>
      </c>
      <c r="B267" s="140"/>
      <c r="C267" s="140"/>
      <c r="D267" s="141"/>
      <c r="E267" s="142"/>
      <c r="F267" s="141"/>
      <c r="G267" s="143"/>
      <c r="H267" s="143"/>
      <c r="I267" s="142"/>
      <c r="J267" s="144"/>
      <c r="K267" s="145"/>
    </row>
    <row r="268">
      <c r="A268" s="139">
        <v>3</v>
      </c>
      <c r="B268" s="143"/>
      <c r="C268" s="143"/>
      <c r="D268" s="143"/>
      <c r="E268" s="142"/>
      <c r="F268" s="146"/>
      <c r="G268" s="143"/>
      <c r="H268" s="143"/>
      <c r="I268" s="142"/>
      <c r="J268" s="144"/>
      <c r="K268" s="145"/>
    </row>
    <row r="269">
      <c r="A269" s="139">
        <v>4</v>
      </c>
      <c r="B269" s="143"/>
      <c r="C269" s="146"/>
      <c r="D269" s="146"/>
      <c r="E269" s="142"/>
      <c r="F269" s="146"/>
      <c r="G269" s="143"/>
      <c r="H269" s="143"/>
      <c r="I269" s="142"/>
      <c r="J269" s="144"/>
      <c r="K269" s="145"/>
    </row>
    <row r="270">
      <c r="A270" s="139">
        <v>5</v>
      </c>
      <c r="B270" s="143"/>
      <c r="C270" s="143"/>
      <c r="D270" s="143"/>
      <c r="E270" s="143"/>
      <c r="F270" s="146"/>
      <c r="G270" s="143"/>
      <c r="H270" s="143"/>
      <c r="I270" s="142"/>
      <c r="J270" s="144"/>
      <c r="K270" s="145"/>
    </row>
    <row r="271">
      <c r="A271" s="139">
        <v>6</v>
      </c>
      <c r="B271" s="144"/>
      <c r="C271" s="144"/>
      <c r="D271" s="144"/>
      <c r="E271" s="144"/>
      <c r="F271" s="144"/>
      <c r="G271" s="144"/>
      <c r="H271" s="143"/>
      <c r="I271" s="142"/>
      <c r="J271" s="144"/>
      <c r="K271" s="145"/>
    </row>
    <row r="272">
      <c r="A272" s="139">
        <v>7</v>
      </c>
      <c r="B272" s="144"/>
      <c r="C272" s="144"/>
      <c r="D272" s="144"/>
      <c r="E272" s="144"/>
      <c r="F272" s="144"/>
      <c r="G272" s="144"/>
      <c r="H272" s="143"/>
      <c r="I272" s="143"/>
      <c r="J272" s="144"/>
      <c r="K272" s="145"/>
    </row>
    <row r="273">
      <c r="A273" s="139">
        <v>8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9</v>
      </c>
      <c r="B274" s="143"/>
      <c r="C274" s="146"/>
      <c r="D274" s="146"/>
      <c r="E274" s="142"/>
      <c r="F274" s="146"/>
      <c r="G274" s="143"/>
      <c r="H274" s="143"/>
      <c r="I274" s="142"/>
      <c r="J274" s="144"/>
      <c r="K274" s="145"/>
    </row>
    <row r="275">
      <c r="A275" s="139">
        <v>10</v>
      </c>
      <c r="B275" s="143"/>
      <c r="C275" s="146"/>
      <c r="D275" s="146"/>
      <c r="E275" s="142"/>
      <c r="F275" s="146"/>
      <c r="G275" s="143"/>
      <c r="H275" s="143"/>
      <c r="I275" s="142"/>
      <c r="J275" s="144"/>
      <c r="K275" s="145"/>
    </row>
    <row r="276">
      <c r="A276" s="139">
        <v>11</v>
      </c>
      <c r="B276" s="143"/>
      <c r="C276" s="146"/>
      <c r="D276" s="146"/>
      <c r="E276" s="142"/>
      <c r="F276" s="146"/>
      <c r="G276" s="143"/>
      <c r="H276" s="143"/>
      <c r="I276" s="142"/>
      <c r="J276" s="144"/>
      <c r="K276" s="145"/>
    </row>
    <row r="277">
      <c r="A277" s="139">
        <v>12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13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14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 ht="15.75">
      <c r="A280" s="147">
        <v>15</v>
      </c>
      <c r="B280" s="148"/>
      <c r="C280" s="149"/>
      <c r="D280" s="149"/>
      <c r="E280" s="150"/>
      <c r="F280" s="149"/>
      <c r="G280" s="148"/>
      <c r="H280" s="148"/>
      <c r="I280" s="150"/>
      <c r="J280" s="151"/>
      <c r="K280" s="152"/>
    </row>
    <row r="281" ht="15.75">
      <c r="A281" s="22"/>
      <c r="B281" s="23" t="s">
        <v>26</v>
      </c>
      <c r="C281" s="24"/>
      <c r="D281" s="25"/>
      <c r="E281" s="26"/>
      <c r="F281" s="23"/>
      <c r="G281" s="23"/>
      <c r="H281" s="23"/>
      <c r="I281" s="23"/>
      <c r="J281" s="23"/>
      <c r="K281" s="27"/>
    </row>
    <row r="282">
      <c r="A282" s="132">
        <v>1</v>
      </c>
      <c r="B282" s="153"/>
      <c r="C282" s="153"/>
      <c r="D282" s="153"/>
      <c r="E282" s="153"/>
      <c r="F282" s="154"/>
      <c r="G282" s="153"/>
      <c r="H282" s="153"/>
      <c r="I282" s="153"/>
      <c r="J282" s="137"/>
      <c r="K282" s="138"/>
    </row>
    <row r="283">
      <c r="A283" s="139">
        <v>2</v>
      </c>
      <c r="B283" s="143"/>
      <c r="C283" s="143"/>
      <c r="D283" s="143"/>
      <c r="E283" s="143"/>
      <c r="F283" s="146"/>
      <c r="G283" s="143"/>
      <c r="H283" s="143"/>
      <c r="I283" s="143"/>
      <c r="J283" s="144"/>
      <c r="K283" s="145"/>
    </row>
    <row r="284">
      <c r="A284" s="139">
        <v>3</v>
      </c>
      <c r="B284" s="143"/>
      <c r="C284" s="143"/>
      <c r="D284" s="143"/>
      <c r="E284" s="143"/>
      <c r="F284" s="146"/>
      <c r="G284" s="143"/>
      <c r="H284" s="143"/>
      <c r="I284" s="143"/>
      <c r="J284" s="144"/>
      <c r="K284" s="145"/>
    </row>
    <row r="285">
      <c r="A285" s="139">
        <v>4</v>
      </c>
      <c r="B285" s="143"/>
      <c r="C285" s="143"/>
      <c r="D285" s="143"/>
      <c r="E285" s="143"/>
      <c r="F285" s="146"/>
      <c r="G285" s="143"/>
      <c r="H285" s="143"/>
      <c r="I285" s="143"/>
      <c r="J285" s="144"/>
      <c r="K285" s="145"/>
    </row>
    <row r="286" ht="15.75">
      <c r="A286" s="147">
        <v>5</v>
      </c>
      <c r="B286" s="148"/>
      <c r="C286" s="148"/>
      <c r="D286" s="148"/>
      <c r="E286" s="148"/>
      <c r="F286" s="149"/>
      <c r="G286" s="148"/>
      <c r="H286" s="148"/>
      <c r="I286" s="148"/>
      <c r="J286" s="151"/>
      <c r="K286" s="152"/>
    </row>
    <row r="287" ht="15.75">
      <c r="A287" s="22"/>
      <c r="B287" s="23" t="s">
        <v>19</v>
      </c>
      <c r="C287" s="24"/>
      <c r="D287" s="25"/>
      <c r="E287" s="26"/>
      <c r="F287" s="23"/>
      <c r="G287" s="23"/>
      <c r="H287" s="23"/>
      <c r="I287" s="23"/>
      <c r="J287" s="23"/>
      <c r="K287" s="27"/>
    </row>
    <row r="288">
      <c r="A288" s="132">
        <v>1</v>
      </c>
      <c r="B288" s="136"/>
      <c r="C288" s="153"/>
      <c r="D288" s="153"/>
      <c r="E288" s="153"/>
      <c r="F288" s="154"/>
      <c r="G288" s="153"/>
      <c r="H288" s="153"/>
      <c r="I288" s="153"/>
      <c r="J288" s="137"/>
      <c r="K288" s="138"/>
    </row>
    <row r="289">
      <c r="A289" s="139">
        <v>2</v>
      </c>
      <c r="B289" s="155"/>
      <c r="C289" s="155"/>
      <c r="D289" s="156"/>
      <c r="E289" s="143"/>
      <c r="F289" s="157"/>
      <c r="G289" s="143"/>
      <c r="H289" s="143"/>
      <c r="I289" s="143"/>
      <c r="J289" s="144"/>
      <c r="K289" s="145"/>
    </row>
    <row r="290">
      <c r="A290" s="139">
        <v>3</v>
      </c>
      <c r="B290" s="143"/>
      <c r="C290" s="143"/>
      <c r="D290" s="143"/>
      <c r="E290" s="143"/>
      <c r="F290" s="146"/>
      <c r="G290" s="143"/>
      <c r="H290" s="143"/>
      <c r="I290" s="143"/>
      <c r="J290" s="144"/>
      <c r="K290" s="145"/>
    </row>
    <row r="291">
      <c r="A291" s="139">
        <v>4</v>
      </c>
      <c r="B291" s="143"/>
      <c r="C291" s="143"/>
      <c r="D291" s="143"/>
      <c r="E291" s="143"/>
      <c r="F291" s="146"/>
      <c r="G291" s="143"/>
      <c r="H291" s="143"/>
      <c r="I291" s="143"/>
      <c r="J291" s="144"/>
      <c r="K291" s="145"/>
    </row>
    <row r="292" ht="15.75">
      <c r="A292" s="147">
        <v>5</v>
      </c>
      <c r="B292" s="148"/>
      <c r="C292" s="148"/>
      <c r="D292" s="148"/>
      <c r="E292" s="148"/>
      <c r="F292" s="149"/>
      <c r="G292" s="148"/>
      <c r="H292" s="148"/>
      <c r="I292" s="148"/>
      <c r="J292" s="151"/>
      <c r="K292" s="152"/>
    </row>
    <row r="293" ht="27.75" customHeight="1">
      <c r="A293" s="158" t="s">
        <v>42</v>
      </c>
      <c r="B293" s="158"/>
      <c r="C293" s="158"/>
      <c r="D293" s="158"/>
      <c r="E293" s="159">
        <f>SUM(E266:E292)</f>
        <v>0</v>
      </c>
      <c r="F293" s="160"/>
      <c r="G293" s="160"/>
      <c r="H293" s="160"/>
      <c r="I293" s="160"/>
      <c r="J293" s="160"/>
      <c r="K293" s="160"/>
    </row>
    <row r="294" ht="27.75" customHeight="1">
      <c r="A294" s="158" t="s">
        <v>43</v>
      </c>
      <c r="B294" s="158"/>
      <c r="C294" s="158"/>
      <c r="D294" s="158"/>
      <c r="E294" s="161">
        <f>E260-E293</f>
        <v>2715</v>
      </c>
      <c r="F294" s="162"/>
      <c r="G294" s="160"/>
      <c r="H294" s="160"/>
      <c r="I294" s="160"/>
      <c r="J294" s="160"/>
      <c r="K294" s="160"/>
    </row>
    <row r="295" ht="14.25">
      <c r="E295" s="1"/>
    </row>
    <row r="296" ht="14.25">
      <c r="E296" s="1"/>
    </row>
    <row r="297" ht="14.25">
      <c r="E297" s="1"/>
    </row>
    <row r="298" ht="14.25">
      <c r="E298" s="1"/>
    </row>
    <row r="299" ht="14.25">
      <c r="E299" s="1"/>
    </row>
    <row r="300" ht="14.25">
      <c r="E300" s="1"/>
    </row>
    <row r="301" ht="14.25">
      <c r="E301" s="1"/>
    </row>
    <row r="302" ht="14.25">
      <c r="E302" s="1"/>
    </row>
    <row r="303" ht="14.25">
      <c r="E303" s="1"/>
    </row>
    <row r="304" ht="14.25">
      <c r="E304" s="1"/>
    </row>
    <row r="305" ht="14.25">
      <c r="E305" s="1"/>
    </row>
    <row r="306" ht="14.25">
      <c r="E306" s="1"/>
    </row>
    <row r="309" ht="14.25">
      <c r="E309" s="1"/>
    </row>
    <row r="310" ht="14.25">
      <c r="E310" s="1"/>
    </row>
    <row r="311" ht="14.25">
      <c r="E311" s="1"/>
    </row>
    <row r="312" ht="14.25">
      <c r="E312" s="1"/>
    </row>
    <row r="313" ht="14.25">
      <c r="E313" s="1"/>
    </row>
    <row r="314" ht="14.25">
      <c r="E314" s="1"/>
    </row>
    <row r="315" ht="14.25">
      <c r="E315" s="1"/>
    </row>
    <row r="316" ht="14.25">
      <c r="E316" s="1"/>
    </row>
    <row r="317" ht="14.25">
      <c r="E317" s="1"/>
    </row>
  </sheetData>
  <mergeCells count="26">
    <mergeCell ref="E1:F1"/>
    <mergeCell ref="A4:D4"/>
    <mergeCell ref="A5:D5"/>
    <mergeCell ref="A7:D7"/>
    <mergeCell ref="A146:D146"/>
    <mergeCell ref="A147:D147"/>
    <mergeCell ref="A149:D149"/>
    <mergeCell ref="A150:D150"/>
    <mergeCell ref="A151:D151"/>
    <mergeCell ref="A197:D197"/>
    <mergeCell ref="A198:D198"/>
    <mergeCell ref="A200:D200"/>
    <mergeCell ref="A201:D201"/>
    <mergeCell ref="A220:D220"/>
    <mergeCell ref="A221:D221"/>
    <mergeCell ref="A223:D223"/>
    <mergeCell ref="A224:D224"/>
    <mergeCell ref="A225:D225"/>
    <mergeCell ref="A256:D256"/>
    <mergeCell ref="A257:D257"/>
    <mergeCell ref="A260:D260"/>
    <mergeCell ref="A261:D261"/>
    <mergeCell ref="A262:D262"/>
    <mergeCell ref="A265:K265"/>
    <mergeCell ref="A293:D293"/>
    <mergeCell ref="A294:D29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9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2F0075-00E5-4B67-B4B2-0028001D0094}" type="list" allowBlank="1" errorStyle="stop" imeMode="noControl" operator="between" showDropDown="0" showErrorMessage="1" showInputMessage="1">
          <x14:formula1>
            <xm:f>ДаНет</xm:f>
          </x14:formula1>
          <xm:sqref>H112 H113:H124 H126 H137:H139 H141:H146 H206:H220 H193:H194 H196:H197 H246:H250 H187:H191 H156:H185 H94:H105 H252:H256 H40 H42:H44 H51:H60 H62:H65 H230:H231 H234:H244</xm:sqref>
        </x14:dataValidation>
        <x14:dataValidation xr:uid="{00130062-001E-434D-852B-007300DC0002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H66:H93 H232:H233</xm:sqref>
        </x14:dataValidation>
        <x14:dataValidation xr:uid="{00AA0026-0070-499D-9579-00610094009F}" type="list" allowBlank="1" errorStyle="stop" imeMode="noControl" operator="between" showDropDown="0" showErrorMessage="1" showInputMessage="1">
          <x14:formula1>
            <xm:f>ДаНет</xm:f>
          </x14:formula1>
          <xm:sqref>H38:H39</xm:sqref>
        </x14:dataValidation>
        <x14:dataValidation xr:uid="{00360080-0007-4BA2-AC40-00030018002F}" type="list" allowBlank="1" errorStyle="stop" imeMode="noControl" operator="between" showDropDown="0" showErrorMessage="1" showInputMessage="1">
          <x14:formula1>
            <xm:f>ДаНет</xm:f>
          </x14:formula1>
          <xm:sqref>H107:H111</xm:sqref>
        </x14:dataValidation>
        <x14:dataValidation xr:uid="{009000BB-0025-438E-88BF-00B000A90024}" type="list" allowBlank="1" errorStyle="stop" imeMode="noControl" operator="between" showDropDown="0" showErrorMessage="1" showInputMessage="1">
          <x14:formula1>
            <xm:f>ДаНет</xm:f>
          </x14:formula1>
          <xm:sqref>H195</xm:sqref>
        </x14:dataValidation>
        <x14:dataValidation xr:uid="{00EC0061-00FA-4D4D-BA04-0098002E0001}" type="list" allowBlank="1" errorStyle="stop" imeMode="noControl" operator="between" showDropDown="0" showErrorMessage="1" showInputMessage="1">
          <x14:formula1>
            <xm:f>ДаНет</xm:f>
          </x14:formula1>
          <xm:sqref>H136 H41</xm:sqref>
        </x14:dataValidation>
        <x14:dataValidation xr:uid="{006100D5-00A4-4932-A9DC-007D00C2008E}" type="list" allowBlank="1" errorStyle="stop" imeMode="noControl" operator="between" showDropDown="0" showErrorMessage="1" showInputMessage="1">
          <x14:formula1>
            <xm:f>ДаНет</xm:f>
          </x14:formula1>
          <xm:sqref>H127</xm:sqref>
        </x14:dataValidation>
        <x14:dataValidation xr:uid="{00050095-0034-49E0-9DDA-00B400D900BC}" type="list" allowBlank="1" errorStyle="stop" imeMode="noControl" operator="between" showDropDown="0" showErrorMessage="1" showInputMessage="1">
          <x14:formula1>
            <xm:f>ДаНет</xm:f>
          </x14:formula1>
          <xm:sqref>H134 H135 H129</xm:sqref>
        </x14:dataValidation>
        <x14:dataValidation xr:uid="{006B00FB-004C-486A-86BF-0091004500DD}" type="list" allowBlank="1" errorStyle="stop" imeMode="noControl" operator="between" showDropDown="0" showErrorMessage="1" showInputMessage="1">
          <x14:formula1>
            <xm:f>ДаНет</xm:f>
          </x14:formula1>
          <xm:sqref>H128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tabColor theme="3"/>
    <outlinePr applyStyles="0" summaryBelow="1" summaryRight="1" showOutlineSymbols="1"/>
    <pageSetUpPr autoPageBreaks="1" fitToPage="0"/>
  </sheetPr>
  <sheetViews>
    <sheetView showGridLines="0" showRuler="1" topLeftCell="A172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'03'!C2+1</f>
        <v>46085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361368.19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50187.5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309823.45000000001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49.5" customHeight="1" outlineLevel="1">
      <c r="A149" s="68">
        <v>1</v>
      </c>
      <c r="B149" s="63" t="s">
        <v>45</v>
      </c>
      <c r="C149" s="63" t="s">
        <v>250</v>
      </c>
      <c r="D149" s="63"/>
      <c r="E149" s="305">
        <v>300000</v>
      </c>
      <c r="F149" s="65" t="s">
        <v>366</v>
      </c>
      <c r="G149" s="63"/>
      <c r="H149" s="63"/>
      <c r="I149" s="63"/>
      <c r="J149" s="66" t="s">
        <v>367</v>
      </c>
      <c r="K149" s="67"/>
    </row>
    <row r="150" ht="37.5" customHeight="1" outlineLevel="1">
      <c r="A150" s="68">
        <v>2</v>
      </c>
      <c r="B150" s="59" t="s">
        <v>45</v>
      </c>
      <c r="C150" s="59" t="s">
        <v>250</v>
      </c>
      <c r="D150" s="59"/>
      <c r="E150" s="224">
        <v>200000</v>
      </c>
      <c r="F150" s="61" t="s">
        <v>251</v>
      </c>
      <c r="G150" s="59"/>
      <c r="H150" s="59"/>
      <c r="I150" s="59"/>
      <c r="J150" s="57" t="s">
        <v>47</v>
      </c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500000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-138631.81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771890.91000000003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771890.91000000003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39" customHeight="1" outlineLevel="1">
      <c r="A196" s="62">
        <v>1</v>
      </c>
      <c r="B196" s="99" t="s">
        <v>45</v>
      </c>
      <c r="C196" s="99" t="s">
        <v>52</v>
      </c>
      <c r="D196" s="65"/>
      <c r="E196" s="305">
        <v>200000</v>
      </c>
      <c r="F196" s="65" t="s">
        <v>368</v>
      </c>
      <c r="G196" s="63"/>
      <c r="H196" s="63"/>
      <c r="I196" s="59"/>
      <c r="J196" s="66" t="s">
        <v>47</v>
      </c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200000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571890.91000000003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3372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3372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3372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12332.25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9172.9500000000007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3159.3000000000002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12332.25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C00B4-001A-4D8D-A687-00B90093007B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91006F-001D-4DD5-8CED-0047003100D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1"/>
  </sheetPr>
  <sheetViews>
    <sheetView showGridLines="0" showRuler="1" topLeftCell="A22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2.421875"/>
    <col customWidth="1" min="4" max="4" style="1" width="37.00390625"/>
    <col customWidth="1" min="5" max="5" style="1" width="26"/>
    <col customWidth="1" min="6" max="6" style="1" width="51.574218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'04'!C2+1</f>
        <v>46086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15.75">
      <c r="A4" s="4"/>
      <c r="B4" s="4"/>
      <c r="C4" s="2"/>
      <c r="D4" s="4"/>
      <c r="E4" s="7"/>
      <c r="F4" s="8"/>
      <c r="G4" s="4"/>
      <c r="H4" s="4"/>
      <c r="I4" s="4"/>
    </row>
    <row r="5" ht="25.5" customHeight="1">
      <c r="A5" s="9" t="s">
        <v>2</v>
      </c>
      <c r="B5" s="10"/>
      <c r="C5" s="10"/>
      <c r="D5" s="11"/>
      <c r="E5" s="12">
        <f>SUM(E6:E8)</f>
        <v>61303.190000000002</v>
      </c>
      <c r="F5" s="163" t="s">
        <v>44</v>
      </c>
      <c r="G5" s="13"/>
      <c r="H5" s="13"/>
      <c r="I5" s="13"/>
    </row>
    <row r="6" ht="15.75">
      <c r="A6" s="14" t="s">
        <v>3</v>
      </c>
      <c r="B6" s="15"/>
      <c r="C6" s="15"/>
      <c r="D6" s="16"/>
      <c r="E6" s="17">
        <v>50147.5</v>
      </c>
      <c r="F6" s="13"/>
      <c r="G6" s="13"/>
      <c r="H6" s="13"/>
      <c r="I6" s="13"/>
    </row>
    <row r="7" ht="15.75">
      <c r="A7" s="14"/>
      <c r="B7" s="15"/>
      <c r="C7" s="15"/>
      <c r="D7" s="16" t="s">
        <v>4</v>
      </c>
      <c r="E7" s="17">
        <v>1357.24</v>
      </c>
      <c r="F7" s="13"/>
      <c r="G7" s="13"/>
      <c r="H7" s="13"/>
      <c r="I7" s="13"/>
    </row>
    <row r="8" ht="15.75">
      <c r="A8" s="14" t="s">
        <v>5</v>
      </c>
      <c r="B8" s="15"/>
      <c r="C8" s="15"/>
      <c r="D8" s="16"/>
      <c r="E8" s="17">
        <v>9798.4500000000007</v>
      </c>
      <c r="F8" s="369" t="s">
        <v>369</v>
      </c>
      <c r="G8" s="13"/>
      <c r="H8" s="13"/>
      <c r="I8" s="13"/>
    </row>
    <row r="9" ht="6" customHeight="1">
      <c r="A9" s="13"/>
      <c r="B9" s="13"/>
      <c r="C9" s="13"/>
      <c r="D9" s="13"/>
      <c r="E9" s="13"/>
      <c r="F9" s="13"/>
      <c r="G9" s="13"/>
      <c r="H9" s="13"/>
      <c r="I9" s="13"/>
    </row>
    <row r="10" ht="27.75" customHeight="1" outlineLevel="1">
      <c r="A10" s="87" t="s">
        <v>6</v>
      </c>
      <c r="B10" s="87" t="s">
        <v>7</v>
      </c>
      <c r="C10" s="87" t="s">
        <v>8</v>
      </c>
      <c r="D10" s="87" t="s">
        <v>9</v>
      </c>
      <c r="E10" s="88" t="s">
        <v>10</v>
      </c>
      <c r="F10" s="87" t="s">
        <v>11</v>
      </c>
      <c r="G10" s="87" t="s">
        <v>12</v>
      </c>
      <c r="H10" s="89" t="s">
        <v>13</v>
      </c>
      <c r="I10" s="87" t="s">
        <v>14</v>
      </c>
      <c r="J10" s="87" t="s">
        <v>15</v>
      </c>
      <c r="K10" s="87" t="s">
        <v>16</v>
      </c>
    </row>
    <row r="11" s="21" customFormat="1" ht="18.75" customHeight="1" outlineLevel="1">
      <c r="A11" s="370"/>
      <c r="B11" s="371" t="s">
        <v>17</v>
      </c>
      <c r="C11" s="372"/>
      <c r="D11" s="373"/>
      <c r="E11" s="374"/>
      <c r="F11" s="371"/>
      <c r="G11" s="371"/>
      <c r="H11" s="371"/>
      <c r="I11" s="371"/>
      <c r="J11" s="371"/>
      <c r="K11" s="375"/>
    </row>
    <row r="12" ht="14.25" customHeight="1" outlineLevel="1">
      <c r="A12" s="376">
        <v>1</v>
      </c>
      <c r="B12" s="215" t="s">
        <v>57</v>
      </c>
      <c r="C12" s="215" t="s">
        <v>58</v>
      </c>
      <c r="D12" s="377" t="s">
        <v>59</v>
      </c>
      <c r="E12" s="378" t="s">
        <v>60</v>
      </c>
      <c r="F12" s="379" t="s">
        <v>61</v>
      </c>
      <c r="G12" s="380" t="s">
        <v>62</v>
      </c>
      <c r="H12" s="381"/>
      <c r="I12" s="382"/>
      <c r="J12" s="383"/>
      <c r="K12" s="384"/>
    </row>
    <row r="13" ht="14.25" customHeight="1" outlineLevel="1">
      <c r="A13" s="385">
        <v>2</v>
      </c>
      <c r="B13" s="386" t="s">
        <v>57</v>
      </c>
      <c r="C13" s="185" t="s">
        <v>63</v>
      </c>
      <c r="D13" s="185" t="s">
        <v>64</v>
      </c>
      <c r="E13" s="186" t="s">
        <v>65</v>
      </c>
      <c r="F13" s="387" t="s">
        <v>66</v>
      </c>
      <c r="G13" s="182" t="s">
        <v>62</v>
      </c>
      <c r="H13" s="188"/>
      <c r="I13" s="388" t="s">
        <v>67</v>
      </c>
      <c r="J13" s="389"/>
      <c r="K13" s="44"/>
    </row>
    <row r="14" ht="14.25" customHeight="1" outlineLevel="1">
      <c r="A14" s="38">
        <v>3</v>
      </c>
      <c r="B14" s="390" t="s">
        <v>57</v>
      </c>
      <c r="C14" s="190" t="s">
        <v>68</v>
      </c>
      <c r="D14" s="191" t="s">
        <v>69</v>
      </c>
      <c r="E14" s="192" t="s">
        <v>70</v>
      </c>
      <c r="F14" s="190" t="s">
        <v>71</v>
      </c>
      <c r="G14" s="182" t="s">
        <v>62</v>
      </c>
      <c r="H14" s="193"/>
      <c r="I14" s="193"/>
      <c r="J14" s="391"/>
      <c r="K14" s="392"/>
    </row>
    <row r="15" ht="14.25" customHeight="1" outlineLevel="1">
      <c r="A15" s="385">
        <v>4</v>
      </c>
      <c r="B15" s="190" t="s">
        <v>57</v>
      </c>
      <c r="C15" s="190" t="s">
        <v>72</v>
      </c>
      <c r="D15" s="191" t="s">
        <v>73</v>
      </c>
      <c r="E15" s="192" t="s">
        <v>74</v>
      </c>
      <c r="F15" s="190" t="s">
        <v>75</v>
      </c>
      <c r="G15" s="182"/>
      <c r="H15" s="193"/>
      <c r="I15" s="193"/>
      <c r="J15" s="393"/>
      <c r="K15" s="393"/>
    </row>
    <row r="16" ht="14.25" customHeight="1" outlineLevel="1">
      <c r="A16" s="38">
        <v>5</v>
      </c>
      <c r="B16" s="190" t="s">
        <v>57</v>
      </c>
      <c r="C16" s="190" t="s">
        <v>72</v>
      </c>
      <c r="D16" s="191" t="s">
        <v>76</v>
      </c>
      <c r="E16" s="192" t="s">
        <v>77</v>
      </c>
      <c r="F16" s="190" t="s">
        <v>78</v>
      </c>
      <c r="G16" s="182"/>
      <c r="H16" s="193"/>
      <c r="I16" s="193"/>
      <c r="J16" s="393"/>
      <c r="K16" s="393"/>
    </row>
    <row r="17" ht="14.25" customHeight="1" outlineLevel="1">
      <c r="A17" s="385">
        <v>6</v>
      </c>
      <c r="B17" s="190" t="s">
        <v>57</v>
      </c>
      <c r="C17" s="190" t="s">
        <v>79</v>
      </c>
      <c r="D17" s="239" t="s">
        <v>80</v>
      </c>
      <c r="E17" s="394" t="s">
        <v>81</v>
      </c>
      <c r="F17" s="190" t="s">
        <v>82</v>
      </c>
      <c r="G17" s="182" t="s">
        <v>62</v>
      </c>
      <c r="H17" s="193"/>
      <c r="I17" s="193"/>
      <c r="J17" s="393"/>
      <c r="K17" s="393"/>
    </row>
    <row r="18" ht="14.25" customHeight="1" outlineLevel="1">
      <c r="A18" s="38">
        <v>7</v>
      </c>
      <c r="B18" s="190" t="s">
        <v>57</v>
      </c>
      <c r="C18" s="190" t="s">
        <v>79</v>
      </c>
      <c r="D18" s="395" t="s">
        <v>370</v>
      </c>
      <c r="E18" s="396" t="s">
        <v>371</v>
      </c>
      <c r="F18" s="190" t="s">
        <v>372</v>
      </c>
      <c r="G18" s="182"/>
      <c r="H18" s="193"/>
      <c r="I18" s="193"/>
      <c r="J18" s="393"/>
      <c r="K18" s="393"/>
    </row>
    <row r="19" ht="14.25" customHeight="1" outlineLevel="1">
      <c r="A19" s="385">
        <v>8</v>
      </c>
      <c r="B19" s="190" t="s">
        <v>57</v>
      </c>
      <c r="C19" s="190" t="s">
        <v>373</v>
      </c>
      <c r="D19" s="395" t="s">
        <v>374</v>
      </c>
      <c r="E19" s="396" t="s">
        <v>375</v>
      </c>
      <c r="F19" s="190" t="s">
        <v>376</v>
      </c>
      <c r="G19" s="182"/>
      <c r="H19" s="193"/>
      <c r="I19" s="193"/>
      <c r="J19" s="393"/>
      <c r="K19" s="393"/>
    </row>
    <row r="20" ht="14.25" customHeight="1" outlineLevel="1">
      <c r="A20" s="38">
        <v>9</v>
      </c>
      <c r="B20" s="198" t="s">
        <v>83</v>
      </c>
      <c r="C20" s="198" t="s">
        <v>84</v>
      </c>
      <c r="D20" s="199" t="s">
        <v>85</v>
      </c>
      <c r="E20" s="397" t="s">
        <v>86</v>
      </c>
      <c r="F20" s="182" t="s">
        <v>87</v>
      </c>
      <c r="G20" s="182" t="s">
        <v>62</v>
      </c>
      <c r="H20" s="193"/>
      <c r="I20" s="193"/>
      <c r="J20" s="393"/>
      <c r="K20" s="393"/>
    </row>
    <row r="21" ht="14.25" customHeight="1" outlineLevel="1">
      <c r="A21" s="385">
        <v>10</v>
      </c>
      <c r="B21" s="198" t="s">
        <v>83</v>
      </c>
      <c r="C21" s="198" t="s">
        <v>84</v>
      </c>
      <c r="D21" s="199" t="s">
        <v>88</v>
      </c>
      <c r="E21" s="397" t="s">
        <v>89</v>
      </c>
      <c r="F21" s="182" t="s">
        <v>90</v>
      </c>
      <c r="G21" s="182" t="s">
        <v>62</v>
      </c>
      <c r="H21" s="193"/>
      <c r="I21" s="193"/>
      <c r="J21" s="393"/>
      <c r="K21" s="393"/>
    </row>
    <row r="22" ht="14.25" customHeight="1" outlineLevel="1">
      <c r="A22" s="38">
        <v>11</v>
      </c>
      <c r="B22" s="198" t="s">
        <v>83</v>
      </c>
      <c r="C22" s="204" t="s">
        <v>91</v>
      </c>
      <c r="D22" s="205" t="s">
        <v>92</v>
      </c>
      <c r="E22" s="398" t="s">
        <v>93</v>
      </c>
      <c r="F22" s="182" t="s">
        <v>94</v>
      </c>
      <c r="G22" s="182" t="s">
        <v>62</v>
      </c>
      <c r="H22" s="193"/>
      <c r="I22" s="193"/>
      <c r="J22" s="393"/>
      <c r="K22" s="393"/>
    </row>
    <row r="23" ht="14.25" customHeight="1" outlineLevel="1">
      <c r="A23" s="385">
        <v>12</v>
      </c>
      <c r="B23" s="198" t="s">
        <v>83</v>
      </c>
      <c r="C23" s="204" t="s">
        <v>91</v>
      </c>
      <c r="D23" s="205" t="s">
        <v>95</v>
      </c>
      <c r="E23" s="206" t="s">
        <v>96</v>
      </c>
      <c r="F23" s="399" t="s">
        <v>94</v>
      </c>
      <c r="G23" s="182" t="s">
        <v>62</v>
      </c>
      <c r="H23" s="400"/>
      <c r="I23" s="97"/>
      <c r="J23" s="383"/>
      <c r="K23" s="384"/>
    </row>
    <row r="24" ht="14.25" customHeight="1" outlineLevel="1">
      <c r="A24" s="38">
        <v>13</v>
      </c>
      <c r="B24" s="198" t="s">
        <v>83</v>
      </c>
      <c r="C24" s="204" t="s">
        <v>91</v>
      </c>
      <c r="D24" s="205" t="s">
        <v>97</v>
      </c>
      <c r="E24" s="206" t="s">
        <v>98</v>
      </c>
      <c r="F24" s="401" t="s">
        <v>94</v>
      </c>
      <c r="G24" s="182" t="s">
        <v>62</v>
      </c>
      <c r="H24" s="202"/>
      <c r="I24" s="94"/>
      <c r="J24" s="43"/>
      <c r="K24" s="44"/>
    </row>
    <row r="25" ht="14.25" customHeight="1" outlineLevel="1">
      <c r="A25" s="385">
        <v>14</v>
      </c>
      <c r="B25" s="198" t="s">
        <v>83</v>
      </c>
      <c r="C25" s="204" t="s">
        <v>91</v>
      </c>
      <c r="D25" s="205" t="s">
        <v>99</v>
      </c>
      <c r="E25" s="206" t="s">
        <v>100</v>
      </c>
      <c r="F25" s="401" t="s">
        <v>94</v>
      </c>
      <c r="G25" s="182" t="s">
        <v>62</v>
      </c>
      <c r="H25" s="202"/>
      <c r="I25" s="94"/>
      <c r="J25" s="43"/>
      <c r="K25" s="44"/>
    </row>
    <row r="26" ht="14.25" customHeight="1" outlineLevel="1">
      <c r="A26" s="38">
        <v>15</v>
      </c>
      <c r="B26" s="198" t="s">
        <v>83</v>
      </c>
      <c r="C26" s="204" t="s">
        <v>91</v>
      </c>
      <c r="D26" s="205" t="s">
        <v>101</v>
      </c>
      <c r="E26" s="206" t="s">
        <v>102</v>
      </c>
      <c r="F26" s="401" t="s">
        <v>94</v>
      </c>
      <c r="G26" s="182" t="s">
        <v>62</v>
      </c>
      <c r="H26" s="202"/>
      <c r="I26" s="94"/>
      <c r="J26" s="43"/>
      <c r="K26" s="44"/>
    </row>
    <row r="27" ht="14.25" customHeight="1" outlineLevel="1">
      <c r="A27" s="385">
        <v>16</v>
      </c>
      <c r="B27" s="198" t="s">
        <v>83</v>
      </c>
      <c r="C27" s="204" t="s">
        <v>91</v>
      </c>
      <c r="D27" s="205" t="s">
        <v>103</v>
      </c>
      <c r="E27" s="206" t="s">
        <v>104</v>
      </c>
      <c r="F27" s="401" t="s">
        <v>94</v>
      </c>
      <c r="G27" s="182" t="s">
        <v>62</v>
      </c>
      <c r="H27" s="202"/>
      <c r="I27" s="94"/>
      <c r="J27" s="43"/>
      <c r="K27" s="44"/>
    </row>
    <row r="28" ht="14.25" customHeight="1" outlineLevel="1">
      <c r="A28" s="38">
        <v>17</v>
      </c>
      <c r="B28" s="198" t="s">
        <v>83</v>
      </c>
      <c r="C28" s="204" t="s">
        <v>91</v>
      </c>
      <c r="D28" s="205" t="s">
        <v>105</v>
      </c>
      <c r="E28" s="206" t="s">
        <v>106</v>
      </c>
      <c r="F28" s="401" t="s">
        <v>94</v>
      </c>
      <c r="G28" s="182" t="s">
        <v>62</v>
      </c>
      <c r="H28" s="202"/>
      <c r="I28" s="94"/>
      <c r="J28" s="43"/>
      <c r="K28" s="44"/>
    </row>
    <row r="29" ht="14.25" customHeight="1" outlineLevel="1">
      <c r="A29" s="385">
        <v>18</v>
      </c>
      <c r="B29" s="198" t="s">
        <v>83</v>
      </c>
      <c r="C29" s="204" t="s">
        <v>91</v>
      </c>
      <c r="D29" s="205" t="s">
        <v>107</v>
      </c>
      <c r="E29" s="206" t="s">
        <v>108</v>
      </c>
      <c r="F29" s="401" t="s">
        <v>94</v>
      </c>
      <c r="G29" s="182" t="s">
        <v>62</v>
      </c>
      <c r="H29" s="202"/>
      <c r="I29" s="94"/>
      <c r="J29" s="43"/>
      <c r="K29" s="44"/>
    </row>
    <row r="30" ht="14.25" customHeight="1" outlineLevel="1">
      <c r="A30" s="38">
        <v>19</v>
      </c>
      <c r="B30" s="198" t="s">
        <v>83</v>
      </c>
      <c r="C30" s="198" t="s">
        <v>109</v>
      </c>
      <c r="D30" s="199" t="s">
        <v>110</v>
      </c>
      <c r="E30" s="207" t="s">
        <v>111</v>
      </c>
      <c r="F30" s="401" t="s">
        <v>112</v>
      </c>
      <c r="G30" s="182" t="s">
        <v>62</v>
      </c>
      <c r="H30" s="202"/>
      <c r="I30" s="94"/>
      <c r="J30" s="43"/>
      <c r="K30" s="44"/>
    </row>
    <row r="31" ht="14.25" customHeight="1" outlineLevel="1">
      <c r="A31" s="385">
        <v>20</v>
      </c>
      <c r="B31" s="198" t="s">
        <v>83</v>
      </c>
      <c r="C31" s="198" t="s">
        <v>109</v>
      </c>
      <c r="D31" s="199" t="s">
        <v>113</v>
      </c>
      <c r="E31" s="207" t="s">
        <v>114</v>
      </c>
      <c r="F31" s="401" t="s">
        <v>115</v>
      </c>
      <c r="G31" s="182" t="s">
        <v>62</v>
      </c>
      <c r="H31" s="202"/>
      <c r="I31" s="94"/>
      <c r="J31" s="43"/>
      <c r="K31" s="44"/>
    </row>
    <row r="32" ht="14.25" customHeight="1" outlineLevel="1">
      <c r="A32" s="38">
        <v>21</v>
      </c>
      <c r="B32" s="209" t="s">
        <v>83</v>
      </c>
      <c r="C32" s="198" t="s">
        <v>109</v>
      </c>
      <c r="D32" s="199" t="s">
        <v>116</v>
      </c>
      <c r="E32" s="207" t="s">
        <v>117</v>
      </c>
      <c r="F32" s="401" t="s">
        <v>118</v>
      </c>
      <c r="G32" s="182" t="s">
        <v>62</v>
      </c>
      <c r="H32" s="202"/>
      <c r="I32" s="94"/>
      <c r="J32" s="43"/>
      <c r="K32" s="44"/>
    </row>
    <row r="33" ht="14.25" customHeight="1" outlineLevel="1">
      <c r="A33" s="385">
        <v>22</v>
      </c>
      <c r="B33" s="182" t="s">
        <v>83</v>
      </c>
      <c r="C33" s="182" t="s">
        <v>119</v>
      </c>
      <c r="D33" s="205" t="s">
        <v>120</v>
      </c>
      <c r="E33" s="208" t="s">
        <v>377</v>
      </c>
      <c r="F33" s="401" t="s">
        <v>122</v>
      </c>
      <c r="G33" s="182" t="s">
        <v>62</v>
      </c>
      <c r="H33" s="202"/>
      <c r="I33" s="94"/>
      <c r="J33" s="43"/>
      <c r="K33" s="44"/>
    </row>
    <row r="34" ht="14.25" customHeight="1" outlineLevel="1">
      <c r="A34" s="38">
        <v>23</v>
      </c>
      <c r="B34" s="209" t="s">
        <v>123</v>
      </c>
      <c r="C34" s="182" t="s">
        <v>124</v>
      </c>
      <c r="D34" s="205" t="s">
        <v>125</v>
      </c>
      <c r="E34" s="207" t="s">
        <v>126</v>
      </c>
      <c r="F34" s="401" t="s">
        <v>127</v>
      </c>
      <c r="G34" s="182" t="s">
        <v>62</v>
      </c>
      <c r="H34" s="202"/>
      <c r="I34" s="94"/>
      <c r="J34" s="43"/>
      <c r="K34" s="44"/>
    </row>
    <row r="35" ht="14.25" customHeight="1" outlineLevel="1">
      <c r="A35" s="385">
        <v>24</v>
      </c>
      <c r="B35" s="209" t="s">
        <v>128</v>
      </c>
      <c r="C35" s="182" t="s">
        <v>37</v>
      </c>
      <c r="D35" s="402" t="s">
        <v>129</v>
      </c>
      <c r="E35" s="207" t="s">
        <v>130</v>
      </c>
      <c r="F35" s="401" t="s">
        <v>131</v>
      </c>
      <c r="G35" s="182" t="s">
        <v>62</v>
      </c>
      <c r="H35" s="202"/>
      <c r="I35" s="94"/>
      <c r="J35" s="43"/>
      <c r="K35" s="44"/>
    </row>
    <row r="36" ht="14.25" customHeight="1" outlineLevel="1">
      <c r="A36" s="38">
        <v>25</v>
      </c>
      <c r="B36" s="182" t="s">
        <v>83</v>
      </c>
      <c r="C36" s="210" t="s">
        <v>132</v>
      </c>
      <c r="D36" s="233" t="s">
        <v>133</v>
      </c>
      <c r="E36" s="403" t="s">
        <v>134</v>
      </c>
      <c r="F36" s="404" t="s">
        <v>135</v>
      </c>
      <c r="G36" s="182" t="s">
        <v>62</v>
      </c>
      <c r="H36" s="202"/>
      <c r="I36" s="94"/>
      <c r="J36" s="43"/>
      <c r="K36" s="44"/>
    </row>
    <row r="37" ht="14.25" customHeight="1" outlineLevel="1">
      <c r="A37" s="385">
        <v>26</v>
      </c>
      <c r="B37" s="182" t="s">
        <v>83</v>
      </c>
      <c r="C37" s="190" t="s">
        <v>136</v>
      </c>
      <c r="D37" s="194" t="s">
        <v>137</v>
      </c>
      <c r="E37" s="405" t="s">
        <v>378</v>
      </c>
      <c r="F37" s="272" t="s">
        <v>139</v>
      </c>
      <c r="G37" s="182" t="s">
        <v>62</v>
      </c>
      <c r="H37" s="202"/>
      <c r="I37" s="94"/>
      <c r="J37" s="43"/>
      <c r="K37" s="44"/>
    </row>
    <row r="38" ht="14.25" customHeight="1" outlineLevel="1">
      <c r="A38" s="38">
        <v>27</v>
      </c>
      <c r="B38" s="406" t="s">
        <v>48</v>
      </c>
      <c r="C38" s="215" t="s">
        <v>49</v>
      </c>
      <c r="D38" s="34" t="s">
        <v>50</v>
      </c>
      <c r="E38" s="180" t="s">
        <v>140</v>
      </c>
      <c r="F38" s="407" t="s">
        <v>51</v>
      </c>
      <c r="G38" s="182" t="s">
        <v>62</v>
      </c>
      <c r="H38" s="216" t="s">
        <v>141</v>
      </c>
      <c r="I38" s="42"/>
      <c r="J38" s="43"/>
      <c r="K38" s="44"/>
    </row>
    <row r="39" ht="14.25" customHeight="1" outlineLevel="1">
      <c r="A39" s="385">
        <v>28</v>
      </c>
      <c r="B39" s="408" t="s">
        <v>48</v>
      </c>
      <c r="C39" s="33" t="s">
        <v>49</v>
      </c>
      <c r="D39" s="34" t="s">
        <v>50</v>
      </c>
      <c r="E39" s="180" t="s">
        <v>142</v>
      </c>
      <c r="F39" s="407" t="s">
        <v>51</v>
      </c>
      <c r="G39" s="409" t="s">
        <v>62</v>
      </c>
      <c r="H39" s="34"/>
      <c r="I39" s="35"/>
      <c r="J39" s="43"/>
      <c r="K39" s="44"/>
    </row>
    <row r="40" ht="14.25" customHeight="1" outlineLevel="1">
      <c r="A40" s="38">
        <v>29</v>
      </c>
      <c r="B40" s="204" t="s">
        <v>83</v>
      </c>
      <c r="C40" s="177" t="s">
        <v>143</v>
      </c>
      <c r="D40" s="39" t="s">
        <v>144</v>
      </c>
      <c r="E40" s="211" t="s">
        <v>145</v>
      </c>
      <c r="F40" s="410" t="s">
        <v>146</v>
      </c>
      <c r="G40" s="409" t="s">
        <v>62</v>
      </c>
      <c r="H40" s="42"/>
      <c r="I40" s="42"/>
      <c r="J40" s="43"/>
      <c r="K40" s="44"/>
    </row>
    <row r="41" ht="14.25" customHeight="1" outlineLevel="1">
      <c r="A41" s="385">
        <v>30</v>
      </c>
      <c r="B41" s="204" t="s">
        <v>83</v>
      </c>
      <c r="C41" s="177" t="s">
        <v>147</v>
      </c>
      <c r="D41" s="39" t="s">
        <v>148</v>
      </c>
      <c r="E41" s="211" t="s">
        <v>379</v>
      </c>
      <c r="F41" s="411" t="s">
        <v>150</v>
      </c>
      <c r="G41" s="409" t="s">
        <v>62</v>
      </c>
      <c r="H41" s="42"/>
      <c r="I41" s="42"/>
      <c r="J41" s="43"/>
      <c r="K41" s="44"/>
    </row>
    <row r="42" ht="28.5" customHeight="1" outlineLevel="1">
      <c r="A42" s="385">
        <v>31</v>
      </c>
      <c r="B42" s="412" t="s">
        <v>83</v>
      </c>
      <c r="C42" s="413" t="s">
        <v>147</v>
      </c>
      <c r="D42" s="414" t="s">
        <v>148</v>
      </c>
      <c r="E42" s="178">
        <v>200000</v>
      </c>
      <c r="F42" s="415" t="s">
        <v>380</v>
      </c>
      <c r="G42" s="416" t="s">
        <v>62</v>
      </c>
      <c r="H42" s="42" t="s">
        <v>141</v>
      </c>
      <c r="I42" s="417" t="s">
        <v>381</v>
      </c>
      <c r="J42" s="43" t="s">
        <v>47</v>
      </c>
      <c r="K42" s="44"/>
    </row>
    <row r="43" ht="14.25" customHeight="1" outlineLevel="1">
      <c r="A43" s="385">
        <v>32</v>
      </c>
      <c r="B43" s="182" t="s">
        <v>83</v>
      </c>
      <c r="C43" s="182" t="s">
        <v>119</v>
      </c>
      <c r="D43" s="205" t="s">
        <v>120</v>
      </c>
      <c r="E43" s="178">
        <v>300000</v>
      </c>
      <c r="F43" s="201" t="s">
        <v>122</v>
      </c>
      <c r="G43" s="409" t="s">
        <v>62</v>
      </c>
      <c r="H43" s="42" t="s">
        <v>141</v>
      </c>
      <c r="I43" s="417" t="s">
        <v>381</v>
      </c>
      <c r="J43" s="43" t="s">
        <v>47</v>
      </c>
      <c r="K43" s="44"/>
    </row>
    <row r="44" ht="14.25" customHeight="1" outlineLevel="1">
      <c r="A44" s="38">
        <v>33</v>
      </c>
      <c r="B44" s="182" t="s">
        <v>83</v>
      </c>
      <c r="C44" s="190" t="s">
        <v>136</v>
      </c>
      <c r="D44" s="194" t="s">
        <v>137</v>
      </c>
      <c r="E44" s="418">
        <v>300000</v>
      </c>
      <c r="F44" s="194" t="s">
        <v>139</v>
      </c>
      <c r="G44" s="409" t="s">
        <v>62</v>
      </c>
      <c r="H44" s="42" t="s">
        <v>141</v>
      </c>
      <c r="I44" s="417" t="s">
        <v>381</v>
      </c>
      <c r="J44" s="43" t="s">
        <v>47</v>
      </c>
      <c r="K44" s="44"/>
    </row>
    <row r="45" ht="14.25" customHeight="1" outlineLevel="1">
      <c r="A45" s="385">
        <v>34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35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5">
        <v>36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37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5">
        <v>38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39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5">
        <v>40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419">
        <v>41</v>
      </c>
      <c r="B52" s="56"/>
      <c r="C52" s="56"/>
      <c r="D52" s="56"/>
      <c r="E52" s="78"/>
      <c r="F52" s="79"/>
      <c r="G52" s="79"/>
      <c r="H52" s="56"/>
      <c r="I52" s="56"/>
      <c r="J52" s="80"/>
      <c r="K52" s="81"/>
    </row>
    <row r="53" s="21" customFormat="1" ht="18.75" customHeight="1" outlineLevel="1">
      <c r="A53" s="370"/>
      <c r="B53" s="371" t="s">
        <v>18</v>
      </c>
      <c r="C53" s="372"/>
      <c r="D53" s="373"/>
      <c r="E53" s="374"/>
      <c r="F53" s="371"/>
      <c r="G53" s="371"/>
      <c r="H53" s="371"/>
      <c r="I53" s="371"/>
      <c r="J53" s="371"/>
      <c r="K53" s="375"/>
    </row>
    <row r="54" ht="14.25" customHeight="1" outlineLevel="1">
      <c r="A54" s="420">
        <v>1</v>
      </c>
      <c r="B54" s="421" t="s">
        <v>199</v>
      </c>
      <c r="C54" s="421" t="s">
        <v>200</v>
      </c>
      <c r="D54" s="421" t="s">
        <v>201</v>
      </c>
      <c r="E54" s="422" t="s">
        <v>202</v>
      </c>
      <c r="F54" s="423" t="s">
        <v>203</v>
      </c>
      <c r="G54" s="380" t="s">
        <v>62</v>
      </c>
      <c r="H54" s="424"/>
      <c r="I54" s="99"/>
      <c r="J54" s="302"/>
      <c r="K54" s="303"/>
    </row>
    <row r="55" ht="14.25" customHeight="1" outlineLevel="1">
      <c r="A55" s="68">
        <v>2</v>
      </c>
      <c r="B55" s="253" t="s">
        <v>204</v>
      </c>
      <c r="C55" s="253" t="s">
        <v>205</v>
      </c>
      <c r="D55" s="253" t="s">
        <v>206</v>
      </c>
      <c r="E55" s="254" t="s">
        <v>207</v>
      </c>
      <c r="F55" s="255" t="s">
        <v>208</v>
      </c>
      <c r="G55" s="182" t="s">
        <v>62</v>
      </c>
      <c r="H55" s="245"/>
      <c r="I55" s="59"/>
      <c r="J55" s="57"/>
      <c r="K55" s="58"/>
    </row>
    <row r="56" s="347" customFormat="1" ht="42.75" outlineLevel="1">
      <c r="A56" s="425">
        <v>3</v>
      </c>
      <c r="B56" s="426" t="s">
        <v>209</v>
      </c>
      <c r="C56" s="426" t="s">
        <v>382</v>
      </c>
      <c r="D56" s="426" t="s">
        <v>383</v>
      </c>
      <c r="E56" s="427">
        <v>80000</v>
      </c>
      <c r="F56" s="426" t="s">
        <v>384</v>
      </c>
      <c r="G56" s="182" t="s">
        <v>62</v>
      </c>
      <c r="H56" s="107" t="s">
        <v>141</v>
      </c>
      <c r="I56" s="107"/>
      <c r="J56" s="428" t="s">
        <v>47</v>
      </c>
      <c r="K56" s="429"/>
    </row>
    <row r="57" ht="14.25" customHeight="1" outlineLevel="1">
      <c r="A57" s="68">
        <v>4</v>
      </c>
      <c r="B57" s="59"/>
      <c r="C57" s="59"/>
      <c r="D57" s="59"/>
      <c r="E57" s="60"/>
      <c r="F57" s="61"/>
      <c r="G57" s="59"/>
      <c r="H57" s="59"/>
      <c r="I57" s="59"/>
      <c r="J57" s="57"/>
      <c r="K57" s="58"/>
    </row>
    <row r="58" ht="14.25" customHeight="1" outlineLevel="1">
      <c r="A58" s="68">
        <v>5</v>
      </c>
      <c r="B58" s="59"/>
      <c r="C58" s="59"/>
      <c r="D58" s="59"/>
      <c r="E58" s="60"/>
      <c r="F58" s="61"/>
      <c r="G58" s="59"/>
      <c r="H58" s="59"/>
      <c r="I58" s="59"/>
      <c r="J58" s="57"/>
      <c r="K58" s="58"/>
    </row>
    <row r="59" ht="14.25" customHeight="1" outlineLevel="1">
      <c r="A59" s="68">
        <v>6</v>
      </c>
      <c r="B59" s="59"/>
      <c r="C59" s="59"/>
      <c r="D59" s="59"/>
      <c r="E59" s="60"/>
      <c r="F59" s="61"/>
      <c r="G59" s="59"/>
      <c r="H59" s="59"/>
      <c r="I59" s="59"/>
      <c r="J59" s="57"/>
      <c r="K59" s="58"/>
    </row>
    <row r="60" ht="14.25" customHeight="1" outlineLevel="1">
      <c r="A60" s="68">
        <v>7</v>
      </c>
      <c r="B60" s="59"/>
      <c r="C60" s="59"/>
      <c r="D60" s="59"/>
      <c r="E60" s="60"/>
      <c r="F60" s="61"/>
      <c r="G60" s="59"/>
      <c r="H60" s="59"/>
      <c r="I60" s="59"/>
      <c r="J60" s="57"/>
      <c r="K60" s="58"/>
    </row>
    <row r="61" ht="14.25" customHeight="1" outlineLevel="1">
      <c r="A61" s="68">
        <v>8</v>
      </c>
      <c r="B61" s="59"/>
      <c r="C61" s="59"/>
      <c r="D61" s="59"/>
      <c r="E61" s="60"/>
      <c r="F61" s="61"/>
      <c r="G61" s="59"/>
      <c r="H61" s="59"/>
      <c r="I61" s="59"/>
      <c r="J61" s="57"/>
      <c r="K61" s="58"/>
    </row>
    <row r="62" ht="14.25" customHeight="1" outlineLevel="1">
      <c r="A62" s="68">
        <v>9</v>
      </c>
      <c r="B62" s="59"/>
      <c r="C62" s="59"/>
      <c r="D62" s="59"/>
      <c r="E62" s="60"/>
      <c r="F62" s="61"/>
      <c r="G62" s="59"/>
      <c r="H62" s="59"/>
      <c r="I62" s="59"/>
      <c r="J62" s="57"/>
      <c r="K62" s="58"/>
    </row>
    <row r="63" ht="14.25" customHeight="1" outlineLevel="1">
      <c r="A63" s="68">
        <v>10</v>
      </c>
      <c r="B63" s="59"/>
      <c r="C63" s="59"/>
      <c r="D63" s="59"/>
      <c r="E63" s="60"/>
      <c r="F63" s="61"/>
      <c r="G63" s="59"/>
      <c r="H63" s="59"/>
      <c r="I63" s="59"/>
      <c r="J63" s="57"/>
      <c r="K63" s="58"/>
    </row>
    <row r="64" ht="14.25" customHeight="1" outlineLevel="1">
      <c r="A64" s="68">
        <v>11</v>
      </c>
      <c r="B64" s="59"/>
      <c r="C64" s="59"/>
      <c r="D64" s="59"/>
      <c r="E64" s="60"/>
      <c r="F64" s="61"/>
      <c r="G64" s="59"/>
      <c r="H64" s="59"/>
      <c r="I64" s="59"/>
      <c r="J64" s="57"/>
      <c r="K64" s="58"/>
    </row>
    <row r="65" ht="14.25" customHeight="1" outlineLevel="1">
      <c r="A65" s="68">
        <v>12</v>
      </c>
      <c r="B65" s="59"/>
      <c r="C65" s="59"/>
      <c r="D65" s="59"/>
      <c r="E65" s="60"/>
      <c r="F65" s="61"/>
      <c r="G65" s="59"/>
      <c r="H65" s="59"/>
      <c r="I65" s="59"/>
      <c r="J65" s="57"/>
      <c r="K65" s="58"/>
    </row>
    <row r="66" ht="14.25" customHeight="1" outlineLevel="1">
      <c r="A66" s="68">
        <v>13</v>
      </c>
      <c r="B66" s="59"/>
      <c r="C66" s="59"/>
      <c r="D66" s="59"/>
      <c r="E66" s="60"/>
      <c r="F66" s="61"/>
      <c r="G66" s="59"/>
      <c r="H66" s="59"/>
      <c r="I66" s="59"/>
      <c r="J66" s="57"/>
      <c r="K66" s="58"/>
    </row>
    <row r="67" ht="14.25" customHeight="1" outlineLevel="1">
      <c r="A67" s="68">
        <v>14</v>
      </c>
      <c r="B67" s="59"/>
      <c r="C67" s="59"/>
      <c r="D67" s="59"/>
      <c r="E67" s="60"/>
      <c r="F67" s="61"/>
      <c r="G67" s="59"/>
      <c r="H67" s="59"/>
      <c r="I67" s="59"/>
      <c r="J67" s="57"/>
      <c r="K67" s="58"/>
    </row>
    <row r="68" ht="14.25" customHeight="1" outlineLevel="1">
      <c r="A68" s="68">
        <v>15</v>
      </c>
      <c r="B68" s="59"/>
      <c r="C68" s="59"/>
      <c r="D68" s="59"/>
      <c r="E68" s="60"/>
      <c r="F68" s="61"/>
      <c r="G68" s="59"/>
      <c r="H68" s="59"/>
      <c r="I68" s="59"/>
      <c r="J68" s="57"/>
      <c r="K68" s="58"/>
    </row>
    <row r="69" ht="14.25" customHeight="1" outlineLevel="1">
      <c r="A69" s="68">
        <v>16</v>
      </c>
      <c r="B69" s="59"/>
      <c r="C69" s="59"/>
      <c r="D69" s="59"/>
      <c r="E69" s="60"/>
      <c r="F69" s="61"/>
      <c r="G69" s="59"/>
      <c r="H69" s="59"/>
      <c r="I69" s="59"/>
      <c r="J69" s="57"/>
      <c r="K69" s="58"/>
    </row>
    <row r="70" ht="14.25" customHeight="1" outlineLevel="1">
      <c r="A70" s="68">
        <v>17</v>
      </c>
      <c r="B70" s="59"/>
      <c r="C70" s="59"/>
      <c r="D70" s="59"/>
      <c r="E70" s="60"/>
      <c r="F70" s="61"/>
      <c r="G70" s="59"/>
      <c r="H70" s="59"/>
      <c r="I70" s="59"/>
      <c r="J70" s="57"/>
      <c r="K70" s="58"/>
    </row>
    <row r="71" ht="14.25" customHeight="1" outlineLevel="1">
      <c r="A71" s="68">
        <v>18</v>
      </c>
      <c r="B71" s="59"/>
      <c r="C71" s="59"/>
      <c r="D71" s="59"/>
      <c r="E71" s="60"/>
      <c r="F71" s="61"/>
      <c r="G71" s="59"/>
      <c r="H71" s="59"/>
      <c r="I71" s="59"/>
      <c r="J71" s="57"/>
      <c r="K71" s="58"/>
    </row>
    <row r="72" ht="14.25" customHeight="1" outlineLevel="1">
      <c r="A72" s="68">
        <v>19</v>
      </c>
      <c r="B72" s="59"/>
      <c r="C72" s="59"/>
      <c r="D72" s="59"/>
      <c r="E72" s="60"/>
      <c r="F72" s="61"/>
      <c r="G72" s="59"/>
      <c r="H72" s="59"/>
      <c r="I72" s="59"/>
      <c r="J72" s="57"/>
      <c r="K72" s="58"/>
    </row>
    <row r="73" ht="14.25" customHeight="1" outlineLevel="1">
      <c r="A73" s="77">
        <v>20</v>
      </c>
      <c r="B73" s="56"/>
      <c r="C73" s="56"/>
      <c r="D73" s="56"/>
      <c r="E73" s="78"/>
      <c r="F73" s="79"/>
      <c r="G73" s="56"/>
      <c r="H73" s="56"/>
      <c r="I73" s="56"/>
      <c r="J73" s="80"/>
      <c r="K73" s="81"/>
    </row>
    <row r="74" s="21" customFormat="1" ht="18.75" customHeight="1" outlineLevel="1">
      <c r="A74" s="370"/>
      <c r="B74" s="371" t="s">
        <v>19</v>
      </c>
      <c r="C74" s="372"/>
      <c r="D74" s="373"/>
      <c r="E74" s="374"/>
      <c r="F74" s="371"/>
      <c r="G74" s="371"/>
      <c r="H74" s="371"/>
      <c r="I74" s="371"/>
      <c r="J74" s="371"/>
      <c r="K74" s="375"/>
    </row>
    <row r="75" ht="14.25" customHeight="1" outlineLevel="1">
      <c r="A75" s="430">
        <v>1</v>
      </c>
      <c r="B75" s="431" t="s">
        <v>153</v>
      </c>
      <c r="C75" s="432" t="s">
        <v>223</v>
      </c>
      <c r="D75" s="433" t="s">
        <v>227</v>
      </c>
      <c r="E75" s="434" t="s">
        <v>242</v>
      </c>
      <c r="F75" s="435" t="s">
        <v>228</v>
      </c>
      <c r="G75" s="237"/>
      <c r="H75" s="237"/>
      <c r="I75" s="237" t="s">
        <v>231</v>
      </c>
      <c r="J75" s="436"/>
      <c r="K75" s="437" t="s">
        <v>230</v>
      </c>
    </row>
    <row r="76" ht="14.25" customHeight="1" outlineLevel="1">
      <c r="A76" s="68">
        <v>2</v>
      </c>
      <c r="B76" s="76" t="s">
        <v>153</v>
      </c>
      <c r="C76" s="300" t="s">
        <v>243</v>
      </c>
      <c r="D76" s="61" t="s">
        <v>244</v>
      </c>
      <c r="E76" s="301" t="s">
        <v>245</v>
      </c>
      <c r="F76" s="61" t="s">
        <v>246</v>
      </c>
      <c r="G76" s="99"/>
      <c r="H76" s="99" t="s">
        <v>141</v>
      </c>
      <c r="I76" s="99"/>
      <c r="J76" s="302"/>
      <c r="K76" s="303"/>
    </row>
    <row r="77" ht="14.25" customHeight="1" outlineLevel="1">
      <c r="A77" s="68">
        <v>3</v>
      </c>
      <c r="B77" s="281" t="s">
        <v>153</v>
      </c>
      <c r="C77" s="286" t="s">
        <v>233</v>
      </c>
      <c r="D77" s="245" t="s">
        <v>247</v>
      </c>
      <c r="E77" s="298" t="s">
        <v>248</v>
      </c>
      <c r="F77" s="61" t="s">
        <v>249</v>
      </c>
      <c r="G77" s="59"/>
      <c r="H77" s="59" t="s">
        <v>141</v>
      </c>
      <c r="I77" s="59"/>
      <c r="J77" s="57"/>
      <c r="K77" s="58"/>
    </row>
    <row r="78" ht="14.25" customHeight="1" outlineLevel="1">
      <c r="A78" s="68">
        <v>4</v>
      </c>
      <c r="B78" s="59"/>
      <c r="C78" s="59"/>
      <c r="D78" s="59"/>
      <c r="E78" s="60"/>
      <c r="F78" s="61"/>
      <c r="G78" s="59"/>
      <c r="H78" s="59"/>
      <c r="I78" s="59"/>
      <c r="J78" s="57"/>
      <c r="K78" s="58"/>
    </row>
    <row r="79" ht="14.25" customHeight="1" outlineLevel="1">
      <c r="A79" s="77">
        <v>5</v>
      </c>
      <c r="B79" s="56"/>
      <c r="C79" s="56"/>
      <c r="D79" s="56"/>
      <c r="E79" s="78"/>
      <c r="F79" s="79"/>
      <c r="G79" s="56"/>
      <c r="H79" s="56"/>
      <c r="I79" s="56"/>
      <c r="J79" s="80"/>
      <c r="K79" s="81"/>
    </row>
    <row r="80" s="21" customFormat="1" ht="18.75" customHeight="1" outlineLevel="1">
      <c r="A80" s="370"/>
      <c r="B80" s="371" t="s">
        <v>20</v>
      </c>
      <c r="C80" s="372"/>
      <c r="D80" s="373"/>
      <c r="E80" s="374"/>
      <c r="F80" s="371"/>
      <c r="G80" s="371"/>
      <c r="H80" s="371"/>
      <c r="I80" s="371"/>
      <c r="J80" s="371"/>
      <c r="K80" s="375"/>
    </row>
    <row r="81" ht="14.25" customHeight="1" outlineLevel="1">
      <c r="A81" s="430">
        <v>1</v>
      </c>
      <c r="B81" s="438" t="s">
        <v>45</v>
      </c>
      <c r="C81" s="438" t="s">
        <v>256</v>
      </c>
      <c r="D81" s="438"/>
      <c r="E81" s="341">
        <v>3000000</v>
      </c>
      <c r="F81" s="439" t="s">
        <v>257</v>
      </c>
      <c r="G81" s="438"/>
      <c r="H81" s="99"/>
      <c r="I81" s="99"/>
      <c r="J81" s="302" t="s">
        <v>47</v>
      </c>
      <c r="K81" s="303"/>
    </row>
    <row r="82" ht="50.25" customHeight="1" outlineLevel="1">
      <c r="A82" s="68">
        <v>2</v>
      </c>
      <c r="B82" s="440" t="s">
        <v>45</v>
      </c>
      <c r="C82" s="440" t="s">
        <v>385</v>
      </c>
      <c r="D82" s="440"/>
      <c r="E82" s="224">
        <v>500000</v>
      </c>
      <c r="F82" s="441" t="s">
        <v>386</v>
      </c>
      <c r="G82" s="59"/>
      <c r="H82" s="59" t="s">
        <v>141</v>
      </c>
      <c r="I82" s="59"/>
      <c r="J82" s="57" t="s">
        <v>47</v>
      </c>
      <c r="K82" s="58"/>
    </row>
    <row r="83" ht="14.25" customHeight="1" outlineLevel="1">
      <c r="A83" s="68">
        <v>3</v>
      </c>
      <c r="B83" s="56"/>
      <c r="C83" s="56"/>
      <c r="D83" s="56"/>
      <c r="E83" s="78"/>
      <c r="F83" s="79"/>
      <c r="G83" s="56"/>
      <c r="H83" s="56"/>
      <c r="I83" s="56"/>
      <c r="J83" s="80"/>
      <c r="K83" s="81"/>
    </row>
    <row r="84" ht="14.25" customHeight="1" outlineLevel="1">
      <c r="A84" s="68">
        <v>4</v>
      </c>
      <c r="B84" s="56"/>
      <c r="C84" s="56"/>
      <c r="D84" s="56"/>
      <c r="E84" s="78"/>
      <c r="F84" s="79"/>
      <c r="G84" s="56"/>
      <c r="H84" s="56"/>
      <c r="I84" s="56"/>
      <c r="J84" s="80"/>
      <c r="K84" s="81"/>
    </row>
    <row r="85" ht="14.25" customHeight="1" outlineLevel="1">
      <c r="A85" s="68">
        <v>5</v>
      </c>
      <c r="B85" s="56"/>
      <c r="C85" s="56"/>
      <c r="D85" s="56"/>
      <c r="E85" s="78"/>
      <c r="F85" s="79"/>
      <c r="G85" s="56"/>
      <c r="H85" s="56"/>
      <c r="I85" s="56"/>
      <c r="J85" s="80"/>
      <c r="K85" s="81"/>
    </row>
    <row r="86" ht="14.25" customHeight="1" outlineLevel="1">
      <c r="A86" s="68">
        <v>6</v>
      </c>
      <c r="B86" s="70"/>
      <c r="C86" s="70"/>
      <c r="D86" s="70"/>
      <c r="E86" s="71"/>
      <c r="F86" s="72"/>
      <c r="G86" s="70"/>
      <c r="H86" s="70"/>
      <c r="I86" s="70"/>
      <c r="J86" s="73"/>
      <c r="K86" s="74"/>
    </row>
    <row r="87" s="21" customFormat="1" ht="23.25" customHeight="1">
      <c r="A87" s="82" t="s">
        <v>21</v>
      </c>
      <c r="B87" s="83"/>
      <c r="C87" s="83"/>
      <c r="D87" s="84"/>
      <c r="E87" s="85">
        <f>SUM(E11:E86)</f>
        <v>4380000</v>
      </c>
      <c r="F87" s="21"/>
      <c r="G87" s="21"/>
      <c r="H87" s="21"/>
      <c r="I87" s="21"/>
      <c r="J87" s="21"/>
      <c r="K87" s="21"/>
    </row>
    <row r="88" s="21" customFormat="1" ht="23.25" customHeight="1">
      <c r="A88" s="82" t="s">
        <v>22</v>
      </c>
      <c r="B88" s="83"/>
      <c r="C88" s="83"/>
      <c r="D88" s="84"/>
      <c r="E88" s="85">
        <f>E5-E87</f>
        <v>-4318696.8099999996</v>
      </c>
      <c r="F88" s="442"/>
      <c r="G88" s="21"/>
      <c r="H88" s="21"/>
      <c r="I88" s="21"/>
      <c r="J88" s="21"/>
      <c r="K88" s="2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29.25" customHeight="1">
      <c r="A90" s="9" t="s">
        <v>23</v>
      </c>
      <c r="B90" s="10"/>
      <c r="C90" s="10"/>
      <c r="D90" s="11"/>
      <c r="E90" s="12">
        <f>SUM(E91:E92)</f>
        <v>652255.88</v>
      </c>
      <c r="F90" s="163" t="s">
        <v>44</v>
      </c>
      <c r="G90" s="13"/>
      <c r="H90" s="13"/>
      <c r="I90" s="13"/>
      <c r="J90" s="1"/>
      <c r="K90" s="1"/>
    </row>
    <row r="91" ht="15" customHeight="1">
      <c r="A91" s="14"/>
      <c r="B91" s="15"/>
      <c r="C91" s="15"/>
      <c r="D91" s="16"/>
      <c r="E91" s="17"/>
      <c r="F91" s="13"/>
      <c r="G91" s="13"/>
      <c r="H91" s="13"/>
      <c r="I91" s="13"/>
      <c r="J91" s="1"/>
      <c r="K91" s="1"/>
    </row>
    <row r="92" ht="15" customHeight="1">
      <c r="A92" s="14" t="s">
        <v>24</v>
      </c>
      <c r="B92" s="15"/>
      <c r="C92" s="15"/>
      <c r="D92" s="16"/>
      <c r="E92" s="17">
        <v>652255.88</v>
      </c>
      <c r="F92" s="13"/>
      <c r="G92" s="13"/>
      <c r="H92" s="13"/>
      <c r="I92" s="13"/>
      <c r="J92" s="1"/>
      <c r="K92" s="1"/>
    </row>
    <row r="93" ht="6" customHeight="1">
      <c r="A93" s="13"/>
      <c r="B93" s="13"/>
      <c r="C93" s="13"/>
      <c r="D93" s="13"/>
      <c r="E93" s="13"/>
      <c r="F93" s="13"/>
      <c r="G93" s="13"/>
      <c r="H93" s="13"/>
      <c r="I93" s="13"/>
      <c r="J93" s="1"/>
      <c r="K93" s="1"/>
    </row>
    <row r="94" ht="26.25" customHeight="1" outlineLevel="1">
      <c r="A94" s="87" t="s">
        <v>6</v>
      </c>
      <c r="B94" s="87" t="s">
        <v>7</v>
      </c>
      <c r="C94" s="87" t="s">
        <v>8</v>
      </c>
      <c r="D94" s="87" t="s">
        <v>9</v>
      </c>
      <c r="E94" s="88" t="s">
        <v>10</v>
      </c>
      <c r="F94" s="87" t="s">
        <v>11</v>
      </c>
      <c r="G94" s="87" t="s">
        <v>12</v>
      </c>
      <c r="H94" s="89" t="s">
        <v>13</v>
      </c>
      <c r="I94" s="87" t="s">
        <v>14</v>
      </c>
      <c r="J94" s="87" t="s">
        <v>15</v>
      </c>
      <c r="K94" s="87" t="s">
        <v>16</v>
      </c>
    </row>
    <row r="95" s="21" customFormat="1" ht="20.25" customHeight="1" outlineLevel="1">
      <c r="A95" s="22"/>
      <c r="B95" s="23" t="s">
        <v>25</v>
      </c>
      <c r="C95" s="24"/>
      <c r="D95" s="25"/>
      <c r="E95" s="26"/>
      <c r="F95" s="23"/>
      <c r="G95" s="23"/>
      <c r="H95" s="23"/>
      <c r="I95" s="23"/>
      <c r="J95" s="23"/>
      <c r="K95" s="27"/>
    </row>
    <row r="96" ht="14.25" customHeight="1" outlineLevel="1">
      <c r="A96" s="62">
        <v>1</v>
      </c>
      <c r="B96" s="39" t="s">
        <v>259</v>
      </c>
      <c r="C96" s="39" t="s">
        <v>260</v>
      </c>
      <c r="D96" s="39" t="s">
        <v>261</v>
      </c>
      <c r="E96" s="211" t="s">
        <v>262</v>
      </c>
      <c r="F96" s="41" t="s">
        <v>263</v>
      </c>
      <c r="G96" s="39"/>
      <c r="H96" s="42"/>
      <c r="I96" s="59"/>
      <c r="J96" s="66"/>
      <c r="K96" s="67"/>
    </row>
    <row r="97" ht="14.25" customHeight="1" outlineLevel="1">
      <c r="A97" s="68">
        <v>2</v>
      </c>
      <c r="B97" s="39" t="s">
        <v>259</v>
      </c>
      <c r="C97" s="39" t="s">
        <v>260</v>
      </c>
      <c r="D97" s="39" t="s">
        <v>264</v>
      </c>
      <c r="E97" s="211" t="s">
        <v>265</v>
      </c>
      <c r="F97" s="41" t="s">
        <v>266</v>
      </c>
      <c r="G97" s="39"/>
      <c r="H97" s="42"/>
      <c r="I97" s="59"/>
      <c r="J97" s="57"/>
      <c r="K97" s="58"/>
    </row>
    <row r="98" ht="14.25" customHeight="1" outlineLevel="1">
      <c r="A98" s="68">
        <v>3</v>
      </c>
      <c r="B98" s="39" t="s">
        <v>259</v>
      </c>
      <c r="C98" s="39" t="s">
        <v>267</v>
      </c>
      <c r="D98" s="39" t="s">
        <v>268</v>
      </c>
      <c r="E98" s="211" t="s">
        <v>269</v>
      </c>
      <c r="F98" s="41" t="s">
        <v>270</v>
      </c>
      <c r="G98" s="39"/>
      <c r="H98" s="42"/>
      <c r="I98" s="59"/>
      <c r="J98" s="57"/>
      <c r="K98" s="58"/>
    </row>
    <row r="99" ht="14.25" customHeight="1" outlineLevel="1">
      <c r="A99" s="68">
        <v>4</v>
      </c>
      <c r="B99" s="39" t="s">
        <v>259</v>
      </c>
      <c r="C99" s="39" t="s">
        <v>109</v>
      </c>
      <c r="D99" s="39" t="s">
        <v>271</v>
      </c>
      <c r="E99" s="314" t="s">
        <v>272</v>
      </c>
      <c r="F99" s="315" t="s">
        <v>273</v>
      </c>
      <c r="G99" s="177"/>
      <c r="H99" s="42"/>
      <c r="I99" s="59"/>
      <c r="J99" s="57"/>
      <c r="K99" s="58"/>
    </row>
    <row r="100" ht="14.25" customHeight="1" outlineLevel="1">
      <c r="A100" s="68">
        <v>5</v>
      </c>
      <c r="B100" s="185" t="s">
        <v>274</v>
      </c>
      <c r="C100" s="39" t="s">
        <v>275</v>
      </c>
      <c r="D100" s="185" t="s">
        <v>276</v>
      </c>
      <c r="E100" s="314" t="s">
        <v>277</v>
      </c>
      <c r="F100" s="316" t="s">
        <v>278</v>
      </c>
      <c r="G100" s="177"/>
      <c r="H100" s="42"/>
      <c r="I100" s="59"/>
      <c r="J100" s="57"/>
      <c r="K100" s="58"/>
    </row>
    <row r="101" ht="14.25" customHeight="1" outlineLevel="1">
      <c r="A101" s="256">
        <v>6</v>
      </c>
      <c r="B101" s="317" t="s">
        <v>279</v>
      </c>
      <c r="C101" s="318" t="s">
        <v>136</v>
      </c>
      <c r="D101" s="319" t="s">
        <v>280</v>
      </c>
      <c r="E101" s="320" t="s">
        <v>281</v>
      </c>
      <c r="F101" s="319" t="s">
        <v>282</v>
      </c>
      <c r="G101" s="177"/>
      <c r="H101" s="42"/>
      <c r="I101" s="59"/>
      <c r="J101" s="57"/>
      <c r="K101" s="58"/>
    </row>
    <row r="102" ht="14.25" customHeight="1" outlineLevel="1">
      <c r="A102" s="256">
        <v>7</v>
      </c>
      <c r="B102" s="321" t="s">
        <v>283</v>
      </c>
      <c r="C102" s="318" t="s">
        <v>284</v>
      </c>
      <c r="D102" s="322" t="s">
        <v>285</v>
      </c>
      <c r="E102" s="320" t="s">
        <v>286</v>
      </c>
      <c r="F102" s="322" t="s">
        <v>287</v>
      </c>
      <c r="G102" s="177"/>
      <c r="H102" s="42"/>
      <c r="I102" s="59"/>
      <c r="J102" s="57"/>
      <c r="K102" s="58"/>
    </row>
    <row r="103" ht="14.25" customHeight="1" outlineLevel="1">
      <c r="A103" s="68">
        <v>8</v>
      </c>
      <c r="B103" s="185" t="s">
        <v>259</v>
      </c>
      <c r="C103" s="185" t="s">
        <v>288</v>
      </c>
      <c r="D103" s="323" t="s">
        <v>289</v>
      </c>
      <c r="E103" s="324" t="s">
        <v>277</v>
      </c>
      <c r="F103" s="316" t="s">
        <v>290</v>
      </c>
      <c r="G103" s="177"/>
      <c r="H103" s="42"/>
      <c r="I103" s="59"/>
      <c r="J103" s="57"/>
      <c r="K103" s="58"/>
    </row>
    <row r="104" ht="14.25" customHeight="1" outlineLevel="1">
      <c r="A104" s="256">
        <v>9</v>
      </c>
      <c r="B104" s="210" t="s">
        <v>259</v>
      </c>
      <c r="C104" s="210" t="s">
        <v>288</v>
      </c>
      <c r="D104" s="210" t="s">
        <v>291</v>
      </c>
      <c r="E104" s="325" t="s">
        <v>277</v>
      </c>
      <c r="F104" s="228" t="s">
        <v>292</v>
      </c>
      <c r="G104" s="177"/>
      <c r="H104" s="42"/>
      <c r="I104" s="59"/>
      <c r="J104" s="57"/>
      <c r="K104" s="58"/>
    </row>
    <row r="105" ht="14.25" customHeight="1" outlineLevel="1">
      <c r="A105" s="256">
        <v>10</v>
      </c>
      <c r="B105" s="210" t="s">
        <v>259</v>
      </c>
      <c r="C105" s="210" t="s">
        <v>288</v>
      </c>
      <c r="D105" s="228" t="s">
        <v>293</v>
      </c>
      <c r="E105" s="326" t="s">
        <v>277</v>
      </c>
      <c r="F105" s="228" t="s">
        <v>294</v>
      </c>
      <c r="G105" s="177"/>
      <c r="H105" s="42"/>
      <c r="I105" s="59"/>
      <c r="J105" s="57"/>
      <c r="K105" s="58"/>
    </row>
    <row r="106" ht="14.25" customHeight="1" outlineLevel="1">
      <c r="A106" s="256">
        <v>11</v>
      </c>
      <c r="B106" s="210" t="s">
        <v>259</v>
      </c>
      <c r="C106" s="210" t="s">
        <v>288</v>
      </c>
      <c r="D106" s="228" t="s">
        <v>295</v>
      </c>
      <c r="E106" s="326" t="s">
        <v>277</v>
      </c>
      <c r="F106" s="228" t="s">
        <v>296</v>
      </c>
      <c r="G106" s="177"/>
      <c r="H106" s="42"/>
      <c r="I106" s="59"/>
      <c r="J106" s="57"/>
      <c r="K106" s="58"/>
    </row>
    <row r="107" ht="14.25" customHeight="1" outlineLevel="1">
      <c r="A107" s="256">
        <v>12</v>
      </c>
      <c r="B107" s="327" t="s">
        <v>259</v>
      </c>
      <c r="C107" s="210" t="s">
        <v>288</v>
      </c>
      <c r="D107" s="228" t="s">
        <v>297</v>
      </c>
      <c r="E107" s="326" t="s">
        <v>277</v>
      </c>
      <c r="F107" s="228" t="s">
        <v>298</v>
      </c>
      <c r="G107" s="177"/>
      <c r="H107" s="42"/>
      <c r="I107" s="59"/>
      <c r="J107" s="57"/>
      <c r="K107" s="58"/>
    </row>
    <row r="108" ht="14.25" customHeight="1" outlineLevel="1">
      <c r="A108" s="256">
        <v>13</v>
      </c>
      <c r="B108" s="328" t="s">
        <v>259</v>
      </c>
      <c r="C108" s="329" t="s">
        <v>275</v>
      </c>
      <c r="D108" s="330" t="s">
        <v>299</v>
      </c>
      <c r="E108" s="331" t="s">
        <v>277</v>
      </c>
      <c r="F108" s="330" t="s">
        <v>300</v>
      </c>
      <c r="G108" s="177"/>
      <c r="H108" s="42"/>
      <c r="I108" s="59"/>
      <c r="J108" s="57"/>
      <c r="K108" s="58"/>
    </row>
    <row r="109" ht="14.25" customHeight="1" outlineLevel="1">
      <c r="A109" s="68">
        <v>14</v>
      </c>
      <c r="B109" s="39" t="s">
        <v>259</v>
      </c>
      <c r="C109" s="42" t="s">
        <v>275</v>
      </c>
      <c r="D109" s="94" t="s">
        <v>301</v>
      </c>
      <c r="E109" s="332" t="s">
        <v>277</v>
      </c>
      <c r="F109" s="333" t="s">
        <v>302</v>
      </c>
      <c r="G109" s="177"/>
      <c r="H109" s="42"/>
      <c r="I109" s="59"/>
      <c r="J109" s="57"/>
      <c r="K109" s="58"/>
    </row>
    <row r="110" ht="14.25" customHeight="1" outlineLevel="1">
      <c r="A110" s="68">
        <v>15</v>
      </c>
      <c r="B110" s="39" t="s">
        <v>259</v>
      </c>
      <c r="C110" s="39" t="s">
        <v>303</v>
      </c>
      <c r="D110" s="39" t="s">
        <v>304</v>
      </c>
      <c r="E110" s="314" t="s">
        <v>387</v>
      </c>
      <c r="F110" s="315" t="s">
        <v>306</v>
      </c>
      <c r="G110" s="177"/>
      <c r="H110" s="42"/>
      <c r="I110" s="59"/>
      <c r="J110" s="57"/>
      <c r="K110" s="58"/>
    </row>
    <row r="111" ht="14.25" customHeight="1" outlineLevel="1">
      <c r="A111" s="68">
        <v>16</v>
      </c>
      <c r="B111" s="39" t="s">
        <v>283</v>
      </c>
      <c r="C111" s="39" t="s">
        <v>307</v>
      </c>
      <c r="D111" s="41" t="s">
        <v>308</v>
      </c>
      <c r="E111" s="314" t="s">
        <v>309</v>
      </c>
      <c r="F111" s="315" t="s">
        <v>310</v>
      </c>
      <c r="G111" s="177"/>
      <c r="H111" s="42"/>
      <c r="I111" s="59"/>
      <c r="J111" s="57"/>
      <c r="K111" s="58"/>
    </row>
    <row r="112" ht="14.25" customHeight="1" outlineLevel="1">
      <c r="A112" s="68">
        <v>17</v>
      </c>
      <c r="B112" s="39" t="s">
        <v>279</v>
      </c>
      <c r="C112" s="334" t="s">
        <v>136</v>
      </c>
      <c r="D112" s="335" t="s">
        <v>311</v>
      </c>
      <c r="E112" s="324" t="s">
        <v>312</v>
      </c>
      <c r="F112" s="336" t="s">
        <v>313</v>
      </c>
      <c r="G112" s="177"/>
      <c r="H112" s="42"/>
      <c r="I112" s="59"/>
      <c r="J112" s="57"/>
      <c r="K112" s="58"/>
    </row>
    <row r="113" ht="14.25" customHeight="1" outlineLevel="1">
      <c r="A113" s="68">
        <v>18</v>
      </c>
      <c r="B113" s="42" t="s">
        <v>259</v>
      </c>
      <c r="C113" s="42" t="s">
        <v>260</v>
      </c>
      <c r="D113" s="94" t="s">
        <v>314</v>
      </c>
      <c r="E113" s="332" t="s">
        <v>315</v>
      </c>
      <c r="F113" s="333" t="s">
        <v>316</v>
      </c>
      <c r="G113" s="177"/>
      <c r="H113" s="42"/>
      <c r="I113" s="59"/>
      <c r="J113" s="57"/>
      <c r="K113" s="58"/>
    </row>
    <row r="114" ht="14.25" customHeight="1" outlineLevel="1">
      <c r="A114" s="68">
        <v>19</v>
      </c>
      <c r="B114" s="42" t="s">
        <v>259</v>
      </c>
      <c r="C114" s="42" t="s">
        <v>267</v>
      </c>
      <c r="D114" s="94" t="s">
        <v>317</v>
      </c>
      <c r="E114" s="332" t="s">
        <v>388</v>
      </c>
      <c r="F114" s="333" t="s">
        <v>319</v>
      </c>
      <c r="G114" s="177"/>
      <c r="H114" s="42"/>
      <c r="I114" s="59"/>
      <c r="J114" s="57"/>
      <c r="K114" s="58"/>
    </row>
    <row r="115" ht="14.25" customHeight="1" outlineLevel="1">
      <c r="A115" s="68">
        <v>20</v>
      </c>
      <c r="B115" s="39" t="s">
        <v>320</v>
      </c>
      <c r="C115" s="39" t="s">
        <v>321</v>
      </c>
      <c r="D115" s="41" t="s">
        <v>322</v>
      </c>
      <c r="E115" s="314" t="s">
        <v>323</v>
      </c>
      <c r="F115" s="315" t="s">
        <v>324</v>
      </c>
      <c r="G115" s="177"/>
      <c r="H115" s="42"/>
      <c r="I115" s="59"/>
      <c r="J115" s="57"/>
      <c r="K115" s="58"/>
    </row>
    <row r="116" ht="14.25" customHeight="1" outlineLevel="1">
      <c r="A116" s="68">
        <v>21</v>
      </c>
      <c r="B116" s="59" t="s">
        <v>259</v>
      </c>
      <c r="C116" s="59" t="s">
        <v>325</v>
      </c>
      <c r="D116" s="61" t="s">
        <v>326</v>
      </c>
      <c r="E116" s="332" t="s">
        <v>327</v>
      </c>
      <c r="F116" s="337" t="s">
        <v>328</v>
      </c>
      <c r="G116" s="177"/>
      <c r="H116" s="42"/>
      <c r="I116" s="59"/>
      <c r="J116" s="57"/>
      <c r="K116" s="58"/>
    </row>
    <row r="117" ht="14.25" customHeight="1" outlineLevel="1">
      <c r="A117" s="68">
        <v>22</v>
      </c>
      <c r="B117" s="39" t="s">
        <v>259</v>
      </c>
      <c r="C117" s="39" t="s">
        <v>329</v>
      </c>
      <c r="D117" s="41" t="s">
        <v>330</v>
      </c>
      <c r="E117" s="211" t="s">
        <v>331</v>
      </c>
      <c r="F117" s="41" t="s">
        <v>332</v>
      </c>
      <c r="G117" s="39"/>
      <c r="H117" s="42"/>
      <c r="I117" s="59"/>
      <c r="J117" s="57"/>
      <c r="K117" s="58"/>
    </row>
    <row r="118" ht="14.25" customHeight="1" outlineLevel="1">
      <c r="A118" s="68">
        <v>23</v>
      </c>
      <c r="B118" s="39" t="s">
        <v>259</v>
      </c>
      <c r="C118" s="39" t="s">
        <v>329</v>
      </c>
      <c r="D118" s="41" t="s">
        <v>333</v>
      </c>
      <c r="E118" s="314" t="s">
        <v>334</v>
      </c>
      <c r="F118" s="315" t="s">
        <v>335</v>
      </c>
      <c r="G118" s="177"/>
      <c r="H118" s="42"/>
      <c r="I118" s="59"/>
      <c r="J118" s="57"/>
      <c r="K118" s="58"/>
    </row>
    <row r="119" ht="14.25" customHeight="1" outlineLevel="1">
      <c r="A119" s="68">
        <v>24</v>
      </c>
      <c r="B119" s="39" t="s">
        <v>283</v>
      </c>
      <c r="C119" s="39" t="s">
        <v>336</v>
      </c>
      <c r="D119" s="41" t="s">
        <v>308</v>
      </c>
      <c r="E119" s="314" t="s">
        <v>337</v>
      </c>
      <c r="F119" s="315" t="s">
        <v>338</v>
      </c>
      <c r="G119" s="177"/>
      <c r="H119" s="42"/>
      <c r="I119" s="59"/>
      <c r="J119" s="57"/>
      <c r="K119" s="58"/>
    </row>
    <row r="120" ht="14.25" customHeight="1" outlineLevel="1">
      <c r="A120" s="68">
        <v>25</v>
      </c>
      <c r="B120" s="42" t="s">
        <v>283</v>
      </c>
      <c r="C120" s="42" t="s">
        <v>336</v>
      </c>
      <c r="D120" s="94" t="s">
        <v>339</v>
      </c>
      <c r="E120" s="332" t="s">
        <v>340</v>
      </c>
      <c r="F120" s="315" t="s">
        <v>341</v>
      </c>
      <c r="G120" s="216"/>
      <c r="H120" s="42"/>
      <c r="I120" s="59"/>
      <c r="J120" s="57"/>
      <c r="K120" s="58"/>
    </row>
    <row r="121" ht="14.25" customHeight="1" outlineLevel="1">
      <c r="A121" s="68">
        <v>26</v>
      </c>
      <c r="B121" s="42" t="s">
        <v>259</v>
      </c>
      <c r="C121" s="42" t="s">
        <v>389</v>
      </c>
      <c r="D121" s="42" t="s">
        <v>390</v>
      </c>
      <c r="E121" s="443" t="s">
        <v>391</v>
      </c>
      <c r="F121" s="94" t="s">
        <v>392</v>
      </c>
      <c r="G121" s="42"/>
      <c r="H121" s="42"/>
      <c r="I121" s="59"/>
      <c r="J121" s="57"/>
      <c r="K121" s="58"/>
    </row>
    <row r="122" ht="14.25" customHeight="1" outlineLevel="1">
      <c r="A122" s="68">
        <v>27</v>
      </c>
      <c r="B122" s="42" t="s">
        <v>57</v>
      </c>
      <c r="C122" s="42" t="s">
        <v>393</v>
      </c>
      <c r="D122" s="42" t="s">
        <v>394</v>
      </c>
      <c r="E122" s="444" t="s">
        <v>395</v>
      </c>
      <c r="F122" s="94" t="s">
        <v>351</v>
      </c>
      <c r="G122" s="42"/>
      <c r="H122" s="42"/>
      <c r="I122" s="59"/>
      <c r="J122" s="57"/>
      <c r="K122" s="58"/>
    </row>
    <row r="123" ht="14.25" customHeight="1" outlineLevel="1">
      <c r="A123" s="68">
        <v>28</v>
      </c>
      <c r="B123" s="95"/>
      <c r="C123" s="95"/>
      <c r="D123" s="95"/>
      <c r="E123" s="96"/>
      <c r="F123" s="97"/>
      <c r="G123" s="42"/>
      <c r="H123" s="95"/>
      <c r="I123" s="98"/>
      <c r="J123" s="57"/>
      <c r="K123" s="58"/>
    </row>
    <row r="124" ht="14.25" customHeight="1" outlineLevel="1">
      <c r="A124" s="68">
        <v>29</v>
      </c>
      <c r="B124" s="95"/>
      <c r="C124" s="95"/>
      <c r="D124" s="95"/>
      <c r="E124" s="96"/>
      <c r="F124" s="97"/>
      <c r="G124" s="42"/>
      <c r="H124" s="95"/>
      <c r="I124" s="98"/>
      <c r="J124" s="57"/>
      <c r="K124" s="58"/>
    </row>
    <row r="125" ht="14.25" customHeight="1" outlineLevel="1">
      <c r="A125" s="68">
        <v>30</v>
      </c>
      <c r="B125" s="99"/>
      <c r="C125" s="99"/>
      <c r="D125" s="99"/>
      <c r="E125" s="100"/>
      <c r="F125" s="101"/>
      <c r="G125" s="59"/>
      <c r="H125" s="99"/>
      <c r="I125" s="98"/>
      <c r="J125" s="57"/>
      <c r="K125" s="58"/>
    </row>
    <row r="126" ht="14.25" customHeight="1" outlineLevel="1">
      <c r="A126" s="68">
        <v>31</v>
      </c>
      <c r="B126" s="99"/>
      <c r="C126" s="99"/>
      <c r="D126" s="99"/>
      <c r="E126" s="100"/>
      <c r="F126" s="101"/>
      <c r="G126" s="59"/>
      <c r="H126" s="99"/>
      <c r="I126" s="98"/>
      <c r="J126" s="57"/>
      <c r="K126" s="58"/>
    </row>
    <row r="127" ht="14.25" customHeight="1" outlineLevel="1">
      <c r="A127" s="68">
        <v>32</v>
      </c>
      <c r="B127" s="99"/>
      <c r="C127" s="99"/>
      <c r="D127" s="99"/>
      <c r="E127" s="100"/>
      <c r="F127" s="101"/>
      <c r="G127" s="59"/>
      <c r="H127" s="99"/>
      <c r="I127" s="98"/>
      <c r="J127" s="57"/>
      <c r="K127" s="58"/>
    </row>
    <row r="128" s="21" customFormat="1" ht="20.25" customHeight="1" outlineLevel="1">
      <c r="A128" s="22"/>
      <c r="B128" s="23" t="s">
        <v>26</v>
      </c>
      <c r="C128" s="24"/>
      <c r="D128" s="25"/>
      <c r="E128" s="26"/>
      <c r="F128" s="23"/>
      <c r="G128" s="23"/>
      <c r="H128" s="23"/>
      <c r="I128" s="23"/>
      <c r="J128" s="23"/>
      <c r="K128" s="27"/>
    </row>
    <row r="129" ht="14.25" customHeight="1" outlineLevel="1">
      <c r="A129" s="62">
        <v>1</v>
      </c>
      <c r="B129" s="63"/>
      <c r="C129" s="63"/>
      <c r="D129" s="63"/>
      <c r="E129" s="64"/>
      <c r="F129" s="65"/>
      <c r="G129" s="63"/>
      <c r="H129" s="63"/>
      <c r="I129" s="102"/>
      <c r="J129" s="66"/>
      <c r="K129" s="67"/>
    </row>
    <row r="130" ht="14.25" customHeight="1" outlineLevel="1">
      <c r="A130" s="68">
        <v>2</v>
      </c>
      <c r="B130" s="99"/>
      <c r="C130" s="99"/>
      <c r="D130" s="9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3</v>
      </c>
      <c r="B131" s="56"/>
      <c r="C131" s="56"/>
      <c r="D131" s="56"/>
      <c r="E131" s="78"/>
      <c r="F131" s="79"/>
      <c r="G131" s="59"/>
      <c r="H131" s="59"/>
      <c r="I131" s="59"/>
      <c r="J131" s="57"/>
      <c r="K131" s="58"/>
    </row>
    <row r="132" ht="14.25" customHeight="1" outlineLevel="1">
      <c r="A132" s="68">
        <v>4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77">
        <v>5</v>
      </c>
      <c r="B133" s="56"/>
      <c r="C133" s="56"/>
      <c r="D133" s="56"/>
      <c r="E133" s="78"/>
      <c r="F133" s="79"/>
      <c r="G133" s="56"/>
      <c r="H133" s="56"/>
      <c r="I133" s="56"/>
      <c r="J133" s="73"/>
      <c r="K133" s="74"/>
    </row>
    <row r="134" s="21" customFormat="1" ht="20.25" customHeight="1" outlineLevel="1">
      <c r="A134" s="445"/>
      <c r="B134" s="446" t="s">
        <v>19</v>
      </c>
      <c r="C134" s="447"/>
      <c r="D134" s="448"/>
      <c r="E134" s="449"/>
      <c r="F134" s="446"/>
      <c r="G134" s="446"/>
      <c r="H134" s="446"/>
      <c r="I134" s="450"/>
      <c r="J134" s="23"/>
      <c r="K134" s="27"/>
    </row>
    <row r="135" ht="14.25" customHeight="1" outlineLevel="1">
      <c r="A135" s="420">
        <v>1</v>
      </c>
      <c r="B135" s="191" t="s">
        <v>222</v>
      </c>
      <c r="C135" s="191" t="s">
        <v>396</v>
      </c>
      <c r="D135" s="190" t="s">
        <v>397</v>
      </c>
      <c r="E135" s="451">
        <v>49335.419999999998</v>
      </c>
      <c r="F135" s="101" t="s">
        <v>398</v>
      </c>
      <c r="G135" s="99"/>
      <c r="H135" s="99"/>
      <c r="I135" s="99"/>
      <c r="J135" s="66" t="s">
        <v>47</v>
      </c>
      <c r="K135" s="67"/>
    </row>
    <row r="136" ht="14.25" customHeight="1" outlineLevel="1">
      <c r="A136" s="68">
        <v>2</v>
      </c>
      <c r="B136" s="99" t="s">
        <v>153</v>
      </c>
      <c r="C136" s="99" t="s">
        <v>359</v>
      </c>
      <c r="D136" s="99" t="s">
        <v>360</v>
      </c>
      <c r="E136" s="224">
        <v>7000</v>
      </c>
      <c r="F136" s="61" t="s">
        <v>361</v>
      </c>
      <c r="G136" s="59"/>
      <c r="H136" s="59"/>
      <c r="I136" s="59"/>
      <c r="J136" s="57" t="s">
        <v>47</v>
      </c>
      <c r="K136" s="58"/>
    </row>
    <row r="137" ht="14.25" customHeight="1" outlineLevel="1">
      <c r="A137" s="68">
        <v>3</v>
      </c>
      <c r="B137" s="99"/>
      <c r="C137" s="99"/>
      <c r="D137" s="9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4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9">
        <v>5</v>
      </c>
      <c r="B139" s="70"/>
      <c r="C139" s="70"/>
      <c r="D139" s="70"/>
      <c r="E139" s="71"/>
      <c r="F139" s="72"/>
      <c r="G139" s="70"/>
      <c r="H139" s="70"/>
      <c r="I139" s="70"/>
      <c r="J139" s="73"/>
      <c r="K139" s="74"/>
    </row>
    <row r="140" s="21" customFormat="1" ht="23.25" customHeight="1">
      <c r="A140" s="82" t="s">
        <v>27</v>
      </c>
      <c r="B140" s="83"/>
      <c r="C140" s="83"/>
      <c r="D140" s="103"/>
      <c r="E140" s="104">
        <f>SUM(E95:E139)</f>
        <v>56335.419999999998</v>
      </c>
      <c r="F140" s="21"/>
      <c r="G140" s="21"/>
      <c r="H140" s="21"/>
      <c r="I140" s="21"/>
    </row>
    <row r="141" s="21" customFormat="1" ht="23.25" customHeight="1">
      <c r="A141" s="82" t="s">
        <v>22</v>
      </c>
      <c r="B141" s="83"/>
      <c r="C141" s="83"/>
      <c r="D141" s="103"/>
      <c r="E141" s="104">
        <f>E90-E140</f>
        <v>595920.45999999996</v>
      </c>
      <c r="F141" s="86"/>
      <c r="G141" s="21"/>
      <c r="H141" s="21"/>
      <c r="I141" s="21"/>
    </row>
    <row r="142" ht="28.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30.75" customHeight="1">
      <c r="A143" s="9" t="s">
        <v>28</v>
      </c>
      <c r="B143" s="10"/>
      <c r="C143" s="10"/>
      <c r="D143" s="11"/>
      <c r="E143" s="12">
        <f>SUM(E144:E144)</f>
        <v>3372</v>
      </c>
      <c r="F143" s="163" t="s">
        <v>44</v>
      </c>
      <c r="G143" s="13"/>
      <c r="H143" s="13"/>
      <c r="I143" s="13"/>
    </row>
    <row r="144" ht="15" customHeight="1">
      <c r="A144" s="105" t="s">
        <v>29</v>
      </c>
      <c r="B144" s="15"/>
      <c r="C144" s="15"/>
      <c r="D144" s="16"/>
      <c r="E144" s="17">
        <v>3372</v>
      </c>
      <c r="F144" s="13"/>
      <c r="G144" s="13"/>
      <c r="H144" s="13"/>
      <c r="I144" s="13"/>
    </row>
    <row r="145" ht="5.25" customHeight="1">
      <c r="A145" s="13"/>
      <c r="B145" s="13"/>
      <c r="C145" s="13"/>
      <c r="D145" s="13"/>
      <c r="E145" s="13"/>
      <c r="F145" s="13"/>
      <c r="G145" s="13"/>
      <c r="H145" s="13"/>
      <c r="I145" s="13"/>
    </row>
    <row r="146" ht="25.5" customHeight="1" outlineLevel="1">
      <c r="A146" s="87" t="s">
        <v>6</v>
      </c>
      <c r="B146" s="87" t="s">
        <v>7</v>
      </c>
      <c r="C146" s="87" t="s">
        <v>8</v>
      </c>
      <c r="D146" s="87" t="s">
        <v>9</v>
      </c>
      <c r="E146" s="88" t="s">
        <v>10</v>
      </c>
      <c r="F146" s="87" t="s">
        <v>11</v>
      </c>
      <c r="G146" s="87" t="s">
        <v>12</v>
      </c>
      <c r="H146" s="89" t="s">
        <v>13</v>
      </c>
      <c r="I146" s="87" t="s">
        <v>14</v>
      </c>
      <c r="J146" s="87" t="s">
        <v>15</v>
      </c>
      <c r="K146" s="87" t="s">
        <v>16</v>
      </c>
    </row>
    <row r="147" s="21" customFormat="1" ht="18.75" customHeight="1" outlineLevel="1">
      <c r="A147" s="22"/>
      <c r="B147" s="23" t="s">
        <v>30</v>
      </c>
      <c r="C147" s="24"/>
      <c r="D147" s="25"/>
      <c r="E147" s="26"/>
      <c r="F147" s="23"/>
      <c r="G147" s="23"/>
      <c r="H147" s="23"/>
      <c r="I147" s="23"/>
      <c r="J147" s="23"/>
      <c r="K147" s="27"/>
    </row>
    <row r="148" ht="14.25" customHeight="1" outlineLevel="1">
      <c r="A148" s="62">
        <v>1</v>
      </c>
      <c r="B148" s="63"/>
      <c r="C148" s="63"/>
      <c r="D148" s="63"/>
      <c r="E148" s="64"/>
      <c r="F148" s="65"/>
      <c r="G148" s="63"/>
      <c r="H148" s="63"/>
      <c r="I148" s="63"/>
      <c r="J148" s="66"/>
      <c r="K148" s="67"/>
    </row>
    <row r="149" ht="14.25" customHeight="1" outlineLevel="1">
      <c r="A149" s="68">
        <v>2</v>
      </c>
      <c r="B149" s="59"/>
      <c r="C149" s="59"/>
      <c r="D149" s="59"/>
      <c r="E149" s="60"/>
      <c r="F149" s="61"/>
      <c r="G149" s="59"/>
      <c r="H149" s="59"/>
      <c r="I149" s="59"/>
      <c r="J149" s="57"/>
      <c r="K149" s="58"/>
    </row>
    <row r="150" ht="14.25" customHeight="1" outlineLevel="1">
      <c r="A150" s="68">
        <v>3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4</v>
      </c>
      <c r="B151" s="59"/>
      <c r="C151" s="59"/>
      <c r="D151" s="59"/>
      <c r="E151" s="60"/>
      <c r="F151" s="61"/>
      <c r="G151" s="59"/>
      <c r="H151" s="59"/>
      <c r="I151" s="59"/>
      <c r="J151" s="57"/>
      <c r="K151" s="58"/>
    </row>
    <row r="152" ht="14.25" customHeight="1" outlineLevel="1">
      <c r="A152" s="68">
        <v>5</v>
      </c>
      <c r="B152" s="59"/>
      <c r="C152" s="59"/>
      <c r="D152" s="59"/>
      <c r="E152" s="60"/>
      <c r="F152" s="61"/>
      <c r="G152" s="59"/>
      <c r="H152" s="59"/>
      <c r="I152" s="59"/>
      <c r="J152" s="57"/>
      <c r="K152" s="58"/>
    </row>
    <row r="153" ht="14.25" customHeight="1" outlineLevel="1">
      <c r="A153" s="68">
        <v>6</v>
      </c>
      <c r="B153" s="59"/>
      <c r="C153" s="59"/>
      <c r="D153" s="59"/>
      <c r="E153" s="60"/>
      <c r="F153" s="61"/>
      <c r="G153" s="59"/>
      <c r="H153" s="59"/>
      <c r="I153" s="59"/>
      <c r="J153" s="57"/>
      <c r="K153" s="58"/>
    </row>
    <row r="154" ht="14.25" customHeight="1" outlineLevel="1">
      <c r="A154" s="68">
        <v>7</v>
      </c>
      <c r="B154" s="59"/>
      <c r="C154" s="59"/>
      <c r="D154" s="59"/>
      <c r="E154" s="60"/>
      <c r="F154" s="61"/>
      <c r="G154" s="59"/>
      <c r="H154" s="59"/>
      <c r="I154" s="59"/>
      <c r="J154" s="57"/>
      <c r="K154" s="58"/>
    </row>
    <row r="155" ht="15.75" customHeight="1" outlineLevel="1">
      <c r="A155" s="68">
        <v>8</v>
      </c>
      <c r="B155" s="59"/>
      <c r="C155" s="59"/>
      <c r="D155" s="59"/>
      <c r="E155" s="60"/>
      <c r="F155" s="61"/>
      <c r="G155" s="59"/>
      <c r="H155" s="59"/>
      <c r="I155" s="59"/>
      <c r="J155" s="57"/>
      <c r="K155" s="58"/>
    </row>
    <row r="156" ht="15.75" customHeight="1" outlineLevel="1">
      <c r="A156" s="68">
        <v>9</v>
      </c>
      <c r="B156" s="59"/>
      <c r="C156" s="59"/>
      <c r="D156" s="59"/>
      <c r="E156" s="60"/>
      <c r="F156" s="61"/>
      <c r="G156" s="59"/>
      <c r="H156" s="59"/>
      <c r="I156" s="59"/>
      <c r="J156" s="57"/>
      <c r="K156" s="58"/>
    </row>
    <row r="157" ht="15.75" customHeight="1" outlineLevel="1">
      <c r="A157" s="68">
        <v>10</v>
      </c>
      <c r="B157" s="59"/>
      <c r="C157" s="59"/>
      <c r="D157" s="59"/>
      <c r="E157" s="60"/>
      <c r="F157" s="61"/>
      <c r="G157" s="59"/>
      <c r="H157" s="59"/>
      <c r="I157" s="59"/>
      <c r="J157" s="57"/>
      <c r="K157" s="58"/>
    </row>
    <row r="158" ht="15.75" customHeight="1" outlineLevel="1">
      <c r="A158" s="68">
        <v>11</v>
      </c>
      <c r="B158" s="59"/>
      <c r="C158" s="59"/>
      <c r="D158" s="59"/>
      <c r="E158" s="60"/>
      <c r="F158" s="61"/>
      <c r="G158" s="59"/>
      <c r="H158" s="59"/>
      <c r="I158" s="59"/>
      <c r="J158" s="57"/>
      <c r="K158" s="58"/>
    </row>
    <row r="159" ht="15.75" customHeight="1" outlineLevel="1">
      <c r="A159" s="68">
        <v>12</v>
      </c>
      <c r="B159" s="59"/>
      <c r="C159" s="59"/>
      <c r="D159" s="59"/>
      <c r="E159" s="60"/>
      <c r="F159" s="61"/>
      <c r="G159" s="59"/>
      <c r="H159" s="59"/>
      <c r="I159" s="59"/>
      <c r="J159" s="57"/>
      <c r="K159" s="58"/>
    </row>
    <row r="160" ht="15.75" customHeight="1" outlineLevel="1">
      <c r="A160" s="68">
        <v>13</v>
      </c>
      <c r="B160" s="59"/>
      <c r="C160" s="59"/>
      <c r="D160" s="59"/>
      <c r="E160" s="60"/>
      <c r="F160" s="61"/>
      <c r="G160" s="59"/>
      <c r="H160" s="59"/>
      <c r="I160" s="59"/>
      <c r="J160" s="57"/>
      <c r="K160" s="58"/>
    </row>
    <row r="161" ht="15.75" customHeight="1" outlineLevel="1">
      <c r="A161" s="68">
        <v>14</v>
      </c>
      <c r="B161" s="59"/>
      <c r="C161" s="59"/>
      <c r="D161" s="59"/>
      <c r="E161" s="60"/>
      <c r="F161" s="61"/>
      <c r="G161" s="59"/>
      <c r="H161" s="59"/>
      <c r="I161" s="59"/>
      <c r="J161" s="57"/>
      <c r="K161" s="58"/>
    </row>
    <row r="162" ht="15.75" customHeight="1" outlineLevel="1">
      <c r="A162" s="69">
        <v>15</v>
      </c>
      <c r="B162" s="70"/>
      <c r="C162" s="70"/>
      <c r="D162" s="70"/>
      <c r="E162" s="71"/>
      <c r="F162" s="72"/>
      <c r="G162" s="70"/>
      <c r="H162" s="70"/>
      <c r="I162" s="70"/>
      <c r="J162" s="73"/>
      <c r="K162" s="74"/>
    </row>
    <row r="163" s="21" customFormat="1" ht="21.75" customHeight="1">
      <c r="A163" s="82" t="s">
        <v>31</v>
      </c>
      <c r="B163" s="83"/>
      <c r="C163" s="83"/>
      <c r="D163" s="103"/>
      <c r="E163" s="104">
        <f>SUM(E147:E162)</f>
        <v>0</v>
      </c>
      <c r="F163" s="21"/>
      <c r="G163" s="21"/>
      <c r="H163" s="21"/>
      <c r="I163" s="21"/>
    </row>
    <row r="164" s="21" customFormat="1" ht="21.75" customHeight="1">
      <c r="A164" s="82" t="s">
        <v>22</v>
      </c>
      <c r="B164" s="83"/>
      <c r="C164" s="83"/>
      <c r="D164" s="103"/>
      <c r="E164" s="104">
        <f>E143-E163</f>
        <v>3372</v>
      </c>
      <c r="F164" s="86"/>
      <c r="G164" s="21"/>
      <c r="H164" s="21"/>
      <c r="I164" s="21"/>
    </row>
    <row r="165" ht="15.75">
      <c r="A165" s="1"/>
      <c r="B165" s="1"/>
      <c r="C165" s="1"/>
      <c r="D165" s="1"/>
      <c r="E165" s="1"/>
      <c r="F165" s="1"/>
      <c r="G165" s="1"/>
      <c r="H165" s="1"/>
      <c r="I165" s="1"/>
    </row>
    <row r="166" ht="25.5" customHeight="1">
      <c r="A166" s="9" t="s">
        <v>32</v>
      </c>
      <c r="B166" s="10"/>
      <c r="C166" s="10"/>
      <c r="D166" s="11"/>
      <c r="E166" s="12">
        <f>SUM(E167:E168)</f>
        <v>12332.25</v>
      </c>
      <c r="F166" s="163" t="s">
        <v>44</v>
      </c>
      <c r="G166" s="13"/>
      <c r="H166" s="13"/>
      <c r="I166" s="13"/>
    </row>
    <row r="167" ht="15.75">
      <c r="A167" s="14" t="s">
        <v>33</v>
      </c>
      <c r="B167" s="15"/>
      <c r="C167" s="15"/>
      <c r="D167" s="16"/>
      <c r="E167" s="17">
        <v>9172.9500000000007</v>
      </c>
      <c r="F167" s="13"/>
      <c r="G167" s="13"/>
      <c r="H167" s="13"/>
      <c r="I167" s="13"/>
    </row>
    <row r="168" ht="15.75">
      <c r="A168" s="14" t="s">
        <v>34</v>
      </c>
      <c r="B168" s="15"/>
      <c r="C168" s="15"/>
      <c r="D168" s="16"/>
      <c r="E168" s="17">
        <v>3159.3000000000002</v>
      </c>
      <c r="F168" s="13"/>
      <c r="G168" s="13"/>
      <c r="H168" s="13"/>
      <c r="I168" s="13"/>
    </row>
    <row r="169" ht="15.75">
      <c r="A169" s="13"/>
      <c r="B169" s="13"/>
      <c r="C169" s="13"/>
      <c r="D169" s="13"/>
      <c r="E169" s="13"/>
      <c r="F169" s="13"/>
      <c r="G169" s="13"/>
      <c r="H169" s="13"/>
      <c r="I169" s="13"/>
    </row>
    <row r="170" ht="22.5">
      <c r="A170" s="87" t="s">
        <v>6</v>
      </c>
      <c r="B170" s="87" t="s">
        <v>7</v>
      </c>
      <c r="C170" s="87" t="s">
        <v>8</v>
      </c>
      <c r="D170" s="87" t="s">
        <v>9</v>
      </c>
      <c r="E170" s="88" t="s">
        <v>10</v>
      </c>
      <c r="F170" s="87" t="s">
        <v>11</v>
      </c>
      <c r="G170" s="87" t="s">
        <v>12</v>
      </c>
      <c r="H170" s="89" t="s">
        <v>13</v>
      </c>
      <c r="I170" s="87" t="s">
        <v>14</v>
      </c>
      <c r="J170" s="87" t="s">
        <v>15</v>
      </c>
      <c r="K170" s="87" t="s">
        <v>16</v>
      </c>
    </row>
    <row r="171" ht="15.75">
      <c r="A171" s="22"/>
      <c r="B171" s="23" t="s">
        <v>25</v>
      </c>
      <c r="C171" s="24"/>
      <c r="D171" s="25"/>
      <c r="E171" s="26"/>
      <c r="F171" s="23"/>
      <c r="G171" s="23"/>
      <c r="H171" s="23"/>
      <c r="I171" s="23"/>
      <c r="J171" s="23"/>
      <c r="K171" s="27"/>
    </row>
    <row r="172">
      <c r="A172" s="68">
        <v>1</v>
      </c>
      <c r="B172" s="106"/>
      <c r="C172" s="106"/>
      <c r="D172" s="107"/>
      <c r="E172" s="92"/>
      <c r="F172" s="107"/>
      <c r="G172" s="42"/>
      <c r="H172" s="42"/>
      <c r="I172" s="42" t="s">
        <v>35</v>
      </c>
      <c r="J172" s="57"/>
      <c r="K172" s="58"/>
    </row>
    <row r="173">
      <c r="A173" s="68">
        <v>2</v>
      </c>
      <c r="B173" s="106"/>
      <c r="C173" s="106"/>
      <c r="D173" s="107"/>
      <c r="E173" s="93"/>
      <c r="F173" s="107"/>
      <c r="G173" s="59"/>
      <c r="H173" s="59"/>
      <c r="I173" s="42"/>
      <c r="J173" s="57"/>
      <c r="K173" s="58"/>
    </row>
    <row r="174">
      <c r="A174" s="68">
        <v>3</v>
      </c>
      <c r="B174" s="108"/>
      <c r="C174" s="109"/>
      <c r="D174" s="110"/>
      <c r="E174" s="111"/>
      <c r="F174" s="110"/>
      <c r="G174" s="112"/>
      <c r="H174" s="113"/>
      <c r="I174" s="35"/>
      <c r="J174" s="114"/>
      <c r="K174" s="115"/>
    </row>
    <row r="175">
      <c r="A175" s="68">
        <v>4</v>
      </c>
      <c r="B175" s="108"/>
      <c r="C175" s="109"/>
      <c r="D175" s="110"/>
      <c r="E175" s="111"/>
      <c r="F175" s="110"/>
      <c r="G175" s="112"/>
      <c r="H175" s="113"/>
      <c r="I175" s="35"/>
      <c r="J175" s="114"/>
      <c r="K175" s="116"/>
    </row>
    <row r="176">
      <c r="A176" s="68">
        <v>5</v>
      </c>
      <c r="B176" s="42"/>
      <c r="C176" s="42"/>
      <c r="D176" s="42"/>
      <c r="E176" s="93"/>
      <c r="F176" s="94"/>
      <c r="G176" s="42"/>
      <c r="H176" s="42"/>
      <c r="I176" s="42"/>
      <c r="J176" s="43"/>
      <c r="K176" s="44"/>
    </row>
    <row r="177">
      <c r="A177" s="68">
        <v>6</v>
      </c>
      <c r="B177" s="43"/>
      <c r="C177" s="43"/>
      <c r="D177" s="43"/>
      <c r="E177" s="43"/>
      <c r="F177" s="43"/>
      <c r="G177" s="43"/>
      <c r="H177" s="42"/>
      <c r="I177" s="42"/>
      <c r="J177" s="43"/>
      <c r="K177" s="44"/>
    </row>
    <row r="178">
      <c r="A178" s="68">
        <v>7</v>
      </c>
      <c r="B178" s="43"/>
      <c r="C178" s="43"/>
      <c r="D178" s="43"/>
      <c r="E178" s="43"/>
      <c r="F178" s="43"/>
      <c r="G178" s="43"/>
      <c r="H178" s="42"/>
      <c r="I178" s="42"/>
      <c r="J178" s="43"/>
      <c r="K178" s="44"/>
    </row>
    <row r="179">
      <c r="A179" s="68">
        <v>8</v>
      </c>
      <c r="B179" s="42"/>
      <c r="C179" s="94"/>
      <c r="D179" s="94"/>
      <c r="E179" s="93"/>
      <c r="F179" s="94"/>
      <c r="G179" s="42"/>
      <c r="H179" s="42"/>
      <c r="I179" s="42"/>
      <c r="J179" s="43"/>
      <c r="K179" s="44"/>
    </row>
    <row r="180">
      <c r="A180" s="68">
        <v>9</v>
      </c>
      <c r="B180" s="42"/>
      <c r="C180" s="94"/>
      <c r="D180" s="94"/>
      <c r="E180" s="93"/>
      <c r="F180" s="94"/>
      <c r="G180" s="42"/>
      <c r="H180" s="42"/>
      <c r="I180" s="42"/>
      <c r="J180" s="43"/>
      <c r="K180" s="44"/>
    </row>
    <row r="181">
      <c r="A181" s="68">
        <v>10</v>
      </c>
      <c r="B181" s="42"/>
      <c r="C181" s="94"/>
      <c r="D181" s="94"/>
      <c r="E181" s="93"/>
      <c r="F181" s="94"/>
      <c r="G181" s="42"/>
      <c r="H181" s="42"/>
      <c r="I181" s="42"/>
      <c r="J181" s="43"/>
      <c r="K181" s="44"/>
    </row>
    <row r="182">
      <c r="A182" s="68">
        <v>11</v>
      </c>
      <c r="B182" s="42"/>
      <c r="C182" s="94"/>
      <c r="D182" s="94"/>
      <c r="E182" s="93"/>
      <c r="F182" s="94"/>
      <c r="G182" s="42"/>
      <c r="H182" s="42"/>
      <c r="I182" s="42"/>
      <c r="J182" s="43"/>
      <c r="K182" s="44"/>
    </row>
    <row r="183">
      <c r="A183" s="68">
        <v>12</v>
      </c>
      <c r="B183" s="59"/>
      <c r="C183" s="61"/>
      <c r="D183" s="61"/>
      <c r="E183" s="93"/>
      <c r="F183" s="61"/>
      <c r="G183" s="59"/>
      <c r="H183" s="59"/>
      <c r="I183" s="42"/>
      <c r="J183" s="57"/>
      <c r="K183" s="58"/>
    </row>
    <row r="184">
      <c r="A184" s="68">
        <v>13</v>
      </c>
      <c r="B184" s="59"/>
      <c r="C184" s="61"/>
      <c r="D184" s="61"/>
      <c r="E184" s="93"/>
      <c r="F184" s="61"/>
      <c r="G184" s="59"/>
      <c r="H184" s="59"/>
      <c r="I184" s="42"/>
      <c r="J184" s="57"/>
      <c r="K184" s="58"/>
    </row>
    <row r="185">
      <c r="A185" s="68">
        <v>14</v>
      </c>
      <c r="B185" s="59"/>
      <c r="C185" s="61"/>
      <c r="D185" s="61"/>
      <c r="E185" s="93"/>
      <c r="F185" s="61"/>
      <c r="G185" s="59"/>
      <c r="H185" s="59"/>
      <c r="I185" s="42"/>
      <c r="J185" s="57"/>
      <c r="K185" s="58"/>
    </row>
    <row r="186" ht="15.75">
      <c r="A186" s="68">
        <v>15</v>
      </c>
      <c r="B186" s="59"/>
      <c r="C186" s="61"/>
      <c r="D186" s="61"/>
      <c r="E186" s="93"/>
      <c r="F186" s="61"/>
      <c r="G186" s="59"/>
      <c r="H186" s="59"/>
      <c r="I186" s="42"/>
      <c r="J186" s="57"/>
      <c r="K186" s="58"/>
    </row>
    <row r="187" ht="15.75">
      <c r="A187" s="22"/>
      <c r="B187" s="23" t="s">
        <v>26</v>
      </c>
      <c r="C187" s="24"/>
      <c r="D187" s="25"/>
      <c r="E187" s="26"/>
      <c r="F187" s="23"/>
      <c r="G187" s="23"/>
      <c r="H187" s="23"/>
      <c r="I187" s="23"/>
      <c r="J187" s="23"/>
      <c r="K187" s="27"/>
    </row>
    <row r="188">
      <c r="A188" s="62">
        <v>1</v>
      </c>
      <c r="B188" s="63"/>
      <c r="C188" s="63"/>
      <c r="D188" s="63"/>
      <c r="E188" s="64"/>
      <c r="F188" s="65"/>
      <c r="G188" s="63"/>
      <c r="H188" s="63"/>
      <c r="I188" s="63"/>
      <c r="J188" s="66"/>
      <c r="K188" s="67"/>
    </row>
    <row r="189">
      <c r="A189" s="68">
        <v>2</v>
      </c>
      <c r="B189" s="59"/>
      <c r="C189" s="59"/>
      <c r="D189" s="59"/>
      <c r="E189" s="60"/>
      <c r="F189" s="61"/>
      <c r="G189" s="59"/>
      <c r="H189" s="59"/>
      <c r="I189" s="59"/>
      <c r="J189" s="57"/>
      <c r="K189" s="58"/>
    </row>
    <row r="190">
      <c r="A190" s="68">
        <v>3</v>
      </c>
      <c r="B190" s="59"/>
      <c r="C190" s="59"/>
      <c r="D190" s="59"/>
      <c r="E190" s="60"/>
      <c r="F190" s="61"/>
      <c r="G190" s="59"/>
      <c r="H190" s="59"/>
      <c r="I190" s="59"/>
      <c r="J190" s="57"/>
      <c r="K190" s="58"/>
    </row>
    <row r="191">
      <c r="A191" s="68">
        <v>4</v>
      </c>
      <c r="B191" s="59"/>
      <c r="C191" s="59"/>
      <c r="D191" s="59"/>
      <c r="E191" s="60"/>
      <c r="F191" s="61"/>
      <c r="G191" s="59"/>
      <c r="H191" s="59"/>
      <c r="I191" s="59"/>
      <c r="J191" s="57"/>
      <c r="K191" s="58"/>
    </row>
    <row r="192" ht="15.75">
      <c r="A192" s="69">
        <v>5</v>
      </c>
      <c r="B192" s="70"/>
      <c r="C192" s="70"/>
      <c r="D192" s="70"/>
      <c r="E192" s="71"/>
      <c r="F192" s="72"/>
      <c r="G192" s="70"/>
      <c r="H192" s="70"/>
      <c r="I192" s="70"/>
      <c r="J192" s="73"/>
      <c r="K192" s="74"/>
    </row>
    <row r="193" ht="15.75">
      <c r="A193" s="22"/>
      <c r="B193" s="23" t="s">
        <v>19</v>
      </c>
      <c r="C193" s="24"/>
      <c r="D193" s="25"/>
      <c r="E193" s="26"/>
      <c r="F193" s="23"/>
      <c r="G193" s="23"/>
      <c r="H193" s="23"/>
      <c r="I193" s="23"/>
      <c r="J193" s="23"/>
      <c r="K193" s="27"/>
    </row>
    <row r="194">
      <c r="A194" s="62">
        <v>1</v>
      </c>
      <c r="B194" s="39"/>
      <c r="C194" s="56"/>
      <c r="D194" s="59"/>
      <c r="E194" s="60"/>
      <c r="F194" s="101"/>
      <c r="G194" s="63"/>
      <c r="H194" s="63"/>
      <c r="I194" s="63"/>
      <c r="J194" s="66"/>
      <c r="K194" s="67"/>
    </row>
    <row r="195">
      <c r="A195" s="68">
        <v>2</v>
      </c>
      <c r="B195" s="117"/>
      <c r="C195" s="117"/>
      <c r="D195" s="118"/>
      <c r="E195" s="60"/>
      <c r="F195" s="119"/>
      <c r="G195" s="59"/>
      <c r="H195" s="59"/>
      <c r="I195" s="59"/>
      <c r="J195" s="57"/>
      <c r="K195" s="58"/>
    </row>
    <row r="196">
      <c r="A196" s="68">
        <v>3</v>
      </c>
      <c r="B196" s="59"/>
      <c r="C196" s="59"/>
      <c r="D196" s="59"/>
      <c r="E196" s="60"/>
      <c r="F196" s="61"/>
      <c r="G196" s="59"/>
      <c r="H196" s="59"/>
      <c r="I196" s="59"/>
      <c r="J196" s="57"/>
      <c r="K196" s="58"/>
    </row>
    <row r="197">
      <c r="A197" s="68">
        <v>4</v>
      </c>
      <c r="B197" s="59"/>
      <c r="C197" s="59"/>
      <c r="D197" s="59"/>
      <c r="E197" s="60"/>
      <c r="F197" s="61"/>
      <c r="G197" s="59"/>
      <c r="H197" s="59"/>
      <c r="I197" s="59"/>
      <c r="J197" s="57"/>
      <c r="K197" s="58"/>
    </row>
    <row r="198" ht="15.75">
      <c r="A198" s="69">
        <v>5</v>
      </c>
      <c r="B198" s="70"/>
      <c r="C198" s="70"/>
      <c r="D198" s="70"/>
      <c r="E198" s="71"/>
      <c r="F198" s="72"/>
      <c r="G198" s="70"/>
      <c r="H198" s="70"/>
      <c r="I198" s="70"/>
      <c r="J198" s="73"/>
      <c r="K198" s="74"/>
    </row>
    <row r="199" s="21" customFormat="1" ht="26.25" customHeight="1">
      <c r="A199" s="82" t="s">
        <v>36</v>
      </c>
      <c r="B199" s="83"/>
      <c r="C199" s="83"/>
      <c r="D199" s="103"/>
      <c r="E199" s="104">
        <f>SUM(E172:E198)</f>
        <v>0</v>
      </c>
      <c r="F199" s="21"/>
      <c r="G199" s="21"/>
      <c r="H199" s="21"/>
      <c r="I199" s="21"/>
    </row>
    <row r="200" s="21" customFormat="1" ht="27" customHeight="1">
      <c r="A200" s="82" t="s">
        <v>22</v>
      </c>
      <c r="B200" s="83"/>
      <c r="C200" s="83"/>
      <c r="D200" s="103"/>
      <c r="E200" s="104">
        <f>E166-E199</f>
        <v>12332.25</v>
      </c>
      <c r="F200" s="86"/>
      <c r="G200" s="21"/>
      <c r="H200" s="21"/>
      <c r="I200" s="21"/>
    </row>
    <row r="201" ht="14.25">
      <c r="A201" s="1"/>
      <c r="B201" s="1"/>
      <c r="C201" s="1"/>
      <c r="D201" s="1"/>
      <c r="E201" s="1"/>
      <c r="F201" s="1"/>
      <c r="G201" s="1"/>
      <c r="H201" s="1"/>
      <c r="I201" s="1"/>
    </row>
    <row r="202" ht="15.75">
      <c r="A202" s="1"/>
      <c r="B202" s="1"/>
      <c r="C202" s="1"/>
      <c r="D202" s="1"/>
      <c r="E202" s="1"/>
      <c r="F202" s="1"/>
      <c r="G202" s="1"/>
      <c r="H202" s="1"/>
      <c r="I202" s="1"/>
    </row>
    <row r="203" ht="36" customHeight="1">
      <c r="A203" s="120" t="s">
        <v>37</v>
      </c>
      <c r="B203" s="120"/>
      <c r="C203" s="120"/>
      <c r="D203" s="120"/>
      <c r="E203" s="121">
        <f>E204+E205</f>
        <v>2715</v>
      </c>
      <c r="F203" s="163" t="s">
        <v>44</v>
      </c>
      <c r="G203" s="123"/>
      <c r="H203" s="123"/>
      <c r="I203" s="123"/>
      <c r="J203" s="124"/>
      <c r="K203" s="124"/>
    </row>
    <row r="204" ht="15.75" customHeight="1">
      <c r="A204" s="125" t="s">
        <v>38</v>
      </c>
      <c r="B204" s="125"/>
      <c r="C204" s="125"/>
      <c r="D204" s="125"/>
      <c r="E204" s="126">
        <v>0</v>
      </c>
      <c r="F204" s="123"/>
      <c r="G204" s="123"/>
      <c r="H204" s="123"/>
      <c r="I204" s="123"/>
      <c r="J204" s="124"/>
      <c r="K204" s="124"/>
    </row>
    <row r="205" ht="15.75" customHeight="1">
      <c r="A205" s="125" t="s">
        <v>39</v>
      </c>
      <c r="B205" s="125"/>
      <c r="C205" s="125"/>
      <c r="D205" s="125"/>
      <c r="E205" s="126">
        <v>2715</v>
      </c>
      <c r="F205" s="123"/>
      <c r="G205" s="123"/>
      <c r="H205" s="123"/>
      <c r="I205" s="123"/>
      <c r="J205" s="124"/>
      <c r="K205" s="124"/>
    </row>
    <row r="206" ht="15.75">
      <c r="A206" s="123"/>
      <c r="B206" s="123"/>
      <c r="C206" s="123"/>
      <c r="D206" s="123"/>
      <c r="E206" s="123"/>
      <c r="F206" s="123"/>
      <c r="G206" s="123"/>
      <c r="H206" s="123"/>
      <c r="I206" s="123"/>
      <c r="J206" s="124"/>
      <c r="K206" s="124"/>
    </row>
    <row r="207" ht="24.75">
      <c r="A207" s="127" t="s">
        <v>6</v>
      </c>
      <c r="B207" s="127" t="s">
        <v>7</v>
      </c>
      <c r="C207" s="127" t="s">
        <v>8</v>
      </c>
      <c r="D207" s="127" t="s">
        <v>9</v>
      </c>
      <c r="E207" s="127" t="s">
        <v>40</v>
      </c>
      <c r="F207" s="127" t="s">
        <v>11</v>
      </c>
      <c r="G207" s="127" t="s">
        <v>12</v>
      </c>
      <c r="H207" s="128" t="s">
        <v>13</v>
      </c>
      <c r="I207" s="127" t="s">
        <v>14</v>
      </c>
      <c r="J207" s="127" t="s">
        <v>15</v>
      </c>
      <c r="K207" s="127" t="s">
        <v>16</v>
      </c>
    </row>
    <row r="208" ht="15.75">
      <c r="A208" s="129" t="s">
        <v>41</v>
      </c>
      <c r="B208" s="130"/>
      <c r="C208" s="130"/>
      <c r="D208" s="130"/>
      <c r="E208" s="130"/>
      <c r="F208" s="130"/>
      <c r="G208" s="130"/>
      <c r="H208" s="130"/>
      <c r="I208" s="130"/>
      <c r="J208" s="130"/>
      <c r="K208" s="131"/>
    </row>
    <row r="209">
      <c r="A209" s="132">
        <v>1</v>
      </c>
      <c r="B209" s="133"/>
      <c r="C209" s="133"/>
      <c r="D209" s="134"/>
      <c r="E209" s="135"/>
      <c r="F209" s="134"/>
      <c r="G209" s="136"/>
      <c r="H209" s="136"/>
      <c r="I209" s="136"/>
      <c r="J209" s="137"/>
      <c r="K209" s="138"/>
    </row>
    <row r="210">
      <c r="A210" s="139">
        <v>2</v>
      </c>
      <c r="B210" s="140"/>
      <c r="C210" s="140"/>
      <c r="D210" s="141"/>
      <c r="E210" s="142"/>
      <c r="F210" s="141"/>
      <c r="G210" s="143"/>
      <c r="H210" s="143"/>
      <c r="I210" s="142"/>
      <c r="J210" s="144"/>
      <c r="K210" s="145"/>
    </row>
    <row r="211">
      <c r="A211" s="139">
        <v>3</v>
      </c>
      <c r="B211" s="143"/>
      <c r="C211" s="143"/>
      <c r="D211" s="143"/>
      <c r="E211" s="142"/>
      <c r="F211" s="146"/>
      <c r="G211" s="143"/>
      <c r="H211" s="143"/>
      <c r="I211" s="142"/>
      <c r="J211" s="144"/>
      <c r="K211" s="145"/>
    </row>
    <row r="212">
      <c r="A212" s="139">
        <v>4</v>
      </c>
      <c r="B212" s="143"/>
      <c r="C212" s="146"/>
      <c r="D212" s="146"/>
      <c r="E212" s="142"/>
      <c r="F212" s="146"/>
      <c r="G212" s="143"/>
      <c r="H212" s="143"/>
      <c r="I212" s="142"/>
      <c r="J212" s="144"/>
      <c r="K212" s="145"/>
    </row>
    <row r="213">
      <c r="A213" s="139">
        <v>5</v>
      </c>
      <c r="B213" s="143"/>
      <c r="C213" s="143"/>
      <c r="D213" s="143"/>
      <c r="E213" s="143"/>
      <c r="F213" s="146"/>
      <c r="G213" s="143"/>
      <c r="H213" s="143"/>
      <c r="I213" s="142"/>
      <c r="J213" s="144"/>
      <c r="K213" s="145"/>
    </row>
    <row r="214">
      <c r="A214" s="139">
        <v>6</v>
      </c>
      <c r="B214" s="144"/>
      <c r="C214" s="144"/>
      <c r="D214" s="144"/>
      <c r="E214" s="144"/>
      <c r="F214" s="144"/>
      <c r="G214" s="144"/>
      <c r="H214" s="143"/>
      <c r="I214" s="142"/>
      <c r="J214" s="144"/>
      <c r="K214" s="145"/>
    </row>
    <row r="215">
      <c r="A215" s="139">
        <v>7</v>
      </c>
      <c r="B215" s="144"/>
      <c r="C215" s="144"/>
      <c r="D215" s="144"/>
      <c r="E215" s="144"/>
      <c r="F215" s="144"/>
      <c r="G215" s="144"/>
      <c r="H215" s="143"/>
      <c r="I215" s="143"/>
      <c r="J215" s="144"/>
      <c r="K215" s="145"/>
    </row>
    <row r="216">
      <c r="A216" s="139">
        <v>8</v>
      </c>
      <c r="B216" s="143"/>
      <c r="C216" s="146"/>
      <c r="D216" s="146"/>
      <c r="E216" s="142"/>
      <c r="F216" s="146"/>
      <c r="G216" s="143"/>
      <c r="H216" s="143"/>
      <c r="I216" s="142"/>
      <c r="J216" s="144"/>
      <c r="K216" s="145"/>
    </row>
    <row r="217">
      <c r="A217" s="139">
        <v>9</v>
      </c>
      <c r="B217" s="143"/>
      <c r="C217" s="146"/>
      <c r="D217" s="146"/>
      <c r="E217" s="142"/>
      <c r="F217" s="146"/>
      <c r="G217" s="143"/>
      <c r="H217" s="143"/>
      <c r="I217" s="142"/>
      <c r="J217" s="144"/>
      <c r="K217" s="145"/>
    </row>
    <row r="218">
      <c r="A218" s="139">
        <v>10</v>
      </c>
      <c r="B218" s="143"/>
      <c r="C218" s="146"/>
      <c r="D218" s="146"/>
      <c r="E218" s="142"/>
      <c r="F218" s="146"/>
      <c r="G218" s="143"/>
      <c r="H218" s="143"/>
      <c r="I218" s="142"/>
      <c r="J218" s="144"/>
      <c r="K218" s="145"/>
    </row>
    <row r="219">
      <c r="A219" s="139">
        <v>11</v>
      </c>
      <c r="B219" s="143"/>
      <c r="C219" s="146"/>
      <c r="D219" s="146"/>
      <c r="E219" s="142"/>
      <c r="F219" s="146"/>
      <c r="G219" s="143"/>
      <c r="H219" s="143"/>
      <c r="I219" s="142"/>
      <c r="J219" s="144"/>
      <c r="K219" s="145"/>
    </row>
    <row r="220">
      <c r="A220" s="139">
        <v>12</v>
      </c>
      <c r="B220" s="143"/>
      <c r="C220" s="146"/>
      <c r="D220" s="146"/>
      <c r="E220" s="142"/>
      <c r="F220" s="146"/>
      <c r="G220" s="143"/>
      <c r="H220" s="143"/>
      <c r="I220" s="142"/>
      <c r="J220" s="144"/>
      <c r="K220" s="145"/>
    </row>
    <row r="221">
      <c r="A221" s="139">
        <v>13</v>
      </c>
      <c r="B221" s="143"/>
      <c r="C221" s="146"/>
      <c r="D221" s="146"/>
      <c r="E221" s="142"/>
      <c r="F221" s="146"/>
      <c r="G221" s="143"/>
      <c r="H221" s="143"/>
      <c r="I221" s="142"/>
      <c r="J221" s="144"/>
      <c r="K221" s="145"/>
    </row>
    <row r="222">
      <c r="A222" s="139">
        <v>14</v>
      </c>
      <c r="B222" s="143"/>
      <c r="C222" s="146"/>
      <c r="D222" s="146"/>
      <c r="E222" s="142"/>
      <c r="F222" s="146"/>
      <c r="G222" s="143"/>
      <c r="H222" s="143"/>
      <c r="I222" s="142"/>
      <c r="J222" s="144"/>
      <c r="K222" s="145"/>
    </row>
    <row r="223" ht="15.75">
      <c r="A223" s="147">
        <v>15</v>
      </c>
      <c r="B223" s="148"/>
      <c r="C223" s="149"/>
      <c r="D223" s="149"/>
      <c r="E223" s="150"/>
      <c r="F223" s="149"/>
      <c r="G223" s="148"/>
      <c r="H223" s="148"/>
      <c r="I223" s="150"/>
      <c r="J223" s="151"/>
      <c r="K223" s="152"/>
    </row>
    <row r="224" ht="15.75">
      <c r="A224" s="22"/>
      <c r="B224" s="23" t="s">
        <v>26</v>
      </c>
      <c r="C224" s="24"/>
      <c r="D224" s="25"/>
      <c r="E224" s="26"/>
      <c r="F224" s="23"/>
      <c r="G224" s="23"/>
      <c r="H224" s="23"/>
      <c r="I224" s="23"/>
      <c r="J224" s="23"/>
      <c r="K224" s="27"/>
    </row>
    <row r="225">
      <c r="A225" s="132">
        <v>1</v>
      </c>
      <c r="B225" s="153"/>
      <c r="C225" s="153"/>
      <c r="D225" s="153"/>
      <c r="E225" s="153"/>
      <c r="F225" s="154"/>
      <c r="G225" s="153"/>
      <c r="H225" s="153"/>
      <c r="I225" s="153"/>
      <c r="J225" s="137"/>
      <c r="K225" s="138"/>
    </row>
    <row r="226">
      <c r="A226" s="139">
        <v>2</v>
      </c>
      <c r="B226" s="143"/>
      <c r="C226" s="143"/>
      <c r="D226" s="143"/>
      <c r="E226" s="143"/>
      <c r="F226" s="146"/>
      <c r="G226" s="143"/>
      <c r="H226" s="143"/>
      <c r="I226" s="143"/>
      <c r="J226" s="144"/>
      <c r="K226" s="145"/>
    </row>
    <row r="227">
      <c r="A227" s="139">
        <v>3</v>
      </c>
      <c r="B227" s="143"/>
      <c r="C227" s="143"/>
      <c r="D227" s="143"/>
      <c r="E227" s="143"/>
      <c r="F227" s="146"/>
      <c r="G227" s="143"/>
      <c r="H227" s="143"/>
      <c r="I227" s="143"/>
      <c r="J227" s="144"/>
      <c r="K227" s="145"/>
    </row>
    <row r="228">
      <c r="A228" s="139">
        <v>4</v>
      </c>
      <c r="B228" s="143"/>
      <c r="C228" s="143"/>
      <c r="D228" s="143"/>
      <c r="E228" s="143"/>
      <c r="F228" s="146"/>
      <c r="G228" s="143"/>
      <c r="H228" s="143"/>
      <c r="I228" s="143"/>
      <c r="J228" s="144"/>
      <c r="K228" s="145"/>
    </row>
    <row r="229" ht="15.75">
      <c r="A229" s="147">
        <v>5</v>
      </c>
      <c r="B229" s="148"/>
      <c r="C229" s="148"/>
      <c r="D229" s="148"/>
      <c r="E229" s="148"/>
      <c r="F229" s="149"/>
      <c r="G229" s="148"/>
      <c r="H229" s="148"/>
      <c r="I229" s="148"/>
      <c r="J229" s="151"/>
      <c r="K229" s="152"/>
    </row>
    <row r="230" ht="15.75">
      <c r="A230" s="22"/>
      <c r="B230" s="23" t="s">
        <v>19</v>
      </c>
      <c r="C230" s="24"/>
      <c r="D230" s="25"/>
      <c r="E230" s="26"/>
      <c r="F230" s="23"/>
      <c r="G230" s="23"/>
      <c r="H230" s="23"/>
      <c r="I230" s="23"/>
      <c r="J230" s="23"/>
      <c r="K230" s="27"/>
    </row>
    <row r="231">
      <c r="A231" s="132">
        <v>1</v>
      </c>
      <c r="B231" s="136"/>
      <c r="C231" s="153"/>
      <c r="D231" s="153"/>
      <c r="E231" s="153"/>
      <c r="F231" s="154"/>
      <c r="G231" s="153"/>
      <c r="H231" s="153"/>
      <c r="I231" s="153"/>
      <c r="J231" s="137"/>
      <c r="K231" s="138"/>
    </row>
    <row r="232">
      <c r="A232" s="139">
        <v>2</v>
      </c>
      <c r="B232" s="155"/>
      <c r="C232" s="155"/>
      <c r="D232" s="156"/>
      <c r="E232" s="143"/>
      <c r="F232" s="157"/>
      <c r="G232" s="143"/>
      <c r="H232" s="143"/>
      <c r="I232" s="143"/>
      <c r="J232" s="144"/>
      <c r="K232" s="145"/>
    </row>
    <row r="233">
      <c r="A233" s="139">
        <v>3</v>
      </c>
      <c r="B233" s="143"/>
      <c r="C233" s="143"/>
      <c r="D233" s="143"/>
      <c r="E233" s="143"/>
      <c r="F233" s="146"/>
      <c r="G233" s="143"/>
      <c r="H233" s="143"/>
      <c r="I233" s="143"/>
      <c r="J233" s="144"/>
      <c r="K233" s="145"/>
    </row>
    <row r="234">
      <c r="A234" s="139">
        <v>4</v>
      </c>
      <c r="B234" s="143"/>
      <c r="C234" s="143"/>
      <c r="D234" s="143"/>
      <c r="E234" s="143"/>
      <c r="F234" s="146"/>
      <c r="G234" s="143"/>
      <c r="H234" s="143"/>
      <c r="I234" s="143"/>
      <c r="J234" s="144"/>
      <c r="K234" s="145"/>
    </row>
    <row r="235" ht="15.75">
      <c r="A235" s="147">
        <v>5</v>
      </c>
      <c r="B235" s="148"/>
      <c r="C235" s="148"/>
      <c r="D235" s="148"/>
      <c r="E235" s="148"/>
      <c r="F235" s="149"/>
      <c r="G235" s="148"/>
      <c r="H235" s="148"/>
      <c r="I235" s="148"/>
      <c r="J235" s="151"/>
      <c r="K235" s="152"/>
    </row>
    <row r="236" ht="27.75" customHeight="1">
      <c r="A236" s="158" t="s">
        <v>42</v>
      </c>
      <c r="B236" s="158"/>
      <c r="C236" s="158"/>
      <c r="D236" s="158"/>
      <c r="E236" s="159">
        <f>SUM(E209:E235)</f>
        <v>0</v>
      </c>
      <c r="F236" s="160"/>
      <c r="G236" s="160"/>
      <c r="H236" s="160"/>
      <c r="I236" s="160"/>
      <c r="J236" s="160"/>
      <c r="K236" s="160"/>
    </row>
    <row r="237" ht="27.75" customHeight="1">
      <c r="A237" s="158" t="s">
        <v>43</v>
      </c>
      <c r="B237" s="158"/>
      <c r="C237" s="158"/>
      <c r="D237" s="158"/>
      <c r="E237" s="161">
        <f>E203-E236</f>
        <v>2715</v>
      </c>
      <c r="F237" s="162"/>
      <c r="G237" s="160"/>
      <c r="H237" s="160"/>
      <c r="I237" s="160"/>
      <c r="J237" s="160"/>
      <c r="K237" s="160"/>
    </row>
    <row r="238" ht="14.25">
      <c r="A238" s="1"/>
      <c r="B238" s="1"/>
      <c r="C238" s="1"/>
      <c r="D238" s="1"/>
      <c r="E238" s="1"/>
      <c r="F238" s="1"/>
      <c r="G238" s="1"/>
      <c r="H238" s="1"/>
      <c r="I238" s="1"/>
    </row>
    <row r="239" ht="14.25">
      <c r="A239" s="1"/>
      <c r="B239" s="1"/>
      <c r="C239" s="1"/>
      <c r="D239" s="1"/>
      <c r="E239" s="1"/>
      <c r="F239" s="1"/>
      <c r="G239" s="1"/>
      <c r="H239" s="1"/>
      <c r="I239" s="1"/>
    </row>
    <row r="240" ht="14.25">
      <c r="A240" s="1"/>
      <c r="B240" s="1"/>
      <c r="C240" s="1"/>
      <c r="D240" s="1"/>
      <c r="E240" s="1"/>
      <c r="F240" s="1"/>
      <c r="G240" s="1"/>
      <c r="H240" s="1"/>
      <c r="I240" s="1"/>
    </row>
    <row r="241" ht="14.25">
      <c r="A241" s="1"/>
      <c r="B241" s="1"/>
      <c r="C241" s="1"/>
      <c r="D241" s="1"/>
      <c r="E241" s="1"/>
      <c r="F241" s="1"/>
      <c r="G241" s="1"/>
      <c r="H241" s="1"/>
      <c r="I241" s="1"/>
    </row>
    <row r="242" ht="14.25">
      <c r="A242" s="1"/>
      <c r="B242" s="1"/>
      <c r="C242" s="1"/>
      <c r="D242" s="1"/>
      <c r="E242" s="1"/>
      <c r="F242" s="1"/>
      <c r="G242" s="1"/>
      <c r="H242" s="1"/>
      <c r="I242" s="1"/>
    </row>
    <row r="243" ht="14.25">
      <c r="A243" s="1"/>
      <c r="B243" s="1"/>
      <c r="C243" s="1"/>
      <c r="D243" s="1"/>
      <c r="E243" s="1"/>
      <c r="F243" s="1"/>
      <c r="G243" s="1"/>
      <c r="H243" s="1"/>
      <c r="I243" s="1"/>
    </row>
    <row r="244" ht="14.25">
      <c r="A244" s="1"/>
      <c r="B244" s="1"/>
      <c r="C244" s="1"/>
      <c r="D244" s="1"/>
      <c r="E244" s="1"/>
      <c r="F244" s="1"/>
      <c r="G244" s="1"/>
      <c r="H244" s="1"/>
      <c r="I244" s="1"/>
    </row>
    <row r="245" ht="14.25">
      <c r="A245" s="1"/>
      <c r="B245" s="1"/>
      <c r="C245" s="1"/>
      <c r="D245" s="1"/>
      <c r="E245" s="1"/>
      <c r="F245" s="1"/>
      <c r="G245" s="1"/>
      <c r="H245" s="1"/>
      <c r="I245" s="1"/>
    </row>
    <row r="246" ht="14.25">
      <c r="A246" s="1"/>
      <c r="B246" s="1"/>
      <c r="C246" s="1"/>
      <c r="D246" s="1"/>
      <c r="E246" s="1"/>
      <c r="F246" s="1"/>
      <c r="G246" s="1"/>
      <c r="H246" s="1"/>
      <c r="I246" s="1"/>
    </row>
    <row r="247" ht="14.25">
      <c r="A247" s="1"/>
      <c r="B247" s="1"/>
      <c r="C247" s="1"/>
      <c r="D247" s="1"/>
      <c r="E247" s="1"/>
      <c r="F247" s="1"/>
      <c r="G247" s="1"/>
      <c r="H247" s="1"/>
      <c r="I247" s="1"/>
    </row>
    <row r="248" ht="14.25">
      <c r="A248" s="1"/>
      <c r="B248" s="1"/>
      <c r="C248" s="1"/>
      <c r="D248" s="1"/>
      <c r="E248" s="1"/>
      <c r="F248" s="1"/>
      <c r="G248" s="1"/>
      <c r="H248" s="1"/>
      <c r="I248" s="1"/>
    </row>
    <row r="249" ht="14.25">
      <c r="A249" s="1"/>
      <c r="B249" s="1"/>
      <c r="C249" s="1"/>
      <c r="D249" s="1"/>
      <c r="E249" s="1"/>
      <c r="F249" s="1"/>
      <c r="G249" s="1"/>
      <c r="H249" s="1"/>
      <c r="I249" s="1"/>
    </row>
    <row r="250" ht="14.25">
      <c r="A250" s="1"/>
      <c r="B250" s="1"/>
      <c r="C250" s="1"/>
      <c r="D250" s="1"/>
      <c r="E250" s="1"/>
      <c r="F250" s="1"/>
      <c r="G250" s="1"/>
      <c r="H250" s="1"/>
      <c r="I250" s="1"/>
    </row>
    <row r="251" ht="14.25">
      <c r="A251" s="1"/>
      <c r="B251" s="1"/>
      <c r="C251" s="1"/>
      <c r="D251" s="1"/>
      <c r="E251" s="1"/>
      <c r="F251" s="1"/>
      <c r="G251" s="1"/>
      <c r="H251" s="1"/>
      <c r="I251" s="1"/>
    </row>
    <row r="252" ht="14.25">
      <c r="A252" s="1"/>
      <c r="B252" s="1"/>
      <c r="C252" s="1"/>
      <c r="D252" s="1"/>
      <c r="E252" s="1"/>
      <c r="F252" s="1"/>
      <c r="G252" s="1"/>
      <c r="H252" s="1"/>
      <c r="I252" s="1"/>
    </row>
    <row r="253" ht="14.25">
      <c r="A253" s="1"/>
      <c r="B253" s="1"/>
      <c r="C253" s="1"/>
      <c r="D253" s="1"/>
      <c r="E253" s="1"/>
      <c r="F253" s="1"/>
      <c r="G253" s="1"/>
      <c r="H253" s="1"/>
      <c r="I253" s="1"/>
    </row>
    <row r="254" ht="14.25">
      <c r="A254" s="1"/>
      <c r="B254" s="1"/>
      <c r="C254" s="1"/>
      <c r="D254" s="1"/>
      <c r="E254" s="1"/>
      <c r="F254" s="1"/>
      <c r="G254" s="1"/>
      <c r="H254" s="1"/>
      <c r="I254" s="1"/>
    </row>
    <row r="255" ht="14.25">
      <c r="A255" s="1"/>
      <c r="B255" s="1"/>
      <c r="C255" s="1"/>
      <c r="D255" s="1"/>
      <c r="E255" s="1"/>
      <c r="F255" s="1"/>
      <c r="G255" s="1"/>
      <c r="H255" s="1"/>
      <c r="I255" s="1"/>
    </row>
    <row r="256" ht="14.25">
      <c r="A256" s="1"/>
      <c r="B256" s="1"/>
      <c r="C256" s="1"/>
      <c r="D256" s="1"/>
      <c r="E256" s="1"/>
      <c r="F256" s="1"/>
      <c r="G256" s="1"/>
      <c r="H256" s="1"/>
      <c r="I256" s="1"/>
    </row>
    <row r="257" ht="14.25">
      <c r="A257" s="1"/>
      <c r="B257" s="1"/>
      <c r="C257" s="1"/>
      <c r="D257" s="1"/>
      <c r="E257" s="1"/>
      <c r="F257" s="1"/>
      <c r="G257" s="1"/>
      <c r="H257" s="1"/>
      <c r="I257" s="1"/>
    </row>
    <row r="258" ht="14.25">
      <c r="A258" s="1"/>
      <c r="B258" s="1"/>
      <c r="C258" s="1"/>
      <c r="D258" s="1"/>
      <c r="E258" s="1"/>
      <c r="F258" s="1"/>
      <c r="G258" s="1"/>
      <c r="H258" s="1"/>
      <c r="I258" s="1"/>
    </row>
    <row r="259" ht="14.25">
      <c r="A259" s="1"/>
      <c r="B259" s="1"/>
      <c r="C259" s="1"/>
      <c r="D259" s="1"/>
      <c r="E259" s="1"/>
      <c r="F259" s="1"/>
      <c r="G259" s="1"/>
      <c r="H259" s="1"/>
      <c r="I259" s="1"/>
    </row>
    <row r="260" ht="14.25">
      <c r="A260" s="1"/>
      <c r="B260" s="1"/>
      <c r="C260" s="1"/>
      <c r="D260" s="1"/>
      <c r="E260" s="1"/>
      <c r="F260" s="1"/>
      <c r="G260" s="1"/>
      <c r="H260" s="1"/>
      <c r="I260" s="1"/>
    </row>
    <row r="261" ht="14.25">
      <c r="A261" s="1"/>
      <c r="B261" s="1"/>
      <c r="C261" s="1"/>
      <c r="D261" s="1"/>
      <c r="E261" s="1"/>
      <c r="F261" s="1"/>
      <c r="G261" s="1"/>
      <c r="H261" s="1"/>
      <c r="I261" s="1"/>
    </row>
    <row r="262" ht="14.25">
      <c r="A262" s="1"/>
      <c r="B262" s="1"/>
      <c r="C262" s="1"/>
      <c r="D262" s="1"/>
      <c r="E262" s="1"/>
      <c r="F262" s="1"/>
      <c r="G262" s="1"/>
      <c r="H262" s="1"/>
      <c r="I262" s="1"/>
    </row>
    <row r="263" ht="14.25">
      <c r="A263" s="1"/>
      <c r="B263" s="1"/>
      <c r="C263" s="1"/>
      <c r="D263" s="1"/>
      <c r="E263" s="1"/>
      <c r="F263" s="1"/>
      <c r="G263" s="1"/>
      <c r="H263" s="1"/>
      <c r="I263" s="1"/>
    </row>
    <row r="264" ht="14.25">
      <c r="A264" s="1"/>
      <c r="B264" s="1"/>
      <c r="C264" s="1"/>
      <c r="D264" s="1"/>
      <c r="E264" s="1"/>
      <c r="F264" s="1"/>
      <c r="G264" s="1"/>
      <c r="H264" s="1"/>
      <c r="I264" s="1"/>
    </row>
    <row r="265" ht="14.25">
      <c r="A265" s="1"/>
      <c r="B265" s="1"/>
      <c r="C265" s="1"/>
      <c r="D265" s="1"/>
      <c r="E265" s="1"/>
      <c r="F265" s="1"/>
      <c r="G265" s="1"/>
      <c r="H265" s="1"/>
      <c r="I265" s="1"/>
    </row>
    <row r="266" ht="14.25">
      <c r="A266" s="1"/>
      <c r="B266" s="1"/>
      <c r="C266" s="1"/>
      <c r="D266" s="1"/>
      <c r="E266" s="1"/>
      <c r="F266" s="1"/>
      <c r="G266" s="1"/>
      <c r="H266" s="1"/>
      <c r="I266" s="1"/>
    </row>
    <row r="267" ht="14.25">
      <c r="A267" s="1"/>
      <c r="B267" s="1"/>
      <c r="C267" s="1"/>
      <c r="D267" s="1"/>
      <c r="E267" s="1"/>
      <c r="F267" s="1"/>
      <c r="G267" s="1"/>
      <c r="H267" s="1"/>
      <c r="I267" s="1"/>
    </row>
    <row r="268" ht="14.25">
      <c r="A268" s="1"/>
      <c r="B268" s="1"/>
      <c r="C268" s="1"/>
      <c r="D268" s="1"/>
      <c r="E268" s="1"/>
      <c r="F268" s="1"/>
      <c r="G268" s="1"/>
      <c r="H268" s="1"/>
      <c r="I268" s="1"/>
    </row>
    <row r="269" ht="14.25">
      <c r="A269" s="1"/>
      <c r="B269" s="1"/>
      <c r="C269" s="1"/>
      <c r="D269" s="1"/>
      <c r="E269" s="1"/>
      <c r="F269" s="1"/>
      <c r="G269" s="1"/>
      <c r="H269" s="1"/>
      <c r="I269" s="1"/>
    </row>
    <row r="270" ht="14.25">
      <c r="A270" s="1"/>
      <c r="B270" s="1"/>
      <c r="C270" s="1"/>
      <c r="D270" s="1"/>
      <c r="E270" s="1"/>
      <c r="F270" s="1"/>
      <c r="G270" s="1"/>
      <c r="H270" s="1"/>
      <c r="I270" s="1"/>
    </row>
    <row r="271" ht="14.25">
      <c r="A271" s="1"/>
      <c r="B271" s="1"/>
      <c r="C271" s="1"/>
      <c r="D271" s="1"/>
      <c r="E271" s="1"/>
      <c r="F271" s="1"/>
      <c r="G271" s="1"/>
      <c r="H271" s="1"/>
      <c r="I271" s="1"/>
    </row>
    <row r="272" ht="14.25">
      <c r="A272" s="1"/>
      <c r="B272" s="1"/>
      <c r="C272" s="1"/>
      <c r="D272" s="1"/>
      <c r="E272" s="1"/>
      <c r="F272" s="1"/>
      <c r="G272" s="1"/>
      <c r="H272" s="1"/>
      <c r="I272" s="1"/>
    </row>
    <row r="273" ht="14.25">
      <c r="A273" s="1"/>
      <c r="B273" s="1"/>
      <c r="C273" s="1"/>
      <c r="D273" s="1"/>
      <c r="E273" s="1"/>
      <c r="F273" s="1"/>
      <c r="G273" s="1"/>
      <c r="H273" s="1"/>
      <c r="I273" s="1"/>
    </row>
    <row r="274" ht="14.25">
      <c r="A274" s="1"/>
      <c r="B274" s="1"/>
      <c r="C274" s="1"/>
      <c r="D274" s="1"/>
      <c r="E274" s="1"/>
      <c r="F274" s="1"/>
      <c r="G274" s="1"/>
      <c r="H274" s="1"/>
      <c r="I274" s="1"/>
    </row>
    <row r="275" ht="14.25">
      <c r="A275" s="1"/>
      <c r="B275" s="1"/>
      <c r="C275" s="1"/>
      <c r="D275" s="1"/>
      <c r="E275" s="1"/>
      <c r="F275" s="1"/>
      <c r="G275" s="1"/>
      <c r="H275" s="1"/>
      <c r="I275" s="1"/>
    </row>
    <row r="276" ht="14.25">
      <c r="A276" s="1"/>
      <c r="B276" s="1"/>
      <c r="C276" s="1"/>
      <c r="D276" s="1"/>
      <c r="E276" s="1"/>
      <c r="F276" s="1"/>
      <c r="G276" s="1"/>
      <c r="H276" s="1"/>
      <c r="I276" s="1"/>
    </row>
    <row r="277" ht="14.25">
      <c r="A277" s="1"/>
      <c r="B277" s="1"/>
      <c r="C277" s="1"/>
      <c r="D277" s="1"/>
      <c r="E277" s="1"/>
      <c r="F277" s="1"/>
      <c r="G277" s="1"/>
      <c r="H277" s="1"/>
      <c r="I277" s="1"/>
    </row>
    <row r="278" ht="14.25">
      <c r="A278" s="1"/>
      <c r="B278" s="1"/>
      <c r="C278" s="1"/>
      <c r="D278" s="1"/>
      <c r="E278" s="1"/>
      <c r="F278" s="1"/>
      <c r="G278" s="1"/>
      <c r="H278" s="1"/>
      <c r="I278" s="1"/>
    </row>
    <row r="279" ht="14.25">
      <c r="A279" s="1"/>
      <c r="B279" s="1"/>
      <c r="C279" s="1"/>
      <c r="D279" s="1"/>
      <c r="E279" s="1"/>
      <c r="F279" s="1"/>
      <c r="G279" s="1"/>
      <c r="H279" s="1"/>
      <c r="I279" s="1"/>
    </row>
    <row r="280" ht="14.25">
      <c r="A280" s="1"/>
      <c r="B280" s="1"/>
      <c r="C280" s="1"/>
      <c r="D280" s="1"/>
      <c r="E280" s="1"/>
      <c r="F280" s="1"/>
      <c r="G280" s="1"/>
      <c r="H280" s="1"/>
      <c r="I280" s="1"/>
    </row>
    <row r="281" ht="14.25">
      <c r="A281" s="1"/>
      <c r="B281" s="1"/>
      <c r="C281" s="1"/>
      <c r="D281" s="1"/>
      <c r="E281" s="1"/>
      <c r="F281" s="1"/>
      <c r="G281" s="1"/>
      <c r="H281" s="1"/>
      <c r="I281" s="1"/>
    </row>
    <row r="282" ht="14.25">
      <c r="A282" s="1"/>
      <c r="B282" s="1"/>
      <c r="C282" s="1"/>
      <c r="D282" s="1"/>
      <c r="E282" s="1"/>
      <c r="F282" s="1"/>
      <c r="G282" s="1"/>
      <c r="H282" s="1"/>
      <c r="I282" s="1"/>
    </row>
    <row r="283" ht="14.25">
      <c r="A283" s="1"/>
      <c r="B283" s="1"/>
      <c r="C283" s="1"/>
      <c r="D283" s="1"/>
      <c r="E283" s="1"/>
      <c r="F283" s="1"/>
      <c r="G283" s="1"/>
      <c r="H283" s="1"/>
      <c r="I283" s="1"/>
    </row>
    <row r="284" ht="14.25">
      <c r="A284" s="1"/>
      <c r="B284" s="1"/>
      <c r="C284" s="1"/>
      <c r="D284" s="1"/>
      <c r="E284" s="1"/>
      <c r="F284" s="1"/>
      <c r="G284" s="1"/>
      <c r="H284" s="1"/>
      <c r="I284" s="1"/>
    </row>
    <row r="285" ht="14.25">
      <c r="A285" s="1"/>
      <c r="B285" s="1"/>
      <c r="C285" s="1"/>
      <c r="D285" s="1"/>
      <c r="E285" s="1"/>
      <c r="F285" s="1"/>
      <c r="G285" s="1"/>
      <c r="H285" s="1"/>
      <c r="I285" s="1"/>
    </row>
    <row r="286" ht="14.25">
      <c r="A286" s="1"/>
      <c r="B286" s="1"/>
      <c r="C286" s="1"/>
      <c r="D286" s="1"/>
      <c r="E286" s="1"/>
      <c r="F286" s="1"/>
      <c r="G286" s="1"/>
      <c r="H286" s="1"/>
      <c r="I286" s="1"/>
    </row>
    <row r="287" ht="14.25">
      <c r="A287" s="1"/>
      <c r="B287" s="1"/>
      <c r="C287" s="1"/>
      <c r="D287" s="1"/>
      <c r="E287" s="1"/>
      <c r="F287" s="1"/>
      <c r="G287" s="1"/>
      <c r="H287" s="1"/>
      <c r="I287" s="1"/>
    </row>
    <row r="288" ht="14.25">
      <c r="A288" s="1"/>
      <c r="B288" s="1"/>
      <c r="C288" s="1"/>
      <c r="D288" s="1"/>
      <c r="E288" s="1"/>
      <c r="F288" s="1"/>
      <c r="G288" s="1"/>
      <c r="H288" s="1"/>
      <c r="I288" s="1"/>
    </row>
    <row r="289" ht="14.25">
      <c r="A289" s="1"/>
      <c r="B289" s="1"/>
      <c r="C289" s="1"/>
      <c r="D289" s="1"/>
      <c r="E289" s="1"/>
      <c r="F289" s="1"/>
      <c r="G289" s="1"/>
      <c r="H289" s="1"/>
      <c r="I289" s="1"/>
    </row>
    <row r="290" ht="14.25">
      <c r="A290" s="1"/>
      <c r="B290" s="1"/>
      <c r="C290" s="1"/>
      <c r="D290" s="1"/>
      <c r="E290" s="1"/>
      <c r="F290" s="1"/>
      <c r="G290" s="1"/>
      <c r="H290" s="1"/>
      <c r="I290" s="1"/>
    </row>
    <row r="291" ht="14.25">
      <c r="A291" s="1"/>
      <c r="B291" s="1"/>
      <c r="C291" s="1"/>
      <c r="D291" s="1"/>
      <c r="E291" s="1"/>
      <c r="F291" s="1"/>
      <c r="G291" s="1"/>
      <c r="H291" s="1"/>
      <c r="I291" s="1"/>
    </row>
    <row r="292" ht="14.25">
      <c r="A292" s="1"/>
      <c r="B292" s="1"/>
      <c r="C292" s="1"/>
      <c r="D292" s="1"/>
      <c r="E292" s="1"/>
      <c r="F292" s="1"/>
      <c r="G292" s="1"/>
      <c r="H292" s="1"/>
      <c r="I292" s="1"/>
    </row>
    <row r="293" ht="14.25">
      <c r="A293" s="1"/>
      <c r="B293" s="1"/>
      <c r="C293" s="1"/>
      <c r="D293" s="1"/>
      <c r="E293" s="1"/>
      <c r="F293" s="1"/>
      <c r="G293" s="1"/>
      <c r="H293" s="1"/>
      <c r="I293" s="1"/>
    </row>
    <row r="294" ht="14.25">
      <c r="A294" s="1"/>
      <c r="B294" s="1"/>
      <c r="C294" s="1"/>
      <c r="D294" s="1"/>
      <c r="E294" s="1"/>
      <c r="F294" s="1"/>
      <c r="G294" s="1"/>
      <c r="H294" s="1"/>
      <c r="I294" s="1"/>
    </row>
    <row r="295" ht="14.25">
      <c r="A295" s="1"/>
      <c r="B295" s="1"/>
      <c r="C295" s="1"/>
      <c r="D295" s="1"/>
      <c r="E295" s="1"/>
      <c r="F295" s="1"/>
      <c r="G295" s="1"/>
      <c r="H295" s="1"/>
      <c r="I295" s="1"/>
    </row>
    <row r="296" ht="14.25">
      <c r="A296" s="1"/>
      <c r="B296" s="1"/>
      <c r="C296" s="1"/>
      <c r="D296" s="1"/>
      <c r="E296" s="1"/>
      <c r="F296" s="1"/>
      <c r="G296" s="1"/>
      <c r="H296" s="1"/>
      <c r="I296" s="1"/>
    </row>
    <row r="297" ht="14.25">
      <c r="A297" s="1"/>
      <c r="B297" s="1"/>
      <c r="C297" s="1"/>
      <c r="D297" s="1"/>
      <c r="E297" s="1"/>
      <c r="F297" s="1"/>
      <c r="G297" s="1"/>
      <c r="H297" s="1"/>
      <c r="I297" s="1"/>
    </row>
    <row r="298" ht="14.25">
      <c r="E298" s="1"/>
    </row>
    <row r="299" ht="14.25">
      <c r="E299" s="1"/>
    </row>
    <row r="303" ht="14.25">
      <c r="E303" s="1"/>
    </row>
    <row r="304" ht="14.25">
      <c r="E304" s="1"/>
    </row>
    <row r="305" ht="14.25">
      <c r="E305" s="1"/>
    </row>
    <row r="306" ht="14.25">
      <c r="E306" s="1"/>
    </row>
    <row r="307" ht="14.25">
      <c r="E307" s="1"/>
    </row>
    <row r="448" ht="14.25">
      <c r="E448" s="1"/>
    </row>
    <row r="449" ht="14.25">
      <c r="E449" s="1"/>
    </row>
    <row r="450" ht="14.25">
      <c r="E450" s="1"/>
    </row>
    <row r="451" ht="14.25">
      <c r="E451" s="1"/>
    </row>
    <row r="452" ht="14.25">
      <c r="E452" s="1"/>
    </row>
    <row r="501" ht="14.25">
      <c r="E501" s="1"/>
    </row>
    <row r="502" ht="14.25">
      <c r="E502" s="1"/>
    </row>
    <row r="503" ht="14.25">
      <c r="E503" s="1"/>
    </row>
    <row r="504" ht="14.25">
      <c r="E504" s="1"/>
    </row>
    <row r="505" ht="14.25">
      <c r="E505" s="1"/>
    </row>
    <row r="524" ht="14.25">
      <c r="E524" s="1"/>
    </row>
    <row r="525" ht="14.25">
      <c r="E525" s="1"/>
    </row>
    <row r="526" ht="14.25">
      <c r="E526" s="1"/>
    </row>
    <row r="527" ht="14.25">
      <c r="E527" s="1"/>
    </row>
    <row r="528" ht="14.25">
      <c r="E528" s="1"/>
    </row>
    <row r="560" ht="14.25">
      <c r="E560" s="1"/>
    </row>
    <row r="561" ht="14.25">
      <c r="E561" s="1"/>
    </row>
    <row r="562" ht="14.25">
      <c r="E562" s="1"/>
    </row>
    <row r="564" ht="14.25">
      <c r="E564" s="1"/>
    </row>
    <row r="565" ht="14.25">
      <c r="E565" s="1"/>
    </row>
    <row r="597" ht="14.25">
      <c r="E597" s="1"/>
    </row>
    <row r="598" ht="14.25">
      <c r="E598" s="1"/>
    </row>
    <row r="599" ht="14.25">
      <c r="E599" s="1"/>
    </row>
  </sheetData>
  <mergeCells count="26">
    <mergeCell ref="E1:F1"/>
    <mergeCell ref="A5:D5"/>
    <mergeCell ref="A6:D6"/>
    <mergeCell ref="A8:D8"/>
    <mergeCell ref="A87:D87"/>
    <mergeCell ref="A88:D88"/>
    <mergeCell ref="A90:D90"/>
    <mergeCell ref="A91:D91"/>
    <mergeCell ref="A92:D92"/>
    <mergeCell ref="A140:D140"/>
    <mergeCell ref="A141:D141"/>
    <mergeCell ref="A143:D143"/>
    <mergeCell ref="A144:D144"/>
    <mergeCell ref="A163:D163"/>
    <mergeCell ref="A164:D164"/>
    <mergeCell ref="A166:D166"/>
    <mergeCell ref="A167:D167"/>
    <mergeCell ref="A168:D168"/>
    <mergeCell ref="A199:D199"/>
    <mergeCell ref="A200:D200"/>
    <mergeCell ref="A203:D203"/>
    <mergeCell ref="A204:D204"/>
    <mergeCell ref="A205:D205"/>
    <mergeCell ref="A208:K208"/>
    <mergeCell ref="A236:D236"/>
    <mergeCell ref="A237:D237"/>
  </mergeCells>
  <printOptions headings="0" gridLines="0"/>
  <pageMargins left="0.69999999999999996" right="0.69999999999999996" top="0.75" bottom="0.75" header="0.29999999999999999" footer="0.29999999999999999"/>
  <pageSetup paperSize="9" scale="13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2" disablePrompts="0">
        <x14:dataValidation xr:uid="{003500DB-0085-4A58-9035-00F0002300F6}" type="list" allowBlank="1" errorStyle="stop" imeMode="noControl" operator="between" showDropDown="0" showErrorMessage="1" showInputMessage="1">
          <x14:formula1>
            <xm:f>ДаНет</xm:f>
          </x14:formula1>
          <xm:sqref>H56:H73 H78:H79 H81:H86 H148:H162 H135:H139 H188:H192 H129:H133 H96:H127 H52 H194:H198 H42:H51 H172:H173 H176:H186</xm:sqref>
        </x14:dataValidation>
        <x14:dataValidation xr:uid="{0034009F-009C-46B9-A461-00A1006C00C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H174:H175</xm:sqref>
        </x14:dataValidation>
        <x14:dataValidation xr:uid="{004E00D9-00B0-4172-B3C8-00FC00580030}" type="list" allowBlank="1" errorStyle="stop" imeMode="noControl" operator="between" showDropDown="0" showErrorMessage="1" showInputMessage="1">
          <x14:formula1>
            <xm:f>ДаНет</xm:f>
          </x14:formula1>
          <xm:sqref>H40:H41</xm:sqref>
        </x14:dataValidation>
        <x14:dataValidation xr:uid="{00340048-00CB-4C3E-8872-005C002100E1}" type="list" allowBlank="1" errorStyle="stop" imeMode="noControl" operator="between" showDropDown="0" showErrorMessage="1" showInputMessage="1">
          <x14:formula1>
            <xm:f>ДаНет</xm:f>
          </x14:formula1>
          <xm:sqref>H77</xm:sqref>
        </x14:dataValidation>
        <x14:dataValidation xr:uid="{0087007C-00E6-4BBD-A262-000A003800EF}" type="list" allowBlank="1" errorStyle="stop" imeMode="noControl" operator="between" showDropDown="0" showErrorMessage="1" showInputMessage="1">
          <x14:formula1>
            <xm:f>ДаНет</xm:f>
          </x14:formula1>
          <xm:sqref>H75 H76</xm:sqref>
        </x14:dataValidation>
        <x14:dataValidation xr:uid="{00EA003F-005A-42BA-A8B5-00BB001D0052}" type="list" allowBlank="1" errorStyle="stop" imeMode="noControl" operator="between" showDropDown="0" showErrorMessage="1" showInputMessage="1">
          <x14:formula1>
            <xm:f>ДаНет</xm:f>
          </x14:formula1>
          <xm:sqref>H55</xm:sqref>
        </x14:dataValidation>
        <x14:dataValidation xr:uid="{00CD0072-0081-4BEB-863F-00A7003B00B2}" type="list" allowBlank="1" errorStyle="stop" imeMode="noControl" operator="between" showDropDown="0" showErrorMessage="1" showInputMessage="1">
          <x14:formula1>
            <xm:f>ДаНет</xm:f>
          </x14:formula1>
          <xm:sqref>M123:M142 M144:M148 M150:M155 M210:M224 M197:M201 M250:M254 M191:M195 M165:M189 M110:M121 M256:M260 M13:M81 M234:M235 M238:M248</xm:sqref>
        </x14:dataValidation>
        <x14:dataValidation xr:uid="{00890014-00CC-469A-ACD1-008400CE00A2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M12 M82:M109 M236:M237</xm:sqref>
        </x14:dataValidation>
        <x14:dataValidation xr:uid="{0057004A-004C-4A04-BDAD-00D0001E0005}" type="list" allowBlank="1" errorStyle="stop" imeMode="noControl" operator="between" showDropDown="0" showErrorMessage="1" showInputMessage="1">
          <x14:formula1>
            <xm:f>ДаНет</xm:f>
          </x14:formula1>
          <xm:sqref>M123:M142 M144:M148 M150:M155 M210:M224 M197:M201 M250:M254 M191:M195 M165:M189 M110:M121 M256:M260 M13:M81 M234:M235 M238:M248</xm:sqref>
        </x14:dataValidation>
        <x14:dataValidation xr:uid="{0012000E-00A2-4560-8C8E-00620005006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M12 M82:M109 M236:M237</xm:sqref>
        </x14:dataValidation>
        <x14:dataValidation xr:uid="{00D80096-00A9-4B36-9817-003700B500DD}" type="list" allowBlank="1" errorStyle="stop" imeMode="noControl" operator="between" showDropDown="0" showErrorMessage="1" showInputMessage="1">
          <x14:formula1>
            <xm:f>ДаНет</xm:f>
          </x14:formula1>
          <xm:sqref>M208:M227 M229:M233 M235:M240 M295:M309 M282:M286 M335:M339 M276:M280 M250:M274 M195:M206 M341:M345 M98:M166 M319:M320 M323:M333</xm:sqref>
        </x14:dataValidation>
        <x14:dataValidation xr:uid="{00EB009B-00CC-4BE6-9C3D-00B8001A007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M97 M167:M194 M321:M322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tabColor theme="3"/>
    <outlinePr applyStyles="0" summaryBelow="1" summaryRight="1" showOutlineSymbols="1"/>
    <pageSetUpPr autoPageBreaks="1" fitToPage="0"/>
  </sheetPr>
  <sheetViews>
    <sheetView showGridLines="0" showRuler="1" topLeftCell="A13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'05'!C2+1</f>
        <v>46087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676178.18999999994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50147.5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624673.44999999995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 t="s">
        <v>48</v>
      </c>
      <c r="C11" s="33" t="s">
        <v>49</v>
      </c>
      <c r="D11" s="34" t="s">
        <v>50</v>
      </c>
      <c r="E11" s="180">
        <v>505438</v>
      </c>
      <c r="F11" s="33" t="s">
        <v>51</v>
      </c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hidden="1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hidden="1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hidden="1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hidden="1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hidden="1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hidden="1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hidden="1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hidden="1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hidden="1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hidden="1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hidden="1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hidden="1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hidden="1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hidden="1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hidden="1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hidden="1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hidden="1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hidden="1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hidden="1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hidden="1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hidden="1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hidden="1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hidden="1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hidden="1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hidden="1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hidden="1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hidden="1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hidden="1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hidden="1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hidden="1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hidden="1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hidden="1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s="21" customFormat="1" ht="18.75" customHeight="1" outlineLevel="1">
      <c r="A47" s="22"/>
      <c r="B47" s="23" t="s">
        <v>18</v>
      </c>
      <c r="C47" s="24"/>
      <c r="D47" s="25"/>
      <c r="E47" s="26"/>
      <c r="F47" s="23"/>
      <c r="G47" s="23"/>
      <c r="H47" s="23"/>
      <c r="I47" s="23"/>
      <c r="J47" s="23"/>
      <c r="K47" s="27"/>
    </row>
    <row r="48" ht="14.25" customHeight="1" outlineLevel="1">
      <c r="A48" s="62">
        <v>1</v>
      </c>
      <c r="B48" s="63"/>
      <c r="C48" s="63"/>
      <c r="D48" s="63"/>
      <c r="E48" s="64"/>
      <c r="F48" s="65"/>
      <c r="G48" s="59"/>
      <c r="H48" s="63"/>
      <c r="I48" s="59"/>
      <c r="J48" s="66"/>
      <c r="K48" s="67"/>
    </row>
    <row r="49" ht="14.25" customHeight="1" outlineLevel="1">
      <c r="A49" s="68">
        <v>2</v>
      </c>
      <c r="B49" s="59"/>
      <c r="C49" s="59"/>
      <c r="D49" s="59"/>
      <c r="E49" s="60"/>
      <c r="F49" s="61"/>
      <c r="G49" s="59"/>
      <c r="H49" s="59"/>
      <c r="I49" s="59"/>
      <c r="J49" s="57"/>
      <c r="K49" s="58"/>
    </row>
    <row r="50" ht="14.25" customHeight="1" outlineLevel="1">
      <c r="A50" s="68">
        <v>3</v>
      </c>
      <c r="B50" s="59"/>
      <c r="C50" s="59"/>
      <c r="D50" s="59"/>
      <c r="E50" s="60"/>
      <c r="F50" s="61"/>
      <c r="G50" s="59"/>
      <c r="H50" s="59"/>
      <c r="I50" s="59"/>
      <c r="J50" s="57"/>
      <c r="K50" s="58"/>
    </row>
    <row r="51" ht="14.25" customHeight="1" outlineLevel="1">
      <c r="A51" s="68">
        <v>4</v>
      </c>
      <c r="B51" s="59"/>
      <c r="C51" s="59"/>
      <c r="D51" s="59"/>
      <c r="E51" s="60"/>
      <c r="F51" s="61"/>
      <c r="G51" s="59"/>
      <c r="H51" s="59"/>
      <c r="I51" s="59"/>
      <c r="J51" s="57"/>
      <c r="K51" s="58"/>
    </row>
    <row r="52" ht="14.25" customHeight="1" outlineLevel="1">
      <c r="A52" s="68">
        <v>5</v>
      </c>
      <c r="B52" s="59"/>
      <c r="C52" s="59"/>
      <c r="D52" s="59"/>
      <c r="E52" s="60"/>
      <c r="F52" s="61"/>
      <c r="G52" s="59"/>
      <c r="H52" s="59"/>
      <c r="I52" s="59"/>
      <c r="J52" s="57"/>
      <c r="K52" s="58"/>
    </row>
    <row r="53" ht="14.25" customHeight="1" outlineLevel="1">
      <c r="A53" s="68">
        <v>6</v>
      </c>
      <c r="B53" s="59"/>
      <c r="C53" s="59"/>
      <c r="D53" s="59"/>
      <c r="E53" s="60"/>
      <c r="F53" s="61"/>
      <c r="G53" s="59"/>
      <c r="H53" s="59"/>
      <c r="I53" s="59"/>
      <c r="J53" s="57"/>
      <c r="K53" s="58"/>
    </row>
    <row r="54" ht="14.25" customHeight="1" outlineLevel="1">
      <c r="A54" s="68">
        <v>7</v>
      </c>
      <c r="B54" s="59"/>
      <c r="C54" s="59"/>
      <c r="D54" s="59"/>
      <c r="E54" s="60"/>
      <c r="F54" s="61"/>
      <c r="G54" s="59"/>
      <c r="H54" s="59"/>
      <c r="I54" s="59"/>
      <c r="J54" s="57"/>
      <c r="K54" s="58"/>
    </row>
    <row r="55" ht="14.25" customHeight="1" outlineLevel="1">
      <c r="A55" s="68">
        <v>8</v>
      </c>
      <c r="B55" s="59"/>
      <c r="C55" s="59"/>
      <c r="D55" s="59"/>
      <c r="E55" s="60"/>
      <c r="F55" s="61"/>
      <c r="G55" s="59"/>
      <c r="H55" s="59"/>
      <c r="I55" s="59"/>
      <c r="J55" s="57"/>
      <c r="K55" s="58"/>
    </row>
    <row r="56" ht="14.25" customHeight="1" outlineLevel="1">
      <c r="A56" s="68">
        <v>9</v>
      </c>
      <c r="B56" s="59"/>
      <c r="C56" s="59"/>
      <c r="D56" s="59"/>
      <c r="E56" s="60"/>
      <c r="F56" s="61"/>
      <c r="G56" s="59"/>
      <c r="H56" s="59"/>
      <c r="I56" s="59"/>
      <c r="J56" s="57"/>
      <c r="K56" s="58"/>
    </row>
    <row r="57" ht="14.25" customHeight="1" outlineLevel="1">
      <c r="A57" s="68">
        <v>10</v>
      </c>
      <c r="B57" s="59"/>
      <c r="C57" s="59"/>
      <c r="D57" s="59"/>
      <c r="E57" s="60"/>
      <c r="F57" s="61"/>
      <c r="G57" s="59"/>
      <c r="H57" s="59"/>
      <c r="I57" s="59"/>
      <c r="J57" s="57"/>
      <c r="K57" s="58"/>
    </row>
    <row r="58" ht="14.25" customHeight="1" outlineLevel="1">
      <c r="A58" s="68">
        <v>11</v>
      </c>
      <c r="B58" s="59"/>
      <c r="C58" s="59"/>
      <c r="D58" s="59"/>
      <c r="E58" s="60"/>
      <c r="F58" s="61"/>
      <c r="G58" s="59"/>
      <c r="H58" s="59"/>
      <c r="I58" s="59"/>
      <c r="J58" s="57"/>
      <c r="K58" s="58"/>
    </row>
    <row r="59" ht="14.25" customHeight="1" outlineLevel="1">
      <c r="A59" s="68">
        <v>12</v>
      </c>
      <c r="B59" s="59"/>
      <c r="C59" s="59"/>
      <c r="D59" s="59"/>
      <c r="E59" s="60"/>
      <c r="F59" s="61"/>
      <c r="G59" s="59"/>
      <c r="H59" s="59"/>
      <c r="I59" s="59"/>
      <c r="J59" s="57"/>
      <c r="K59" s="58"/>
    </row>
    <row r="60" ht="14.25" customHeight="1" outlineLevel="1">
      <c r="A60" s="68">
        <v>13</v>
      </c>
      <c r="B60" s="59"/>
      <c r="C60" s="59"/>
      <c r="D60" s="59"/>
      <c r="E60" s="60"/>
      <c r="F60" s="61"/>
      <c r="G60" s="59"/>
      <c r="H60" s="59"/>
      <c r="I60" s="59"/>
      <c r="J60" s="57"/>
      <c r="K60" s="58"/>
    </row>
    <row r="61" ht="14.25" customHeight="1" outlineLevel="1">
      <c r="A61" s="68">
        <v>14</v>
      </c>
      <c r="B61" s="59"/>
      <c r="C61" s="59"/>
      <c r="D61" s="59"/>
      <c r="E61" s="60"/>
      <c r="F61" s="61"/>
      <c r="G61" s="59"/>
      <c r="H61" s="59"/>
      <c r="I61" s="59"/>
      <c r="J61" s="57"/>
      <c r="K61" s="58"/>
    </row>
    <row r="62" ht="14.25" customHeight="1" outlineLevel="1">
      <c r="A62" s="68">
        <v>15</v>
      </c>
      <c r="B62" s="59"/>
      <c r="C62" s="59"/>
      <c r="D62" s="59"/>
      <c r="E62" s="60"/>
      <c r="F62" s="61"/>
      <c r="G62" s="59"/>
      <c r="H62" s="59"/>
      <c r="I62" s="59"/>
      <c r="J62" s="57"/>
      <c r="K62" s="58"/>
    </row>
    <row r="63" ht="14.25" customHeight="1" outlineLevel="1">
      <c r="A63" s="68">
        <v>16</v>
      </c>
      <c r="B63" s="59"/>
      <c r="C63" s="59"/>
      <c r="D63" s="59"/>
      <c r="E63" s="60"/>
      <c r="F63" s="61"/>
      <c r="G63" s="59"/>
      <c r="H63" s="59"/>
      <c r="I63" s="59"/>
      <c r="J63" s="57"/>
      <c r="K63" s="58"/>
    </row>
    <row r="64" ht="14.25" customHeight="1" outlineLevel="1">
      <c r="A64" s="68">
        <v>17</v>
      </c>
      <c r="B64" s="59"/>
      <c r="C64" s="59"/>
      <c r="D64" s="59"/>
      <c r="E64" s="60"/>
      <c r="F64" s="61"/>
      <c r="G64" s="59"/>
      <c r="H64" s="59"/>
      <c r="I64" s="59"/>
      <c r="J64" s="57"/>
      <c r="K64" s="58"/>
    </row>
    <row r="65" ht="14.25" customHeight="1" outlineLevel="1">
      <c r="A65" s="68">
        <v>18</v>
      </c>
      <c r="B65" s="59"/>
      <c r="C65" s="59"/>
      <c r="D65" s="59"/>
      <c r="E65" s="60"/>
      <c r="F65" s="61"/>
      <c r="G65" s="59"/>
      <c r="H65" s="59"/>
      <c r="I65" s="59"/>
      <c r="J65" s="57"/>
      <c r="K65" s="58"/>
    </row>
    <row r="66" ht="14.25" customHeight="1" outlineLevel="1">
      <c r="A66" s="68">
        <v>19</v>
      </c>
      <c r="B66" s="59"/>
      <c r="C66" s="59"/>
      <c r="D66" s="59"/>
      <c r="E66" s="60"/>
      <c r="F66" s="61"/>
      <c r="G66" s="59"/>
      <c r="H66" s="59"/>
      <c r="I66" s="59"/>
      <c r="J66" s="57"/>
      <c r="K66" s="58"/>
    </row>
    <row r="67" ht="14.25" customHeight="1" outlineLevel="1">
      <c r="A67" s="69">
        <v>20</v>
      </c>
      <c r="B67" s="70"/>
      <c r="C67" s="70"/>
      <c r="D67" s="70"/>
      <c r="E67" s="71"/>
      <c r="F67" s="72"/>
      <c r="G67" s="70"/>
      <c r="H67" s="70"/>
      <c r="I67" s="70"/>
      <c r="J67" s="73"/>
      <c r="K67" s="74"/>
    </row>
    <row r="68" s="21" customFormat="1" ht="18.75" customHeight="1" outlineLevel="1">
      <c r="A68" s="171"/>
      <c r="B68" s="172" t="s">
        <v>19</v>
      </c>
      <c r="C68" s="173"/>
      <c r="D68" s="174"/>
      <c r="E68" s="175"/>
      <c r="F68" s="172"/>
      <c r="G68" s="172"/>
      <c r="H68" s="172"/>
      <c r="I68" s="172"/>
      <c r="J68" s="172"/>
      <c r="K68" s="247"/>
    </row>
    <row r="69" ht="21" customHeight="1" outlineLevel="1">
      <c r="A69" s="452">
        <v>1</v>
      </c>
      <c r="B69" s="279" t="s">
        <v>222</v>
      </c>
      <c r="C69" s="453" t="s">
        <v>399</v>
      </c>
      <c r="D69" s="270" t="s">
        <v>397</v>
      </c>
      <c r="E69" s="454">
        <v>17542.290000000001</v>
      </c>
      <c r="F69" s="455" t="s">
        <v>398</v>
      </c>
      <c r="G69" s="456"/>
      <c r="H69" s="456"/>
      <c r="I69" s="456"/>
      <c r="J69" s="457" t="s">
        <v>400</v>
      </c>
      <c r="K69" s="458"/>
    </row>
    <row r="70" ht="14.25" customHeight="1" outlineLevel="1">
      <c r="A70" s="252">
        <v>2</v>
      </c>
      <c r="B70" s="99"/>
      <c r="C70" s="99"/>
      <c r="D70" s="99"/>
      <c r="E70" s="60"/>
      <c r="F70" s="61"/>
      <c r="G70" s="59"/>
      <c r="H70" s="59"/>
      <c r="I70" s="59"/>
      <c r="J70" s="57"/>
      <c r="K70" s="459"/>
    </row>
    <row r="71" ht="14.25" customHeight="1" outlineLevel="1">
      <c r="A71" s="252">
        <v>3</v>
      </c>
      <c r="B71" s="59"/>
      <c r="C71" s="59"/>
      <c r="D71" s="59"/>
      <c r="E71" s="60"/>
      <c r="F71" s="61"/>
      <c r="G71" s="59"/>
      <c r="H71" s="59"/>
      <c r="I71" s="59"/>
      <c r="J71" s="57"/>
      <c r="K71" s="459"/>
    </row>
    <row r="72" ht="14.25" customHeight="1" outlineLevel="1">
      <c r="A72" s="252">
        <v>4</v>
      </c>
      <c r="B72" s="59"/>
      <c r="C72" s="59"/>
      <c r="D72" s="59"/>
      <c r="E72" s="60"/>
      <c r="F72" s="61"/>
      <c r="G72" s="59"/>
      <c r="H72" s="59"/>
      <c r="I72" s="59"/>
      <c r="J72" s="57"/>
      <c r="K72" s="459"/>
    </row>
    <row r="73" ht="14.25" customHeight="1" outlineLevel="1">
      <c r="A73" s="460">
        <v>5</v>
      </c>
      <c r="B73" s="293"/>
      <c r="C73" s="293"/>
      <c r="D73" s="293"/>
      <c r="E73" s="461"/>
      <c r="F73" s="462"/>
      <c r="G73" s="293"/>
      <c r="H73" s="293"/>
      <c r="I73" s="293"/>
      <c r="J73" s="463"/>
      <c r="K73" s="464"/>
    </row>
    <row r="74" s="21" customFormat="1" ht="18.75" customHeight="1" outlineLevel="1">
      <c r="A74" s="246"/>
      <c r="B74" s="465" t="s">
        <v>20</v>
      </c>
      <c r="C74" s="466"/>
      <c r="D74" s="467"/>
      <c r="E74" s="468"/>
      <c r="F74" s="465"/>
      <c r="G74" s="465"/>
      <c r="H74" s="465"/>
      <c r="I74" s="465"/>
      <c r="J74" s="465"/>
      <c r="K74" s="469"/>
    </row>
    <row r="75" ht="63" customHeight="1" outlineLevel="1">
      <c r="A75" s="68">
        <v>1</v>
      </c>
      <c r="B75" s="166" t="s">
        <v>45</v>
      </c>
      <c r="C75" s="166" t="s">
        <v>250</v>
      </c>
      <c r="D75" s="166"/>
      <c r="E75" s="305">
        <v>100000</v>
      </c>
      <c r="F75" s="441" t="s">
        <v>386</v>
      </c>
      <c r="G75" s="63"/>
      <c r="H75" s="63"/>
      <c r="I75" s="63"/>
      <c r="J75" s="66" t="s">
        <v>367</v>
      </c>
      <c r="K75" s="67"/>
    </row>
    <row r="76" ht="14.25" customHeight="1" outlineLevel="1">
      <c r="A76" s="68">
        <v>2</v>
      </c>
      <c r="B76" s="59"/>
      <c r="C76" s="59"/>
      <c r="D76" s="59"/>
      <c r="E76" s="60"/>
      <c r="F76" s="61"/>
      <c r="G76" s="59"/>
      <c r="H76" s="59"/>
      <c r="I76" s="59"/>
      <c r="J76" s="57"/>
      <c r="K76" s="58"/>
    </row>
    <row r="77" ht="14.25" customHeight="1" outlineLevel="1">
      <c r="A77" s="68">
        <v>3</v>
      </c>
      <c r="B77" s="56"/>
      <c r="C77" s="56"/>
      <c r="D77" s="56"/>
      <c r="E77" s="78"/>
      <c r="F77" s="79"/>
      <c r="G77" s="56"/>
      <c r="H77" s="56"/>
      <c r="I77" s="56"/>
      <c r="J77" s="80"/>
      <c r="K77" s="81"/>
    </row>
    <row r="78" ht="14.25" customHeight="1" outlineLevel="1">
      <c r="A78" s="68">
        <v>4</v>
      </c>
      <c r="B78" s="56"/>
      <c r="C78" s="56"/>
      <c r="D78" s="56"/>
      <c r="E78" s="78"/>
      <c r="F78" s="79"/>
      <c r="G78" s="56"/>
      <c r="H78" s="56"/>
      <c r="I78" s="56"/>
      <c r="J78" s="80"/>
      <c r="K78" s="81"/>
    </row>
    <row r="79" ht="14.25" customHeight="1" outlineLevel="1">
      <c r="A79" s="68">
        <v>5</v>
      </c>
      <c r="B79" s="56"/>
      <c r="C79" s="56"/>
      <c r="D79" s="56"/>
      <c r="E79" s="78"/>
      <c r="F79" s="79"/>
      <c r="G79" s="56"/>
      <c r="H79" s="56"/>
      <c r="I79" s="56"/>
      <c r="J79" s="80"/>
      <c r="K79" s="81"/>
    </row>
    <row r="80" ht="14.25" customHeight="1" outlineLevel="1">
      <c r="A80" s="68">
        <v>6</v>
      </c>
      <c r="B80" s="70"/>
      <c r="C80" s="70"/>
      <c r="D80" s="70"/>
      <c r="E80" s="71"/>
      <c r="F80" s="72"/>
      <c r="G80" s="70"/>
      <c r="H80" s="70"/>
      <c r="I80" s="70"/>
      <c r="J80" s="73"/>
      <c r="K80" s="74"/>
    </row>
    <row r="81" s="21" customFormat="1" ht="23.25" customHeight="1">
      <c r="A81" s="82" t="s">
        <v>21</v>
      </c>
      <c r="B81" s="83"/>
      <c r="C81" s="83"/>
      <c r="D81" s="84"/>
      <c r="E81" s="85">
        <f>SUM(E10:E80)</f>
        <v>622980.29000000004</v>
      </c>
      <c r="F81" s="21"/>
      <c r="G81" s="21"/>
      <c r="H81" s="21"/>
      <c r="I81" s="21"/>
      <c r="J81" s="21"/>
      <c r="K81" s="21"/>
    </row>
    <row r="82" s="21" customFormat="1" ht="23.25" customHeight="1">
      <c r="A82" s="82" t="s">
        <v>22</v>
      </c>
      <c r="B82" s="83"/>
      <c r="C82" s="83"/>
      <c r="D82" s="84"/>
      <c r="E82" s="85">
        <f>E4-E81</f>
        <v>53197.899999999907</v>
      </c>
      <c r="F82" s="86"/>
      <c r="G82" s="21"/>
      <c r="H82" s="21"/>
      <c r="I82" s="21"/>
      <c r="J82" s="21"/>
      <c r="K82" s="2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29.25" customHeight="1">
      <c r="A84" s="9" t="s">
        <v>23</v>
      </c>
      <c r="B84" s="10"/>
      <c r="C84" s="10"/>
      <c r="D84" s="11"/>
      <c r="E84" s="12">
        <f>SUM(E85:E86)</f>
        <v>1724235.8899999999</v>
      </c>
      <c r="F84" s="163" t="s">
        <v>44</v>
      </c>
      <c r="G84" s="13"/>
      <c r="H84" s="13"/>
      <c r="I84" s="13"/>
      <c r="J84" s="1"/>
      <c r="K84" s="1"/>
    </row>
    <row r="85" ht="15" customHeight="1">
      <c r="A85" s="14"/>
      <c r="B85" s="15"/>
      <c r="C85" s="15"/>
      <c r="D85" s="16"/>
      <c r="E85" s="17"/>
      <c r="F85" s="13"/>
      <c r="G85" s="13"/>
      <c r="H85" s="13"/>
      <c r="I85" s="13"/>
      <c r="J85" s="1"/>
      <c r="K85" s="1"/>
    </row>
    <row r="86" ht="15" customHeight="1">
      <c r="A86" s="14" t="s">
        <v>24</v>
      </c>
      <c r="B86" s="15"/>
      <c r="C86" s="15"/>
      <c r="D86" s="16"/>
      <c r="E86" s="17">
        <v>1724235.8899999999</v>
      </c>
      <c r="F86" s="13"/>
      <c r="G86" s="13"/>
      <c r="H86" s="13"/>
      <c r="I86" s="13"/>
      <c r="J86" s="1"/>
      <c r="K86" s="1"/>
    </row>
    <row r="87" ht="6" customHeight="1">
      <c r="A87" s="13"/>
      <c r="B87" s="13"/>
      <c r="C87" s="13"/>
      <c r="D87" s="13"/>
      <c r="E87" s="13"/>
      <c r="F87" s="13"/>
      <c r="G87" s="13"/>
      <c r="H87" s="13"/>
      <c r="I87" s="13"/>
      <c r="J87" s="1"/>
      <c r="K87" s="1"/>
    </row>
    <row r="88" ht="26.25" customHeight="1" outlineLevel="1">
      <c r="A88" s="87" t="s">
        <v>6</v>
      </c>
      <c r="B88" s="87" t="s">
        <v>7</v>
      </c>
      <c r="C88" s="87" t="s">
        <v>8</v>
      </c>
      <c r="D88" s="87" t="s">
        <v>9</v>
      </c>
      <c r="E88" s="88" t="s">
        <v>10</v>
      </c>
      <c r="F88" s="87" t="s">
        <v>11</v>
      </c>
      <c r="G88" s="87" t="s">
        <v>12</v>
      </c>
      <c r="H88" s="89" t="s">
        <v>13</v>
      </c>
      <c r="I88" s="87" t="s">
        <v>14</v>
      </c>
      <c r="J88" s="87" t="s">
        <v>15</v>
      </c>
      <c r="K88" s="87" t="s">
        <v>16</v>
      </c>
    </row>
    <row r="89" s="21" customFormat="1" ht="20.25" customHeight="1" outlineLevel="1">
      <c r="A89" s="22"/>
      <c r="B89" s="23" t="s">
        <v>25</v>
      </c>
      <c r="C89" s="24"/>
      <c r="D89" s="25"/>
      <c r="E89" s="175"/>
      <c r="F89" s="172"/>
      <c r="G89" s="23"/>
      <c r="H89" s="23"/>
      <c r="I89" s="23"/>
      <c r="J89" s="23"/>
      <c r="K89" s="27"/>
    </row>
    <row r="90" ht="14.25" customHeight="1" outlineLevel="1">
      <c r="A90" s="62">
        <v>1</v>
      </c>
      <c r="B90" s="39" t="s">
        <v>259</v>
      </c>
      <c r="C90" s="39" t="s">
        <v>303</v>
      </c>
      <c r="D90" s="39" t="s">
        <v>304</v>
      </c>
      <c r="E90" s="470">
        <v>500000</v>
      </c>
      <c r="F90" s="471" t="s">
        <v>306</v>
      </c>
      <c r="G90" s="177"/>
      <c r="H90" s="42"/>
      <c r="I90" s="59"/>
      <c r="J90" s="66" t="s">
        <v>47</v>
      </c>
      <c r="K90" s="67"/>
    </row>
    <row r="91" ht="14.25" customHeight="1" outlineLevel="1">
      <c r="A91" s="68">
        <v>2</v>
      </c>
      <c r="B91" s="39"/>
      <c r="C91" s="39"/>
      <c r="D91" s="39"/>
      <c r="E91" s="40"/>
      <c r="F91" s="41"/>
      <c r="G91" s="39"/>
      <c r="H91" s="42"/>
      <c r="I91" s="59"/>
      <c r="J91" s="57"/>
      <c r="K91" s="58"/>
    </row>
    <row r="92" ht="14.25" customHeight="1" outlineLevel="1">
      <c r="A92" s="68">
        <v>3</v>
      </c>
      <c r="B92" s="39"/>
      <c r="C92" s="39"/>
      <c r="D92" s="39"/>
      <c r="E92" s="40"/>
      <c r="F92" s="41"/>
      <c r="G92" s="39"/>
      <c r="H92" s="42"/>
      <c r="I92" s="59"/>
      <c r="J92" s="57"/>
      <c r="K92" s="58"/>
    </row>
    <row r="93" ht="14.25" customHeight="1" outlineLevel="1">
      <c r="A93" s="68">
        <v>4</v>
      </c>
      <c r="B93" s="39"/>
      <c r="C93" s="39"/>
      <c r="D93" s="39"/>
      <c r="E93" s="40"/>
      <c r="F93" s="41"/>
      <c r="G93" s="39"/>
      <c r="H93" s="42"/>
      <c r="I93" s="59"/>
      <c r="J93" s="57"/>
      <c r="K93" s="58"/>
    </row>
    <row r="94" ht="14.25" customHeight="1" outlineLevel="1">
      <c r="A94" s="68">
        <v>5</v>
      </c>
      <c r="B94" s="39"/>
      <c r="C94" s="39"/>
      <c r="D94" s="39"/>
      <c r="E94" s="40"/>
      <c r="F94" s="41"/>
      <c r="G94" s="39"/>
      <c r="H94" s="42"/>
      <c r="I94" s="59"/>
      <c r="J94" s="57"/>
      <c r="K94" s="58"/>
    </row>
    <row r="95" ht="14.25" customHeight="1" outlineLevel="1">
      <c r="A95" s="68">
        <v>6</v>
      </c>
      <c r="B95" s="39"/>
      <c r="C95" s="39"/>
      <c r="D95" s="39"/>
      <c r="E95" s="40"/>
      <c r="F95" s="41"/>
      <c r="G95" s="39"/>
      <c r="H95" s="42"/>
      <c r="I95" s="59"/>
      <c r="J95" s="57"/>
      <c r="K95" s="58"/>
    </row>
    <row r="96" ht="14.25" customHeight="1" outlineLevel="1">
      <c r="A96" s="68">
        <v>7</v>
      </c>
      <c r="B96" s="39"/>
      <c r="C96" s="39"/>
      <c r="D96" s="39"/>
      <c r="E96" s="40"/>
      <c r="F96" s="41"/>
      <c r="G96" s="39"/>
      <c r="H96" s="42"/>
      <c r="I96" s="59"/>
      <c r="J96" s="57"/>
      <c r="K96" s="58"/>
    </row>
    <row r="97" ht="14.25" customHeight="1" outlineLevel="1">
      <c r="A97" s="68">
        <v>8</v>
      </c>
      <c r="B97" s="39"/>
      <c r="C97" s="39"/>
      <c r="D97" s="39"/>
      <c r="E97" s="40"/>
      <c r="F97" s="41"/>
      <c r="G97" s="39"/>
      <c r="H97" s="42"/>
      <c r="I97" s="59"/>
      <c r="J97" s="57"/>
      <c r="K97" s="58"/>
    </row>
    <row r="98" ht="14.25" customHeight="1" outlineLevel="1">
      <c r="A98" s="68">
        <v>9</v>
      </c>
      <c r="B98" s="39"/>
      <c r="C98" s="39"/>
      <c r="D98" s="39"/>
      <c r="E98" s="40"/>
      <c r="F98" s="41"/>
      <c r="G98" s="39"/>
      <c r="H98" s="42"/>
      <c r="I98" s="59"/>
      <c r="J98" s="57"/>
      <c r="K98" s="58"/>
    </row>
    <row r="99" ht="14.25" customHeight="1" outlineLevel="1">
      <c r="A99" s="68">
        <v>10</v>
      </c>
      <c r="B99" s="39"/>
      <c r="C99" s="39"/>
      <c r="D99" s="39"/>
      <c r="E99" s="40"/>
      <c r="F99" s="41"/>
      <c r="G99" s="39"/>
      <c r="H99" s="42"/>
      <c r="I99" s="59"/>
      <c r="J99" s="57"/>
      <c r="K99" s="58"/>
    </row>
    <row r="100" ht="14.25" customHeight="1" outlineLevel="1">
      <c r="A100" s="68">
        <v>11</v>
      </c>
      <c r="B100" s="39"/>
      <c r="C100" s="39"/>
      <c r="D100" s="39"/>
      <c r="E100" s="40"/>
      <c r="F100" s="41"/>
      <c r="G100" s="39"/>
      <c r="H100" s="42"/>
      <c r="I100" s="59"/>
      <c r="J100" s="57"/>
      <c r="K100" s="58"/>
    </row>
    <row r="101" ht="14.25" customHeight="1" outlineLevel="1">
      <c r="A101" s="68">
        <v>12</v>
      </c>
      <c r="B101" s="39"/>
      <c r="C101" s="39"/>
      <c r="D101" s="39"/>
      <c r="E101" s="40"/>
      <c r="F101" s="41"/>
      <c r="G101" s="39"/>
      <c r="H101" s="42"/>
      <c r="I101" s="59"/>
      <c r="J101" s="57"/>
      <c r="K101" s="58"/>
    </row>
    <row r="102" ht="14.25" customHeight="1" outlineLevel="1">
      <c r="A102" s="68">
        <v>13</v>
      </c>
      <c r="B102" s="39"/>
      <c r="C102" s="39"/>
      <c r="D102" s="39"/>
      <c r="E102" s="40"/>
      <c r="F102" s="41"/>
      <c r="G102" s="39"/>
      <c r="H102" s="42"/>
      <c r="I102" s="59"/>
      <c r="J102" s="57"/>
      <c r="K102" s="58"/>
    </row>
    <row r="103" ht="14.25" customHeight="1" outlineLevel="1">
      <c r="A103" s="68">
        <v>14</v>
      </c>
      <c r="B103" s="39"/>
      <c r="C103" s="39"/>
      <c r="D103" s="39"/>
      <c r="E103" s="40"/>
      <c r="F103" s="41"/>
      <c r="G103" s="39"/>
      <c r="H103" s="42"/>
      <c r="I103" s="59"/>
      <c r="J103" s="57"/>
      <c r="K103" s="58"/>
    </row>
    <row r="104" ht="14.25" customHeight="1" outlineLevel="1">
      <c r="A104" s="68">
        <v>15</v>
      </c>
      <c r="B104" s="39"/>
      <c r="C104" s="39"/>
      <c r="D104" s="39"/>
      <c r="E104" s="40"/>
      <c r="F104" s="41"/>
      <c r="G104" s="39"/>
      <c r="H104" s="42"/>
      <c r="I104" s="59"/>
      <c r="J104" s="57"/>
      <c r="K104" s="58"/>
    </row>
    <row r="105" ht="14.25" customHeight="1" outlineLevel="1">
      <c r="A105" s="68">
        <v>16</v>
      </c>
      <c r="B105" s="39"/>
      <c r="C105" s="39"/>
      <c r="D105" s="39"/>
      <c r="E105" s="45"/>
      <c r="F105" s="41"/>
      <c r="G105" s="39"/>
      <c r="H105" s="42"/>
      <c r="I105" s="59"/>
      <c r="J105" s="57"/>
      <c r="K105" s="58"/>
    </row>
    <row r="106" ht="14.25" customHeight="1" outlineLevel="1">
      <c r="A106" s="68">
        <v>17</v>
      </c>
      <c r="B106" s="39"/>
      <c r="C106" s="39"/>
      <c r="D106" s="39"/>
      <c r="E106" s="45"/>
      <c r="F106" s="41"/>
      <c r="G106" s="39"/>
      <c r="H106" s="42"/>
      <c r="I106" s="59"/>
      <c r="J106" s="57"/>
      <c r="K106" s="58"/>
    </row>
    <row r="107" ht="14.25" customHeight="1" outlineLevel="1">
      <c r="A107" s="68">
        <v>18</v>
      </c>
      <c r="B107" s="90"/>
      <c r="C107" s="90"/>
      <c r="D107" s="91"/>
      <c r="E107" s="92"/>
      <c r="F107" s="91"/>
      <c r="G107" s="42"/>
      <c r="H107" s="42"/>
      <c r="I107" s="59"/>
      <c r="J107" s="57"/>
      <c r="K107" s="58"/>
    </row>
    <row r="108" ht="14.25" customHeight="1" outlineLevel="1">
      <c r="A108" s="68">
        <v>19</v>
      </c>
      <c r="B108" s="42"/>
      <c r="C108" s="42"/>
      <c r="D108" s="42"/>
      <c r="E108" s="93"/>
      <c r="F108" s="94"/>
      <c r="G108" s="42"/>
      <c r="H108" s="42"/>
      <c r="I108" s="59"/>
      <c r="J108" s="57"/>
      <c r="K108" s="58"/>
    </row>
    <row r="109" ht="14.25" customHeight="1" outlineLevel="1">
      <c r="A109" s="68">
        <v>20</v>
      </c>
      <c r="B109" s="42"/>
      <c r="C109" s="42"/>
      <c r="D109" s="42"/>
      <c r="E109" s="93"/>
      <c r="F109" s="94"/>
      <c r="G109" s="42"/>
      <c r="H109" s="42"/>
      <c r="I109" s="59"/>
      <c r="J109" s="57"/>
      <c r="K109" s="58"/>
    </row>
    <row r="110" ht="14.25" customHeight="1" outlineLevel="1">
      <c r="A110" s="68">
        <v>21</v>
      </c>
      <c r="B110" s="95"/>
      <c r="C110" s="95"/>
      <c r="D110" s="95"/>
      <c r="E110" s="96"/>
      <c r="F110" s="97"/>
      <c r="G110" s="42"/>
      <c r="H110" s="95"/>
      <c r="I110" s="98"/>
      <c r="J110" s="57"/>
      <c r="K110" s="58"/>
    </row>
    <row r="111" ht="14.25" customHeight="1" outlineLevel="1">
      <c r="A111" s="68">
        <v>22</v>
      </c>
      <c r="B111" s="95"/>
      <c r="C111" s="95"/>
      <c r="D111" s="95"/>
      <c r="E111" s="96"/>
      <c r="F111" s="97"/>
      <c r="G111" s="42"/>
      <c r="H111" s="95"/>
      <c r="I111" s="98"/>
      <c r="J111" s="57"/>
      <c r="K111" s="58"/>
    </row>
    <row r="112" ht="14.25" customHeight="1" outlineLevel="1">
      <c r="A112" s="68">
        <v>23</v>
      </c>
      <c r="B112" s="99"/>
      <c r="C112" s="99"/>
      <c r="D112" s="99"/>
      <c r="E112" s="100"/>
      <c r="F112" s="101"/>
      <c r="G112" s="59"/>
      <c r="H112" s="99"/>
      <c r="I112" s="98"/>
      <c r="J112" s="57"/>
      <c r="K112" s="58"/>
    </row>
    <row r="113" ht="14.25" customHeight="1" outlineLevel="1">
      <c r="A113" s="68">
        <v>24</v>
      </c>
      <c r="B113" s="99"/>
      <c r="C113" s="99"/>
      <c r="D113" s="99"/>
      <c r="E113" s="100"/>
      <c r="F113" s="101"/>
      <c r="G113" s="59"/>
      <c r="H113" s="99"/>
      <c r="I113" s="98"/>
      <c r="J113" s="57"/>
      <c r="K113" s="58"/>
    </row>
    <row r="114" ht="14.25" customHeight="1" outlineLevel="1">
      <c r="A114" s="68">
        <v>25</v>
      </c>
      <c r="B114" s="99"/>
      <c r="C114" s="99"/>
      <c r="D114" s="99"/>
      <c r="E114" s="100"/>
      <c r="F114" s="101"/>
      <c r="G114" s="59"/>
      <c r="H114" s="99"/>
      <c r="I114" s="98"/>
      <c r="J114" s="57"/>
      <c r="K114" s="58"/>
    </row>
    <row r="115" s="21" customFormat="1" ht="20.25" customHeight="1" outlineLevel="1">
      <c r="A115" s="22"/>
      <c r="B115" s="23" t="s">
        <v>26</v>
      </c>
      <c r="C115" s="24"/>
      <c r="D115" s="25"/>
      <c r="E115" s="26"/>
      <c r="F115" s="23"/>
      <c r="G115" s="23"/>
      <c r="H115" s="23"/>
      <c r="I115" s="23"/>
      <c r="J115" s="23"/>
      <c r="K115" s="27"/>
    </row>
    <row r="116" ht="14.25" customHeight="1" outlineLevel="1">
      <c r="A116" s="62">
        <v>1</v>
      </c>
      <c r="B116" s="63"/>
      <c r="C116" s="63"/>
      <c r="D116" s="63"/>
      <c r="E116" s="64"/>
      <c r="F116" s="65"/>
      <c r="G116" s="63"/>
      <c r="H116" s="63"/>
      <c r="I116" s="102"/>
      <c r="J116" s="66"/>
      <c r="K116" s="67"/>
    </row>
    <row r="117" ht="14.25" customHeight="1" outlineLevel="1">
      <c r="A117" s="68">
        <v>2</v>
      </c>
      <c r="B117" s="99"/>
      <c r="C117" s="99"/>
      <c r="D117" s="99"/>
      <c r="E117" s="60"/>
      <c r="F117" s="61"/>
      <c r="G117" s="59"/>
      <c r="H117" s="59"/>
      <c r="I117" s="59"/>
      <c r="J117" s="57"/>
      <c r="K117" s="58"/>
    </row>
    <row r="118" ht="14.25" customHeight="1" outlineLevel="1">
      <c r="A118" s="68">
        <v>3</v>
      </c>
      <c r="B118" s="56"/>
      <c r="C118" s="56"/>
      <c r="D118" s="56"/>
      <c r="E118" s="78"/>
      <c r="F118" s="79"/>
      <c r="G118" s="59"/>
      <c r="H118" s="59"/>
      <c r="I118" s="59"/>
      <c r="J118" s="57"/>
      <c r="K118" s="58"/>
    </row>
    <row r="119" ht="14.25" customHeight="1" outlineLevel="1">
      <c r="A119" s="68">
        <v>4</v>
      </c>
      <c r="B119" s="59"/>
      <c r="C119" s="59"/>
      <c r="D119" s="59"/>
      <c r="E119" s="60"/>
      <c r="F119" s="61"/>
      <c r="G119" s="59"/>
      <c r="H119" s="59"/>
      <c r="I119" s="59"/>
      <c r="J119" s="57"/>
      <c r="K119" s="58"/>
    </row>
    <row r="120" ht="14.25" customHeight="1" outlineLevel="1">
      <c r="A120" s="69">
        <v>5</v>
      </c>
      <c r="B120" s="70"/>
      <c r="C120" s="70"/>
      <c r="D120" s="70"/>
      <c r="E120" s="71"/>
      <c r="F120" s="72"/>
      <c r="G120" s="70"/>
      <c r="H120" s="70"/>
      <c r="I120" s="70"/>
      <c r="J120" s="73"/>
      <c r="K120" s="74"/>
    </row>
    <row r="121" s="21" customFormat="1" ht="20.25" customHeight="1" outlineLevel="1">
      <c r="A121" s="22"/>
      <c r="B121" s="23" t="s">
        <v>19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99"/>
      <c r="C122" s="99"/>
      <c r="D122" s="65"/>
      <c r="E122" s="64"/>
      <c r="F122" s="65"/>
      <c r="G122" s="63"/>
      <c r="H122" s="63"/>
      <c r="I122" s="59"/>
      <c r="J122" s="66"/>
      <c r="K122" s="67"/>
    </row>
    <row r="123" ht="14.25" customHeight="1" outlineLevel="1">
      <c r="A123" s="68">
        <v>2</v>
      </c>
      <c r="B123" s="99"/>
      <c r="C123" s="99"/>
      <c r="D123" s="9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99"/>
      <c r="C124" s="99"/>
      <c r="D124" s="9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9">
        <v>5</v>
      </c>
      <c r="B126" s="70"/>
      <c r="C126" s="70"/>
      <c r="D126" s="70"/>
      <c r="E126" s="71"/>
      <c r="F126" s="72"/>
      <c r="G126" s="70"/>
      <c r="H126" s="70"/>
      <c r="I126" s="70"/>
      <c r="J126" s="73"/>
      <c r="K126" s="74"/>
    </row>
    <row r="127" s="21" customFormat="1" ht="23.25" customHeight="1">
      <c r="A127" s="82" t="s">
        <v>27</v>
      </c>
      <c r="B127" s="83"/>
      <c r="C127" s="83"/>
      <c r="D127" s="103"/>
      <c r="E127" s="104">
        <f>SUM(E89:E126)</f>
        <v>500000</v>
      </c>
    </row>
    <row r="128" s="21" customFormat="1" ht="23.25" customHeight="1">
      <c r="A128" s="82" t="s">
        <v>22</v>
      </c>
      <c r="B128" s="83"/>
      <c r="C128" s="83"/>
      <c r="D128" s="103"/>
      <c r="E128" s="104">
        <f>E84-E127</f>
        <v>1224235.8899999999</v>
      </c>
      <c r="F128" s="86"/>
    </row>
    <row r="129" ht="28.5" customHeight="1"/>
    <row r="130" ht="30.75" customHeight="1">
      <c r="A130" s="9" t="s">
        <v>28</v>
      </c>
      <c r="B130" s="10"/>
      <c r="C130" s="10"/>
      <c r="D130" s="11"/>
      <c r="E130" s="12">
        <f>SUM(E131:E131)</f>
        <v>3372</v>
      </c>
      <c r="F130" s="163" t="s">
        <v>44</v>
      </c>
      <c r="G130" s="13"/>
      <c r="H130" s="13"/>
      <c r="I130" s="13"/>
    </row>
    <row r="131" ht="15" customHeight="1">
      <c r="A131" s="105" t="s">
        <v>29</v>
      </c>
      <c r="B131" s="15"/>
      <c r="C131" s="15"/>
      <c r="D131" s="16"/>
      <c r="E131" s="17">
        <v>3372</v>
      </c>
      <c r="F131" s="13"/>
      <c r="G131" s="13"/>
      <c r="H131" s="13"/>
      <c r="I131" s="13"/>
    </row>
    <row r="132" ht="5.25" customHeight="1">
      <c r="A132" s="13"/>
      <c r="B132" s="13"/>
      <c r="C132" s="13"/>
      <c r="D132" s="13"/>
      <c r="E132" s="13"/>
      <c r="F132" s="13"/>
      <c r="G132" s="13"/>
      <c r="H132" s="13"/>
      <c r="I132" s="13"/>
    </row>
    <row r="133" ht="25.5" customHeight="1" outlineLevel="1">
      <c r="A133" s="87" t="s">
        <v>6</v>
      </c>
      <c r="B133" s="87" t="s">
        <v>7</v>
      </c>
      <c r="C133" s="87" t="s">
        <v>8</v>
      </c>
      <c r="D133" s="87" t="s">
        <v>9</v>
      </c>
      <c r="E133" s="88" t="s">
        <v>10</v>
      </c>
      <c r="F133" s="87" t="s">
        <v>11</v>
      </c>
      <c r="G133" s="87" t="s">
        <v>12</v>
      </c>
      <c r="H133" s="89" t="s">
        <v>13</v>
      </c>
      <c r="I133" s="87" t="s">
        <v>14</v>
      </c>
      <c r="J133" s="87" t="s">
        <v>15</v>
      </c>
      <c r="K133" s="87" t="s">
        <v>16</v>
      </c>
    </row>
    <row r="134" s="21" customFormat="1" ht="18.75" customHeight="1" outlineLevel="1">
      <c r="A134" s="22"/>
      <c r="B134" s="23" t="s">
        <v>30</v>
      </c>
      <c r="C134" s="24"/>
      <c r="D134" s="25"/>
      <c r="E134" s="26"/>
      <c r="F134" s="23"/>
      <c r="G134" s="23"/>
      <c r="H134" s="23"/>
      <c r="I134" s="23"/>
      <c r="J134" s="23"/>
      <c r="K134" s="27"/>
    </row>
    <row r="135" ht="14.25" customHeight="1" outlineLevel="1">
      <c r="A135" s="62">
        <v>1</v>
      </c>
      <c r="B135" s="63"/>
      <c r="C135" s="63"/>
      <c r="D135" s="63"/>
      <c r="E135" s="64"/>
      <c r="F135" s="65"/>
      <c r="G135" s="63"/>
      <c r="H135" s="63"/>
      <c r="I135" s="63"/>
      <c r="J135" s="66"/>
      <c r="K135" s="67"/>
    </row>
    <row r="136" ht="14.25" customHeight="1" outlineLevel="1">
      <c r="A136" s="68">
        <v>2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3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4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5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6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8">
        <v>7</v>
      </c>
      <c r="B141" s="59"/>
      <c r="C141" s="59"/>
      <c r="D141" s="59"/>
      <c r="E141" s="60"/>
      <c r="F141" s="61"/>
      <c r="G141" s="59"/>
      <c r="H141" s="59"/>
      <c r="I141" s="59"/>
      <c r="J141" s="57"/>
      <c r="K141" s="58"/>
    </row>
    <row r="142" ht="15.75" customHeight="1" outlineLevel="1">
      <c r="A142" s="68">
        <v>8</v>
      </c>
      <c r="B142" s="59"/>
      <c r="C142" s="59"/>
      <c r="D142" s="59"/>
      <c r="E142" s="60"/>
      <c r="F142" s="61"/>
      <c r="G142" s="59"/>
      <c r="H142" s="59"/>
      <c r="I142" s="59"/>
      <c r="J142" s="57"/>
      <c r="K142" s="58"/>
    </row>
    <row r="143" ht="15.75" customHeight="1" outlineLevel="1">
      <c r="A143" s="68">
        <v>9</v>
      </c>
      <c r="B143" s="59"/>
      <c r="C143" s="59"/>
      <c r="D143" s="59"/>
      <c r="E143" s="60"/>
      <c r="F143" s="61"/>
      <c r="G143" s="59"/>
      <c r="H143" s="59"/>
      <c r="I143" s="59"/>
      <c r="J143" s="57"/>
      <c r="K143" s="58"/>
    </row>
    <row r="144" ht="15.75" customHeight="1" outlineLevel="1">
      <c r="A144" s="68">
        <v>10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5.75" customHeight="1" outlineLevel="1">
      <c r="A145" s="68">
        <v>11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5.75" customHeight="1" outlineLevel="1">
      <c r="A146" s="68">
        <v>12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5.75" customHeight="1" outlineLevel="1">
      <c r="A147" s="68">
        <v>13</v>
      </c>
      <c r="B147" s="59"/>
      <c r="C147" s="59"/>
      <c r="D147" s="59"/>
      <c r="E147" s="60"/>
      <c r="F147" s="61"/>
      <c r="G147" s="59"/>
      <c r="H147" s="59"/>
      <c r="I147" s="59"/>
      <c r="J147" s="57"/>
      <c r="K147" s="58"/>
    </row>
    <row r="148" ht="15.75" customHeight="1" outlineLevel="1">
      <c r="A148" s="68">
        <v>14</v>
      </c>
      <c r="B148" s="59"/>
      <c r="C148" s="59"/>
      <c r="D148" s="59"/>
      <c r="E148" s="60"/>
      <c r="F148" s="61"/>
      <c r="G148" s="59"/>
      <c r="H148" s="59"/>
      <c r="I148" s="59"/>
      <c r="J148" s="57"/>
      <c r="K148" s="58"/>
    </row>
    <row r="149" ht="15.75" customHeight="1" outlineLevel="1">
      <c r="A149" s="69">
        <v>15</v>
      </c>
      <c r="B149" s="70"/>
      <c r="C149" s="70"/>
      <c r="D149" s="70"/>
      <c r="E149" s="71"/>
      <c r="F149" s="72"/>
      <c r="G149" s="70"/>
      <c r="H149" s="70"/>
      <c r="I149" s="70"/>
      <c r="J149" s="73"/>
      <c r="K149" s="74"/>
    </row>
    <row r="150" s="21" customFormat="1" ht="21.75" customHeight="1">
      <c r="A150" s="82" t="s">
        <v>31</v>
      </c>
      <c r="B150" s="83"/>
      <c r="C150" s="83"/>
      <c r="D150" s="103"/>
      <c r="E150" s="104">
        <f>SUM(E134:E149)</f>
        <v>0</v>
      </c>
    </row>
    <row r="151" s="21" customFormat="1" ht="21.75" customHeight="1">
      <c r="A151" s="82" t="s">
        <v>22</v>
      </c>
      <c r="B151" s="83"/>
      <c r="C151" s="83"/>
      <c r="D151" s="103"/>
      <c r="E151" s="104">
        <f>E130-E150</f>
        <v>3372</v>
      </c>
      <c r="F151" s="86"/>
    </row>
    <row r="152" ht="15.75"/>
    <row r="153" ht="25.5" customHeight="1">
      <c r="A153" s="9" t="s">
        <v>32</v>
      </c>
      <c r="B153" s="10"/>
      <c r="C153" s="10"/>
      <c r="D153" s="11"/>
      <c r="E153" s="12">
        <f>SUM(E154:E155)</f>
        <v>12330.25</v>
      </c>
      <c r="F153" s="163" t="s">
        <v>44</v>
      </c>
      <c r="G153" s="13"/>
      <c r="H153" s="13"/>
      <c r="I153" s="13"/>
    </row>
    <row r="154" ht="15.75">
      <c r="A154" s="14" t="s">
        <v>33</v>
      </c>
      <c r="B154" s="15"/>
      <c r="C154" s="15"/>
      <c r="D154" s="16"/>
      <c r="E154" s="17">
        <v>9172.9500000000007</v>
      </c>
      <c r="F154" s="13"/>
      <c r="G154" s="13"/>
      <c r="H154" s="13"/>
      <c r="I154" s="13"/>
    </row>
    <row r="155" ht="15.75">
      <c r="A155" s="14" t="s">
        <v>34</v>
      </c>
      <c r="B155" s="15"/>
      <c r="C155" s="15"/>
      <c r="D155" s="16"/>
      <c r="E155" s="17">
        <v>3157.3000000000002</v>
      </c>
      <c r="F155" s="13"/>
      <c r="G155" s="13"/>
      <c r="H155" s="13"/>
      <c r="I155" s="13"/>
    </row>
    <row r="156" ht="15.75">
      <c r="A156" s="13"/>
      <c r="B156" s="13"/>
      <c r="C156" s="13"/>
      <c r="D156" s="13"/>
      <c r="E156" s="13"/>
      <c r="F156" s="13"/>
      <c r="G156" s="13"/>
      <c r="H156" s="13"/>
      <c r="I156" s="13"/>
    </row>
    <row r="157" ht="22.5">
      <c r="A157" s="87" t="s">
        <v>6</v>
      </c>
      <c r="B157" s="87" t="s">
        <v>7</v>
      </c>
      <c r="C157" s="87" t="s">
        <v>8</v>
      </c>
      <c r="D157" s="87" t="s">
        <v>9</v>
      </c>
      <c r="E157" s="88" t="s">
        <v>10</v>
      </c>
      <c r="F157" s="87" t="s">
        <v>11</v>
      </c>
      <c r="G157" s="87" t="s">
        <v>12</v>
      </c>
      <c r="H157" s="89" t="s">
        <v>13</v>
      </c>
      <c r="I157" s="87" t="s">
        <v>14</v>
      </c>
      <c r="J157" s="87" t="s">
        <v>15</v>
      </c>
      <c r="K157" s="87" t="s">
        <v>16</v>
      </c>
    </row>
    <row r="158" ht="15.75">
      <c r="A158" s="22"/>
      <c r="B158" s="23" t="s">
        <v>25</v>
      </c>
      <c r="C158" s="24"/>
      <c r="D158" s="25"/>
      <c r="E158" s="26"/>
      <c r="F158" s="23"/>
      <c r="G158" s="23"/>
      <c r="H158" s="23"/>
      <c r="I158" s="23"/>
      <c r="J158" s="23"/>
      <c r="K158" s="27"/>
    </row>
    <row r="159">
      <c r="A159" s="68">
        <v>1</v>
      </c>
      <c r="B159" s="106"/>
      <c r="C159" s="106"/>
      <c r="D159" s="107"/>
      <c r="E159" s="92"/>
      <c r="F159" s="107"/>
      <c r="G159" s="42"/>
      <c r="H159" s="42"/>
      <c r="I159" s="42" t="s">
        <v>35</v>
      </c>
      <c r="J159" s="57"/>
      <c r="K159" s="58"/>
    </row>
    <row r="160">
      <c r="A160" s="68">
        <v>2</v>
      </c>
      <c r="B160" s="106"/>
      <c r="C160" s="106"/>
      <c r="D160" s="107"/>
      <c r="E160" s="93"/>
      <c r="F160" s="107"/>
      <c r="G160" s="59"/>
      <c r="H160" s="59"/>
      <c r="I160" s="42"/>
      <c r="J160" s="57"/>
      <c r="K160" s="58"/>
    </row>
    <row r="161">
      <c r="A161" s="68">
        <v>3</v>
      </c>
      <c r="B161" s="108"/>
      <c r="C161" s="109"/>
      <c r="D161" s="110"/>
      <c r="E161" s="111"/>
      <c r="F161" s="110"/>
      <c r="G161" s="112"/>
      <c r="H161" s="113"/>
      <c r="I161" s="35"/>
      <c r="J161" s="114"/>
      <c r="K161" s="115"/>
    </row>
    <row r="162">
      <c r="A162" s="68">
        <v>4</v>
      </c>
      <c r="B162" s="108"/>
      <c r="C162" s="109"/>
      <c r="D162" s="110"/>
      <c r="E162" s="111"/>
      <c r="F162" s="110"/>
      <c r="G162" s="112"/>
      <c r="H162" s="113"/>
      <c r="I162" s="35"/>
      <c r="J162" s="114"/>
      <c r="K162" s="116"/>
    </row>
    <row r="163">
      <c r="A163" s="68">
        <v>5</v>
      </c>
      <c r="B163" s="42"/>
      <c r="C163" s="42"/>
      <c r="D163" s="42"/>
      <c r="E163" s="93"/>
      <c r="F163" s="94"/>
      <c r="G163" s="42"/>
      <c r="H163" s="42"/>
      <c r="I163" s="42"/>
      <c r="J163" s="43"/>
      <c r="K163" s="44"/>
    </row>
    <row r="164">
      <c r="A164" s="68">
        <v>6</v>
      </c>
      <c r="B164" s="43"/>
      <c r="C164" s="43"/>
      <c r="D164" s="43"/>
      <c r="E164" s="43"/>
      <c r="F164" s="43"/>
      <c r="G164" s="43"/>
      <c r="H164" s="42"/>
      <c r="I164" s="42"/>
      <c r="J164" s="43"/>
      <c r="K164" s="44"/>
    </row>
    <row r="165">
      <c r="A165" s="68">
        <v>7</v>
      </c>
      <c r="B165" s="43"/>
      <c r="C165" s="43"/>
      <c r="D165" s="43"/>
      <c r="E165" s="43"/>
      <c r="F165" s="43"/>
      <c r="G165" s="43"/>
      <c r="H165" s="42"/>
      <c r="I165" s="42"/>
      <c r="J165" s="43"/>
      <c r="K165" s="44"/>
    </row>
    <row r="166">
      <c r="A166" s="68">
        <v>8</v>
      </c>
      <c r="B166" s="42"/>
      <c r="C166" s="94"/>
      <c r="D166" s="94"/>
      <c r="E166" s="93"/>
      <c r="F166" s="94"/>
      <c r="G166" s="42"/>
      <c r="H166" s="42"/>
      <c r="I166" s="42"/>
      <c r="J166" s="43"/>
      <c r="K166" s="44"/>
    </row>
    <row r="167">
      <c r="A167" s="68">
        <v>9</v>
      </c>
      <c r="B167" s="42"/>
      <c r="C167" s="94"/>
      <c r="D167" s="94"/>
      <c r="E167" s="93"/>
      <c r="F167" s="94"/>
      <c r="G167" s="42"/>
      <c r="H167" s="42"/>
      <c r="I167" s="42"/>
      <c r="J167" s="43"/>
      <c r="K167" s="44"/>
    </row>
    <row r="168">
      <c r="A168" s="68">
        <v>10</v>
      </c>
      <c r="B168" s="42"/>
      <c r="C168" s="94"/>
      <c r="D168" s="94"/>
      <c r="E168" s="93"/>
      <c r="F168" s="94"/>
      <c r="G168" s="42"/>
      <c r="H168" s="42"/>
      <c r="I168" s="42"/>
      <c r="J168" s="43"/>
      <c r="K168" s="44"/>
    </row>
    <row r="169">
      <c r="A169" s="68">
        <v>11</v>
      </c>
      <c r="B169" s="42"/>
      <c r="C169" s="94"/>
      <c r="D169" s="94"/>
      <c r="E169" s="93"/>
      <c r="F169" s="94"/>
      <c r="G169" s="42"/>
      <c r="H169" s="42"/>
      <c r="I169" s="42"/>
      <c r="J169" s="43"/>
      <c r="K169" s="44"/>
    </row>
    <row r="170">
      <c r="A170" s="68">
        <v>12</v>
      </c>
      <c r="B170" s="59"/>
      <c r="C170" s="61"/>
      <c r="D170" s="61"/>
      <c r="E170" s="93"/>
      <c r="F170" s="61"/>
      <c r="G170" s="59"/>
      <c r="H170" s="59"/>
      <c r="I170" s="42"/>
      <c r="J170" s="57"/>
      <c r="K170" s="58"/>
    </row>
    <row r="171">
      <c r="A171" s="68">
        <v>13</v>
      </c>
      <c r="B171" s="59"/>
      <c r="C171" s="61"/>
      <c r="D171" s="61"/>
      <c r="E171" s="93"/>
      <c r="F171" s="61"/>
      <c r="G171" s="59"/>
      <c r="H171" s="59"/>
      <c r="I171" s="42"/>
      <c r="J171" s="57"/>
      <c r="K171" s="58"/>
    </row>
    <row r="172">
      <c r="A172" s="68">
        <v>14</v>
      </c>
      <c r="B172" s="59"/>
      <c r="C172" s="61"/>
      <c r="D172" s="61"/>
      <c r="E172" s="93"/>
      <c r="F172" s="61"/>
      <c r="G172" s="59"/>
      <c r="H172" s="59"/>
      <c r="I172" s="42"/>
      <c r="J172" s="57"/>
      <c r="K172" s="58"/>
    </row>
    <row r="173" ht="15.75">
      <c r="A173" s="68">
        <v>15</v>
      </c>
      <c r="B173" s="59"/>
      <c r="C173" s="61"/>
      <c r="D173" s="61"/>
      <c r="E173" s="93"/>
      <c r="F173" s="61"/>
      <c r="G173" s="59"/>
      <c r="H173" s="59"/>
      <c r="I173" s="42"/>
      <c r="J173" s="57"/>
      <c r="K173" s="58"/>
    </row>
    <row r="174" ht="15.75">
      <c r="A174" s="22"/>
      <c r="B174" s="23" t="s">
        <v>26</v>
      </c>
      <c r="C174" s="24"/>
      <c r="D174" s="25"/>
      <c r="E174" s="26"/>
      <c r="F174" s="23"/>
      <c r="G174" s="23"/>
      <c r="H174" s="23"/>
      <c r="I174" s="23"/>
      <c r="J174" s="23"/>
      <c r="K174" s="27"/>
    </row>
    <row r="175">
      <c r="A175" s="62">
        <v>1</v>
      </c>
      <c r="B175" s="63"/>
      <c r="C175" s="63"/>
      <c r="D175" s="63"/>
      <c r="E175" s="64"/>
      <c r="F175" s="65"/>
      <c r="G175" s="63"/>
      <c r="H175" s="63"/>
      <c r="I175" s="63"/>
      <c r="J175" s="66"/>
      <c r="K175" s="67"/>
    </row>
    <row r="176">
      <c r="A176" s="68">
        <v>2</v>
      </c>
      <c r="B176" s="59"/>
      <c r="C176" s="59"/>
      <c r="D176" s="59"/>
      <c r="E176" s="60"/>
      <c r="F176" s="61"/>
      <c r="G176" s="59"/>
      <c r="H176" s="59"/>
      <c r="I176" s="59"/>
      <c r="J176" s="57"/>
      <c r="K176" s="58"/>
    </row>
    <row r="177">
      <c r="A177" s="68">
        <v>3</v>
      </c>
      <c r="B177" s="59"/>
      <c r="C177" s="59"/>
      <c r="D177" s="59"/>
      <c r="E177" s="60"/>
      <c r="F177" s="61"/>
      <c r="G177" s="59"/>
      <c r="H177" s="59"/>
      <c r="I177" s="59"/>
      <c r="J177" s="57"/>
      <c r="K177" s="58"/>
    </row>
    <row r="178">
      <c r="A178" s="68">
        <v>4</v>
      </c>
      <c r="B178" s="59"/>
      <c r="C178" s="59"/>
      <c r="D178" s="59"/>
      <c r="E178" s="60"/>
      <c r="F178" s="61"/>
      <c r="G178" s="59"/>
      <c r="H178" s="59"/>
      <c r="I178" s="59"/>
      <c r="J178" s="57"/>
      <c r="K178" s="58"/>
    </row>
    <row r="179" ht="15.75">
      <c r="A179" s="69">
        <v>5</v>
      </c>
      <c r="B179" s="70"/>
      <c r="C179" s="70"/>
      <c r="D179" s="70"/>
      <c r="E179" s="71"/>
      <c r="F179" s="72"/>
      <c r="G179" s="70"/>
      <c r="H179" s="70"/>
      <c r="I179" s="70"/>
      <c r="J179" s="73"/>
      <c r="K179" s="74"/>
    </row>
    <row r="180" ht="15.75">
      <c r="A180" s="22"/>
      <c r="B180" s="23" t="s">
        <v>19</v>
      </c>
      <c r="C180" s="24"/>
      <c r="D180" s="25"/>
      <c r="E180" s="26"/>
      <c r="F180" s="23"/>
      <c r="G180" s="23"/>
      <c r="H180" s="23"/>
      <c r="I180" s="23"/>
      <c r="J180" s="23"/>
      <c r="K180" s="27"/>
    </row>
    <row r="181">
      <c r="A181" s="62">
        <v>1</v>
      </c>
      <c r="B181" s="39"/>
      <c r="C181" s="56"/>
      <c r="D181" s="59"/>
      <c r="E181" s="60"/>
      <c r="F181" s="101"/>
      <c r="G181" s="63"/>
      <c r="H181" s="63"/>
      <c r="I181" s="63"/>
      <c r="J181" s="66"/>
      <c r="K181" s="67"/>
    </row>
    <row r="182">
      <c r="A182" s="68">
        <v>2</v>
      </c>
      <c r="B182" s="117"/>
      <c r="C182" s="117"/>
      <c r="D182" s="118"/>
      <c r="E182" s="60"/>
      <c r="F182" s="119"/>
      <c r="G182" s="59"/>
      <c r="H182" s="59"/>
      <c r="I182" s="59"/>
      <c r="J182" s="57"/>
      <c r="K182" s="58"/>
    </row>
    <row r="183">
      <c r="A183" s="68">
        <v>3</v>
      </c>
      <c r="B183" s="59"/>
      <c r="C183" s="59"/>
      <c r="D183" s="59"/>
      <c r="E183" s="60"/>
      <c r="F183" s="61"/>
      <c r="G183" s="59"/>
      <c r="H183" s="59"/>
      <c r="I183" s="59"/>
      <c r="J183" s="57"/>
      <c r="K183" s="58"/>
    </row>
    <row r="184">
      <c r="A184" s="68">
        <v>4</v>
      </c>
      <c r="B184" s="59"/>
      <c r="C184" s="59"/>
      <c r="D184" s="59"/>
      <c r="E184" s="60"/>
      <c r="F184" s="61"/>
      <c r="G184" s="59"/>
      <c r="H184" s="59"/>
      <c r="I184" s="59"/>
      <c r="J184" s="57"/>
      <c r="K184" s="58"/>
    </row>
    <row r="185" ht="15.75">
      <c r="A185" s="69">
        <v>5</v>
      </c>
      <c r="B185" s="70"/>
      <c r="C185" s="70"/>
      <c r="D185" s="70"/>
      <c r="E185" s="71"/>
      <c r="F185" s="72"/>
      <c r="G185" s="70"/>
      <c r="H185" s="70"/>
      <c r="I185" s="70"/>
      <c r="J185" s="73"/>
      <c r="K185" s="74"/>
    </row>
    <row r="186" s="21" customFormat="1" ht="26.25" customHeight="1">
      <c r="A186" s="82" t="s">
        <v>36</v>
      </c>
      <c r="B186" s="83"/>
      <c r="C186" s="83"/>
      <c r="D186" s="103"/>
      <c r="E186" s="104">
        <f>SUM(E159:E185)</f>
        <v>0</v>
      </c>
    </row>
    <row r="187" s="21" customFormat="1" ht="27" customHeight="1">
      <c r="A187" s="82" t="s">
        <v>22</v>
      </c>
      <c r="B187" s="83"/>
      <c r="C187" s="83"/>
      <c r="D187" s="103"/>
      <c r="E187" s="104">
        <f>E153-E186</f>
        <v>12330.25</v>
      </c>
      <c r="F187" s="86"/>
    </row>
    <row r="189" ht="15.75"/>
    <row r="190" ht="36" customHeight="1">
      <c r="A190" s="120" t="s">
        <v>37</v>
      </c>
      <c r="B190" s="120"/>
      <c r="C190" s="120"/>
      <c r="D190" s="120"/>
      <c r="E190" s="121">
        <f>E191+E192</f>
        <v>2715</v>
      </c>
      <c r="F190" s="163" t="s">
        <v>44</v>
      </c>
      <c r="G190" s="123"/>
      <c r="H190" s="123"/>
      <c r="I190" s="123"/>
      <c r="J190" s="124"/>
      <c r="K190" s="124"/>
    </row>
    <row r="191" ht="15.75" customHeight="1">
      <c r="A191" s="125" t="s">
        <v>38</v>
      </c>
      <c r="B191" s="125"/>
      <c r="C191" s="125"/>
      <c r="D191" s="125"/>
      <c r="E191" s="126">
        <v>0</v>
      </c>
      <c r="F191" s="123"/>
      <c r="G191" s="123"/>
      <c r="H191" s="123"/>
      <c r="I191" s="123"/>
      <c r="J191" s="124"/>
      <c r="K191" s="124"/>
    </row>
    <row r="192" ht="15.75" customHeight="1">
      <c r="A192" s="125" t="s">
        <v>39</v>
      </c>
      <c r="B192" s="125"/>
      <c r="C192" s="125"/>
      <c r="D192" s="125"/>
      <c r="E192" s="126">
        <v>2715</v>
      </c>
      <c r="F192" s="123"/>
      <c r="G192" s="123"/>
      <c r="H192" s="123"/>
      <c r="I192" s="123"/>
      <c r="J192" s="124"/>
      <c r="K192" s="124"/>
    </row>
    <row r="193" ht="15.75">
      <c r="A193" s="123"/>
      <c r="B193" s="123"/>
      <c r="C193" s="123"/>
      <c r="D193" s="123"/>
      <c r="E193" s="123"/>
      <c r="F193" s="123"/>
      <c r="G193" s="123"/>
      <c r="H193" s="123"/>
      <c r="I193" s="123"/>
      <c r="J193" s="124"/>
      <c r="K193" s="124"/>
    </row>
    <row r="194" ht="24.75">
      <c r="A194" s="127" t="s">
        <v>6</v>
      </c>
      <c r="B194" s="127" t="s">
        <v>7</v>
      </c>
      <c r="C194" s="127" t="s">
        <v>8</v>
      </c>
      <c r="D194" s="127" t="s">
        <v>9</v>
      </c>
      <c r="E194" s="127" t="s">
        <v>40</v>
      </c>
      <c r="F194" s="127" t="s">
        <v>11</v>
      </c>
      <c r="G194" s="127" t="s">
        <v>12</v>
      </c>
      <c r="H194" s="128" t="s">
        <v>13</v>
      </c>
      <c r="I194" s="127" t="s">
        <v>14</v>
      </c>
      <c r="J194" s="127" t="s">
        <v>15</v>
      </c>
      <c r="K194" s="127" t="s">
        <v>16</v>
      </c>
    </row>
    <row r="195" ht="15.75">
      <c r="A195" s="129" t="s">
        <v>41</v>
      </c>
      <c r="B195" s="130"/>
      <c r="C195" s="130"/>
      <c r="D195" s="130"/>
      <c r="E195" s="130"/>
      <c r="F195" s="130"/>
      <c r="G195" s="130"/>
      <c r="H195" s="130"/>
      <c r="I195" s="130"/>
      <c r="J195" s="130"/>
      <c r="K195" s="131"/>
    </row>
    <row r="196">
      <c r="A196" s="132">
        <v>1</v>
      </c>
      <c r="B196" s="133"/>
      <c r="C196" s="133"/>
      <c r="D196" s="134"/>
      <c r="E196" s="135"/>
      <c r="F196" s="134"/>
      <c r="G196" s="136"/>
      <c r="H196" s="136"/>
      <c r="I196" s="136"/>
      <c r="J196" s="137"/>
      <c r="K196" s="138"/>
    </row>
    <row r="197">
      <c r="A197" s="139">
        <v>2</v>
      </c>
      <c r="B197" s="140"/>
      <c r="C197" s="140"/>
      <c r="D197" s="141"/>
      <c r="E197" s="142"/>
      <c r="F197" s="141"/>
      <c r="G197" s="143"/>
      <c r="H197" s="143"/>
      <c r="I197" s="142"/>
      <c r="J197" s="144"/>
      <c r="K197" s="145"/>
    </row>
    <row r="198">
      <c r="A198" s="139">
        <v>3</v>
      </c>
      <c r="B198" s="143"/>
      <c r="C198" s="143"/>
      <c r="D198" s="143"/>
      <c r="E198" s="142"/>
      <c r="F198" s="146"/>
      <c r="G198" s="143"/>
      <c r="H198" s="143"/>
      <c r="I198" s="142"/>
      <c r="J198" s="144"/>
      <c r="K198" s="145"/>
    </row>
    <row r="199">
      <c r="A199" s="139">
        <v>4</v>
      </c>
      <c r="B199" s="143"/>
      <c r="C199" s="146"/>
      <c r="D199" s="146"/>
      <c r="E199" s="142"/>
      <c r="F199" s="146"/>
      <c r="G199" s="143"/>
      <c r="H199" s="143"/>
      <c r="I199" s="142"/>
      <c r="J199" s="144"/>
      <c r="K199" s="145"/>
    </row>
    <row r="200">
      <c r="A200" s="139">
        <v>5</v>
      </c>
      <c r="B200" s="143"/>
      <c r="C200" s="143"/>
      <c r="D200" s="143"/>
      <c r="E200" s="143"/>
      <c r="F200" s="146"/>
      <c r="G200" s="143"/>
      <c r="H200" s="143"/>
      <c r="I200" s="142"/>
      <c r="J200" s="144"/>
      <c r="K200" s="145"/>
    </row>
    <row r="201">
      <c r="A201" s="139">
        <v>6</v>
      </c>
      <c r="B201" s="144"/>
      <c r="C201" s="144"/>
      <c r="D201" s="144"/>
      <c r="E201" s="144"/>
      <c r="F201" s="144"/>
      <c r="G201" s="144"/>
      <c r="H201" s="143"/>
      <c r="I201" s="142"/>
      <c r="J201" s="144"/>
      <c r="K201" s="145"/>
    </row>
    <row r="202">
      <c r="A202" s="139">
        <v>7</v>
      </c>
      <c r="B202" s="144"/>
      <c r="C202" s="144"/>
      <c r="D202" s="144"/>
      <c r="E202" s="144"/>
      <c r="F202" s="144"/>
      <c r="G202" s="144"/>
      <c r="H202" s="143"/>
      <c r="I202" s="143"/>
      <c r="J202" s="144"/>
      <c r="K202" s="145"/>
    </row>
    <row r="203">
      <c r="A203" s="139">
        <v>8</v>
      </c>
      <c r="B203" s="143"/>
      <c r="C203" s="146"/>
      <c r="D203" s="146"/>
      <c r="E203" s="142"/>
      <c r="F203" s="146"/>
      <c r="G203" s="143"/>
      <c r="H203" s="143"/>
      <c r="I203" s="142"/>
      <c r="J203" s="144"/>
      <c r="K203" s="145"/>
    </row>
    <row r="204">
      <c r="A204" s="139">
        <v>9</v>
      </c>
      <c r="B204" s="143"/>
      <c r="C204" s="146"/>
      <c r="D204" s="146"/>
      <c r="E204" s="142"/>
      <c r="F204" s="146"/>
      <c r="G204" s="143"/>
      <c r="H204" s="143"/>
      <c r="I204" s="142"/>
      <c r="J204" s="144"/>
      <c r="K204" s="145"/>
    </row>
    <row r="205">
      <c r="A205" s="139">
        <v>10</v>
      </c>
      <c r="B205" s="143"/>
      <c r="C205" s="146"/>
      <c r="D205" s="146"/>
      <c r="E205" s="142"/>
      <c r="F205" s="146"/>
      <c r="G205" s="143"/>
      <c r="H205" s="143"/>
      <c r="I205" s="142"/>
      <c r="J205" s="144"/>
      <c r="K205" s="145"/>
    </row>
    <row r="206">
      <c r="A206" s="139">
        <v>11</v>
      </c>
      <c r="B206" s="143"/>
      <c r="C206" s="146"/>
      <c r="D206" s="146"/>
      <c r="E206" s="142"/>
      <c r="F206" s="146"/>
      <c r="G206" s="143"/>
      <c r="H206" s="143"/>
      <c r="I206" s="142"/>
      <c r="J206" s="144"/>
      <c r="K206" s="145"/>
    </row>
    <row r="207">
      <c r="A207" s="139">
        <v>12</v>
      </c>
      <c r="B207" s="143"/>
      <c r="C207" s="146"/>
      <c r="D207" s="146"/>
      <c r="E207" s="142"/>
      <c r="F207" s="146"/>
      <c r="G207" s="143"/>
      <c r="H207" s="143"/>
      <c r="I207" s="142"/>
      <c r="J207" s="144"/>
      <c r="K207" s="145"/>
    </row>
    <row r="208">
      <c r="A208" s="139">
        <v>13</v>
      </c>
      <c r="B208" s="143"/>
      <c r="C208" s="146"/>
      <c r="D208" s="146"/>
      <c r="E208" s="142"/>
      <c r="F208" s="146"/>
      <c r="G208" s="143"/>
      <c r="H208" s="143"/>
      <c r="I208" s="142"/>
      <c r="J208" s="144"/>
      <c r="K208" s="145"/>
    </row>
    <row r="209">
      <c r="A209" s="139">
        <v>14</v>
      </c>
      <c r="B209" s="143"/>
      <c r="C209" s="146"/>
      <c r="D209" s="146"/>
      <c r="E209" s="142"/>
      <c r="F209" s="146"/>
      <c r="G209" s="143"/>
      <c r="H209" s="143"/>
      <c r="I209" s="142"/>
      <c r="J209" s="144"/>
      <c r="K209" s="145"/>
    </row>
    <row r="210" ht="15.75">
      <c r="A210" s="147">
        <v>15</v>
      </c>
      <c r="B210" s="148"/>
      <c r="C210" s="149"/>
      <c r="D210" s="149"/>
      <c r="E210" s="150"/>
      <c r="F210" s="149"/>
      <c r="G210" s="148"/>
      <c r="H210" s="148"/>
      <c r="I210" s="150"/>
      <c r="J210" s="151"/>
      <c r="K210" s="152"/>
    </row>
    <row r="211" ht="15.75">
      <c r="A211" s="22"/>
      <c r="B211" s="23" t="s">
        <v>26</v>
      </c>
      <c r="C211" s="24"/>
      <c r="D211" s="25"/>
      <c r="E211" s="26"/>
      <c r="F211" s="23"/>
      <c r="G211" s="23"/>
      <c r="H211" s="23"/>
      <c r="I211" s="23"/>
      <c r="J211" s="23"/>
      <c r="K211" s="27"/>
    </row>
    <row r="212">
      <c r="A212" s="132">
        <v>1</v>
      </c>
      <c r="B212" s="153"/>
      <c r="C212" s="153"/>
      <c r="D212" s="153"/>
      <c r="E212" s="153"/>
      <c r="F212" s="154"/>
      <c r="G212" s="153"/>
      <c r="H212" s="153"/>
      <c r="I212" s="153"/>
      <c r="J212" s="137"/>
      <c r="K212" s="138"/>
    </row>
    <row r="213">
      <c r="A213" s="139">
        <v>2</v>
      </c>
      <c r="B213" s="143"/>
      <c r="C213" s="143"/>
      <c r="D213" s="143"/>
      <c r="E213" s="143"/>
      <c r="F213" s="146"/>
      <c r="G213" s="143"/>
      <c r="H213" s="143"/>
      <c r="I213" s="143"/>
      <c r="J213" s="144"/>
      <c r="K213" s="145"/>
    </row>
    <row r="214">
      <c r="A214" s="139">
        <v>3</v>
      </c>
      <c r="B214" s="143"/>
      <c r="C214" s="143"/>
      <c r="D214" s="143"/>
      <c r="E214" s="143"/>
      <c r="F214" s="146"/>
      <c r="G214" s="143"/>
      <c r="H214" s="143"/>
      <c r="I214" s="143"/>
      <c r="J214" s="144"/>
      <c r="K214" s="145"/>
    </row>
    <row r="215">
      <c r="A215" s="139">
        <v>4</v>
      </c>
      <c r="B215" s="143"/>
      <c r="C215" s="143"/>
      <c r="D215" s="143"/>
      <c r="E215" s="143"/>
      <c r="F215" s="146"/>
      <c r="G215" s="143"/>
      <c r="H215" s="143"/>
      <c r="I215" s="143"/>
      <c r="J215" s="144"/>
      <c r="K215" s="145"/>
    </row>
    <row r="216" ht="15.75">
      <c r="A216" s="147">
        <v>5</v>
      </c>
      <c r="B216" s="148"/>
      <c r="C216" s="148"/>
      <c r="D216" s="148"/>
      <c r="E216" s="148"/>
      <c r="F216" s="149"/>
      <c r="G216" s="148"/>
      <c r="H216" s="148"/>
      <c r="I216" s="148"/>
      <c r="J216" s="151"/>
      <c r="K216" s="152"/>
    </row>
    <row r="217" ht="15.75">
      <c r="A217" s="22"/>
      <c r="B217" s="23" t="s">
        <v>19</v>
      </c>
      <c r="C217" s="24"/>
      <c r="D217" s="25"/>
      <c r="E217" s="26"/>
      <c r="F217" s="23"/>
      <c r="G217" s="23"/>
      <c r="H217" s="23"/>
      <c r="I217" s="23"/>
      <c r="J217" s="23"/>
      <c r="K217" s="27"/>
    </row>
    <row r="218">
      <c r="A218" s="132">
        <v>1</v>
      </c>
      <c r="B218" s="136"/>
      <c r="C218" s="153"/>
      <c r="D218" s="153"/>
      <c r="E218" s="153"/>
      <c r="F218" s="154"/>
      <c r="G218" s="153"/>
      <c r="H218" s="153"/>
      <c r="I218" s="153"/>
      <c r="J218" s="137"/>
      <c r="K218" s="138"/>
    </row>
    <row r="219">
      <c r="A219" s="139">
        <v>2</v>
      </c>
      <c r="B219" s="155"/>
      <c r="C219" s="155"/>
      <c r="D219" s="156"/>
      <c r="E219" s="143"/>
      <c r="F219" s="157"/>
      <c r="G219" s="143"/>
      <c r="H219" s="143"/>
      <c r="I219" s="143"/>
      <c r="J219" s="144"/>
      <c r="K219" s="145"/>
    </row>
    <row r="220">
      <c r="A220" s="139">
        <v>3</v>
      </c>
      <c r="B220" s="143"/>
      <c r="C220" s="143"/>
      <c r="D220" s="143"/>
      <c r="E220" s="143"/>
      <c r="F220" s="146"/>
      <c r="G220" s="143"/>
      <c r="H220" s="143"/>
      <c r="I220" s="143"/>
      <c r="J220" s="144"/>
      <c r="K220" s="145"/>
    </row>
    <row r="221">
      <c r="A221" s="139">
        <v>4</v>
      </c>
      <c r="B221" s="143"/>
      <c r="C221" s="143"/>
      <c r="D221" s="143"/>
      <c r="E221" s="143"/>
      <c r="F221" s="146"/>
      <c r="G221" s="143"/>
      <c r="H221" s="143"/>
      <c r="I221" s="143"/>
      <c r="J221" s="144"/>
      <c r="K221" s="145"/>
    </row>
    <row r="222" ht="15.75">
      <c r="A222" s="147">
        <v>5</v>
      </c>
      <c r="B222" s="148"/>
      <c r="C222" s="148"/>
      <c r="D222" s="148"/>
      <c r="E222" s="148"/>
      <c r="F222" s="149"/>
      <c r="G222" s="148"/>
      <c r="H222" s="148"/>
      <c r="I222" s="148"/>
      <c r="J222" s="151"/>
      <c r="K222" s="152"/>
    </row>
    <row r="223" ht="27.75" customHeight="1">
      <c r="A223" s="158" t="s">
        <v>42</v>
      </c>
      <c r="B223" s="158"/>
      <c r="C223" s="158"/>
      <c r="D223" s="158"/>
      <c r="E223" s="159">
        <f>SUM(E196:E222)</f>
        <v>0</v>
      </c>
      <c r="F223" s="160"/>
      <c r="G223" s="160"/>
      <c r="H223" s="160"/>
      <c r="I223" s="160"/>
      <c r="J223" s="160"/>
      <c r="K223" s="160"/>
    </row>
    <row r="224" ht="27.75" customHeight="1">
      <c r="A224" s="158" t="s">
        <v>43</v>
      </c>
      <c r="B224" s="158"/>
      <c r="C224" s="158"/>
      <c r="D224" s="158"/>
      <c r="E224" s="161">
        <f>E190-E223</f>
        <v>2715</v>
      </c>
      <c r="F224" s="162"/>
      <c r="G224" s="160"/>
      <c r="H224" s="160"/>
      <c r="I224" s="160"/>
      <c r="J224" s="160"/>
      <c r="K224" s="160"/>
    </row>
    <row r="225" ht="14.25">
      <c r="E225" s="1"/>
    </row>
    <row r="227" ht="14.25">
      <c r="E227" s="1"/>
    </row>
    <row r="260" ht="14.25">
      <c r="E260" s="1"/>
    </row>
    <row r="261" ht="14.25">
      <c r="E261" s="1"/>
    </row>
    <row r="264" ht="14.25">
      <c r="E264" s="1"/>
    </row>
    <row r="297" ht="14.25">
      <c r="E297" s="1"/>
    </row>
    <row r="298" ht="14.25">
      <c r="E298" s="1"/>
    </row>
  </sheetData>
  <mergeCells count="26">
    <mergeCell ref="E1:F1"/>
    <mergeCell ref="A4:D4"/>
    <mergeCell ref="A5:D5"/>
    <mergeCell ref="A7:D7"/>
    <mergeCell ref="A81:D81"/>
    <mergeCell ref="A82:D82"/>
    <mergeCell ref="A84:D84"/>
    <mergeCell ref="A85:D85"/>
    <mergeCell ref="A86:D86"/>
    <mergeCell ref="A127:D127"/>
    <mergeCell ref="A128:D128"/>
    <mergeCell ref="A130:D130"/>
    <mergeCell ref="A131:D131"/>
    <mergeCell ref="A150:D150"/>
    <mergeCell ref="A151:D151"/>
    <mergeCell ref="A153:D153"/>
    <mergeCell ref="A154:D154"/>
    <mergeCell ref="A155:D155"/>
    <mergeCell ref="A186:D186"/>
    <mergeCell ref="A187:D187"/>
    <mergeCell ref="A190:D190"/>
    <mergeCell ref="A191:D191"/>
    <mergeCell ref="A192:D192"/>
    <mergeCell ref="A195:K195"/>
    <mergeCell ref="A223:D223"/>
    <mergeCell ref="A224:D22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10046-00F8-4BB7-86B2-00AE006B00EB}" type="list" allowBlank="1" errorStyle="stop" imeMode="noControl" operator="between" showDropDown="0" showErrorMessage="1" showInputMessage="1">
          <x14:formula1>
            <xm:f>ДаНет</xm:f>
          </x14:formula1>
          <xm:sqref>H48:H67 H69:H73 H75:H80 H135:H149 H122:H126 H175:H179 H116:H120 H90:H114 H181:H185 H12:H46 H159:H160 H163:H173</xm:sqref>
        </x14:dataValidation>
        <x14:dataValidation xr:uid="{00280070-0053-454B-912D-004500A900FD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H161:H162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'06'!C2+1</f>
        <v>46088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80018-0087-4550-8CEB-00F100A70009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880073-0075-419D-B077-00DA00D000A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'07'!C2+1</f>
        <v>46089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700B9-00BE-4519-887D-0077002100E0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5B00DA-00E4-4252-92C2-007400FF0067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'08'!C2+1</f>
        <v>46090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500A4-00B3-4553-84A8-009B00CC008B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D500A8-00F0-40F4-88AD-007D007F008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1" summaryRight="1" showOutlineSymbols="1"/>
    <pageSetUpPr autoPageBreaks="1" fitToPage="0"/>
  </sheetPr>
  <sheetViews>
    <sheetView showGridLines="0" showRuler="1" topLeftCell="A246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2.00390625"/>
    <col customWidth="1" min="5" max="5" style="1" width="26"/>
    <col customWidth="1" min="6" max="6" style="1" width="50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'09'!C2+1</f>
        <v>46091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557253.65999999992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32605.209999999999</v>
      </c>
      <c r="F5" s="13" t="s">
        <v>401</v>
      </c>
      <c r="G5" s="13"/>
      <c r="H5" s="13"/>
      <c r="I5" s="13"/>
    </row>
    <row r="6" ht="15.75">
      <c r="A6" s="14"/>
      <c r="B6" s="15"/>
      <c r="C6" s="15"/>
      <c r="D6" s="16" t="s">
        <v>4</v>
      </c>
      <c r="E6" s="17" t="s">
        <v>402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524648.44999999995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172" t="s">
        <v>17</v>
      </c>
      <c r="C10" s="173"/>
      <c r="D10" s="174"/>
      <c r="E10" s="175"/>
      <c r="F10" s="172"/>
      <c r="G10" s="172"/>
      <c r="H10" s="23"/>
      <c r="I10" s="23"/>
      <c r="J10" s="23"/>
      <c r="K10" s="27"/>
    </row>
    <row r="11" s="21" customFormat="1" ht="48.75" customHeight="1" outlineLevel="1">
      <c r="A11" s="472"/>
      <c r="B11" s="412" t="s">
        <v>45</v>
      </c>
      <c r="C11" s="473"/>
      <c r="D11" s="413"/>
      <c r="E11" s="474">
        <v>524000</v>
      </c>
      <c r="F11" s="475" t="s">
        <v>403</v>
      </c>
      <c r="G11" s="476"/>
      <c r="H11" s="477"/>
      <c r="I11" s="478"/>
      <c r="J11" s="479" t="s">
        <v>47</v>
      </c>
      <c r="K11" s="184"/>
    </row>
    <row r="12" ht="28.5" outlineLevel="1">
      <c r="A12" s="176">
        <v>1</v>
      </c>
      <c r="B12" s="480" t="s">
        <v>57</v>
      </c>
      <c r="C12" s="481" t="s">
        <v>58</v>
      </c>
      <c r="D12" s="481" t="s">
        <v>59</v>
      </c>
      <c r="E12" s="482" t="s">
        <v>60</v>
      </c>
      <c r="F12" s="483" t="s">
        <v>61</v>
      </c>
      <c r="G12" s="182" t="s">
        <v>62</v>
      </c>
      <c r="H12" s="484"/>
      <c r="I12" s="183"/>
      <c r="J12" s="43"/>
      <c r="K12" s="485"/>
    </row>
    <row r="13" ht="14.25" customHeight="1" outlineLevel="1">
      <c r="A13" s="486">
        <v>2</v>
      </c>
      <c r="B13" s="487" t="s">
        <v>57</v>
      </c>
      <c r="C13" s="323" t="s">
        <v>63</v>
      </c>
      <c r="D13" s="323" t="s">
        <v>64</v>
      </c>
      <c r="E13" s="488" t="s">
        <v>65</v>
      </c>
      <c r="F13" s="489" t="s">
        <v>66</v>
      </c>
      <c r="G13" s="182" t="s">
        <v>62</v>
      </c>
      <c r="H13" s="490"/>
      <c r="I13" s="388" t="s">
        <v>67</v>
      </c>
      <c r="J13" s="43"/>
      <c r="K13" s="44"/>
    </row>
    <row r="14" ht="14.25" customHeight="1" outlineLevel="1">
      <c r="A14" s="38">
        <v>3</v>
      </c>
      <c r="B14" s="491" t="s">
        <v>57</v>
      </c>
      <c r="C14" s="190" t="s">
        <v>68</v>
      </c>
      <c r="D14" s="190" t="s">
        <v>69</v>
      </c>
      <c r="E14" s="492" t="s">
        <v>70</v>
      </c>
      <c r="F14" s="190" t="s">
        <v>71</v>
      </c>
      <c r="G14" s="182" t="s">
        <v>62</v>
      </c>
      <c r="H14" s="193"/>
      <c r="I14" s="193"/>
      <c r="J14" s="493"/>
      <c r="K14" s="494"/>
    </row>
    <row r="15" ht="14.25" customHeight="1" outlineLevel="1">
      <c r="A15" s="385">
        <v>4</v>
      </c>
      <c r="B15" s="190" t="s">
        <v>57</v>
      </c>
      <c r="C15" s="190" t="s">
        <v>72</v>
      </c>
      <c r="D15" s="191" t="s">
        <v>73</v>
      </c>
      <c r="E15" s="492" t="s">
        <v>74</v>
      </c>
      <c r="F15" s="190" t="s">
        <v>75</v>
      </c>
      <c r="G15" s="182"/>
      <c r="H15" s="193"/>
      <c r="I15" s="193"/>
      <c r="J15" s="393"/>
      <c r="K15" s="393"/>
    </row>
    <row r="16" ht="14.25" customHeight="1" outlineLevel="1">
      <c r="A16" s="385">
        <v>5</v>
      </c>
      <c r="B16" s="190" t="s">
        <v>57</v>
      </c>
      <c r="C16" s="190" t="s">
        <v>72</v>
      </c>
      <c r="D16" s="190" t="s">
        <v>76</v>
      </c>
      <c r="E16" s="492" t="s">
        <v>77</v>
      </c>
      <c r="F16" s="190" t="s">
        <v>78</v>
      </c>
      <c r="G16" s="182"/>
      <c r="H16" s="193"/>
      <c r="I16" s="193"/>
      <c r="J16" s="393"/>
      <c r="K16" s="393"/>
    </row>
    <row r="17" ht="14.25" customHeight="1" outlineLevel="1">
      <c r="A17" s="385">
        <v>6</v>
      </c>
      <c r="B17" s="190" t="s">
        <v>57</v>
      </c>
      <c r="C17" s="190" t="s">
        <v>79</v>
      </c>
      <c r="D17" s="239" t="s">
        <v>80</v>
      </c>
      <c r="E17" s="495" t="s">
        <v>81</v>
      </c>
      <c r="F17" s="190" t="s">
        <v>82</v>
      </c>
      <c r="G17" s="182" t="s">
        <v>62</v>
      </c>
      <c r="H17" s="193"/>
      <c r="I17" s="193"/>
      <c r="J17" s="393"/>
      <c r="K17" s="393"/>
    </row>
    <row r="18" ht="14.25" customHeight="1" outlineLevel="1">
      <c r="A18" s="385">
        <v>7</v>
      </c>
      <c r="B18" s="190" t="s">
        <v>57</v>
      </c>
      <c r="C18" s="190" t="s">
        <v>79</v>
      </c>
      <c r="D18" s="496" t="s">
        <v>370</v>
      </c>
      <c r="E18" s="497" t="s">
        <v>371</v>
      </c>
      <c r="F18" s="498" t="s">
        <v>372</v>
      </c>
      <c r="G18" s="182"/>
      <c r="H18" s="193"/>
      <c r="I18" s="193"/>
      <c r="J18" s="393"/>
      <c r="K18" s="393"/>
    </row>
    <row r="19" ht="14.25" customHeight="1" outlineLevel="1">
      <c r="A19" s="385">
        <v>8</v>
      </c>
      <c r="B19" s="190" t="s">
        <v>57</v>
      </c>
      <c r="C19" s="190" t="s">
        <v>373</v>
      </c>
      <c r="D19" s="337" t="s">
        <v>374</v>
      </c>
      <c r="E19" s="499" t="s">
        <v>375</v>
      </c>
      <c r="F19" s="190" t="s">
        <v>376</v>
      </c>
      <c r="G19" s="182"/>
      <c r="H19" s="193"/>
      <c r="I19" s="193"/>
      <c r="J19" s="393"/>
      <c r="K19" s="393"/>
    </row>
    <row r="20" ht="14.25" customHeight="1" outlineLevel="1">
      <c r="A20" s="385">
        <v>9</v>
      </c>
      <c r="B20" s="198" t="s">
        <v>83</v>
      </c>
      <c r="C20" s="209" t="s">
        <v>84</v>
      </c>
      <c r="D20" s="500" t="s">
        <v>85</v>
      </c>
      <c r="E20" s="501" t="s">
        <v>86</v>
      </c>
      <c r="F20" s="182" t="s">
        <v>87</v>
      </c>
      <c r="G20" s="182" t="s">
        <v>62</v>
      </c>
      <c r="H20" s="193"/>
      <c r="I20" s="193"/>
      <c r="J20" s="393"/>
      <c r="K20" s="393"/>
    </row>
    <row r="21" ht="14.25" customHeight="1" outlineLevel="1">
      <c r="A21" s="385">
        <v>10</v>
      </c>
      <c r="B21" s="209" t="s">
        <v>83</v>
      </c>
      <c r="C21" s="209" t="s">
        <v>84</v>
      </c>
      <c r="D21" s="500" t="s">
        <v>88</v>
      </c>
      <c r="E21" s="501" t="s">
        <v>89</v>
      </c>
      <c r="F21" s="182" t="s">
        <v>90</v>
      </c>
      <c r="G21" s="182" t="s">
        <v>62</v>
      </c>
      <c r="H21" s="193"/>
      <c r="I21" s="193"/>
      <c r="J21" s="393"/>
      <c r="K21" s="393"/>
    </row>
    <row r="22" ht="14.25" customHeight="1" outlineLevel="1">
      <c r="A22" s="385">
        <v>11</v>
      </c>
      <c r="B22" s="209" t="s">
        <v>83</v>
      </c>
      <c r="C22" s="209" t="s">
        <v>84</v>
      </c>
      <c r="D22" s="500" t="s">
        <v>404</v>
      </c>
      <c r="E22" s="502" t="s">
        <v>89</v>
      </c>
      <c r="F22" s="182" t="s">
        <v>405</v>
      </c>
      <c r="G22" s="182"/>
      <c r="H22" s="193"/>
      <c r="I22" s="193"/>
      <c r="J22" s="393"/>
      <c r="K22" s="393"/>
    </row>
    <row r="23" ht="14.25" customHeight="1" outlineLevel="1">
      <c r="A23" s="385">
        <v>12</v>
      </c>
      <c r="B23" s="209" t="s">
        <v>83</v>
      </c>
      <c r="C23" s="182" t="s">
        <v>91</v>
      </c>
      <c r="D23" s="503" t="s">
        <v>92</v>
      </c>
      <c r="E23" s="504" t="s">
        <v>93</v>
      </c>
      <c r="F23" s="182" t="s">
        <v>94</v>
      </c>
      <c r="G23" s="182" t="s">
        <v>62</v>
      </c>
      <c r="H23" s="193"/>
      <c r="I23" s="193"/>
      <c r="J23" s="393"/>
      <c r="K23" s="393"/>
    </row>
    <row r="24" ht="14.25" customHeight="1" outlineLevel="1">
      <c r="A24" s="385">
        <v>13</v>
      </c>
      <c r="B24" s="198" t="s">
        <v>83</v>
      </c>
      <c r="C24" s="204" t="s">
        <v>91</v>
      </c>
      <c r="D24" s="402" t="s">
        <v>95</v>
      </c>
      <c r="E24" s="505" t="s">
        <v>96</v>
      </c>
      <c r="F24" s="399" t="s">
        <v>94</v>
      </c>
      <c r="G24" s="182" t="s">
        <v>62</v>
      </c>
      <c r="H24" s="506"/>
      <c r="I24" s="97"/>
      <c r="J24" s="383"/>
      <c r="K24" s="384"/>
    </row>
    <row r="25" ht="14.25" customHeight="1" outlineLevel="1">
      <c r="A25" s="385">
        <v>14</v>
      </c>
      <c r="B25" s="198" t="s">
        <v>83</v>
      </c>
      <c r="C25" s="204" t="s">
        <v>91</v>
      </c>
      <c r="D25" s="205" t="s">
        <v>97</v>
      </c>
      <c r="E25" s="505" t="s">
        <v>98</v>
      </c>
      <c r="F25" s="401" t="s">
        <v>94</v>
      </c>
      <c r="G25" s="182" t="s">
        <v>62</v>
      </c>
      <c r="H25" s="202"/>
      <c r="I25" s="94"/>
      <c r="J25" s="43"/>
      <c r="K25" s="44"/>
    </row>
    <row r="26" ht="14.25" customHeight="1" outlineLevel="1">
      <c r="A26" s="385">
        <v>15</v>
      </c>
      <c r="B26" s="198" t="s">
        <v>83</v>
      </c>
      <c r="C26" s="204" t="s">
        <v>91</v>
      </c>
      <c r="D26" s="205" t="s">
        <v>99</v>
      </c>
      <c r="E26" s="505" t="s">
        <v>100</v>
      </c>
      <c r="F26" s="401" t="s">
        <v>94</v>
      </c>
      <c r="G26" s="182" t="s">
        <v>62</v>
      </c>
      <c r="H26" s="202"/>
      <c r="I26" s="94"/>
      <c r="J26" s="43"/>
      <c r="K26" s="44"/>
    </row>
    <row r="27" ht="14.25" customHeight="1" outlineLevel="1">
      <c r="A27" s="385">
        <v>16</v>
      </c>
      <c r="B27" s="198" t="s">
        <v>83</v>
      </c>
      <c r="C27" s="204" t="s">
        <v>91</v>
      </c>
      <c r="D27" s="205" t="s">
        <v>101</v>
      </c>
      <c r="E27" s="505" t="s">
        <v>102</v>
      </c>
      <c r="F27" s="401" t="s">
        <v>94</v>
      </c>
      <c r="G27" s="182" t="s">
        <v>62</v>
      </c>
      <c r="H27" s="202"/>
      <c r="I27" s="94"/>
      <c r="J27" s="43"/>
      <c r="K27" s="44"/>
    </row>
    <row r="28" ht="14.25" customHeight="1" outlineLevel="1">
      <c r="A28" s="385">
        <v>17</v>
      </c>
      <c r="B28" s="198" t="s">
        <v>83</v>
      </c>
      <c r="C28" s="204" t="s">
        <v>91</v>
      </c>
      <c r="D28" s="205" t="s">
        <v>103</v>
      </c>
      <c r="E28" s="505" t="s">
        <v>104</v>
      </c>
      <c r="F28" s="401" t="s">
        <v>94</v>
      </c>
      <c r="G28" s="182" t="s">
        <v>62</v>
      </c>
      <c r="H28" s="202"/>
      <c r="I28" s="94"/>
      <c r="J28" s="43"/>
      <c r="K28" s="44"/>
    </row>
    <row r="29" ht="14.25" customHeight="1" outlineLevel="1">
      <c r="A29" s="385">
        <v>18</v>
      </c>
      <c r="B29" s="198" t="s">
        <v>83</v>
      </c>
      <c r="C29" s="204" t="s">
        <v>91</v>
      </c>
      <c r="D29" s="205" t="s">
        <v>105</v>
      </c>
      <c r="E29" s="505" t="s">
        <v>106</v>
      </c>
      <c r="F29" s="401" t="s">
        <v>94</v>
      </c>
      <c r="G29" s="182" t="s">
        <v>62</v>
      </c>
      <c r="H29" s="202"/>
      <c r="I29" s="94"/>
      <c r="J29" s="43"/>
      <c r="K29" s="44"/>
    </row>
    <row r="30" ht="14.25" customHeight="1" outlineLevel="1">
      <c r="A30" s="385">
        <v>19</v>
      </c>
      <c r="B30" s="198" t="s">
        <v>83</v>
      </c>
      <c r="C30" s="204" t="s">
        <v>91</v>
      </c>
      <c r="D30" s="205" t="s">
        <v>107</v>
      </c>
      <c r="E30" s="505" t="s">
        <v>108</v>
      </c>
      <c r="F30" s="401" t="s">
        <v>94</v>
      </c>
      <c r="G30" s="182" t="s">
        <v>62</v>
      </c>
      <c r="H30" s="202"/>
      <c r="I30" s="94"/>
      <c r="J30" s="43"/>
      <c r="K30" s="44"/>
    </row>
    <row r="31" ht="14.25" customHeight="1" outlineLevel="1">
      <c r="A31" s="385">
        <v>20</v>
      </c>
      <c r="B31" s="198" t="s">
        <v>83</v>
      </c>
      <c r="C31" s="198" t="s">
        <v>109</v>
      </c>
      <c r="D31" s="199" t="s">
        <v>110</v>
      </c>
      <c r="E31" s="507" t="s">
        <v>111</v>
      </c>
      <c r="F31" s="401" t="s">
        <v>112</v>
      </c>
      <c r="G31" s="182" t="s">
        <v>62</v>
      </c>
      <c r="H31" s="202"/>
      <c r="I31" s="94"/>
      <c r="J31" s="43"/>
      <c r="K31" s="44"/>
    </row>
    <row r="32" ht="14.25" customHeight="1" outlineLevel="1">
      <c r="A32" s="385">
        <v>21</v>
      </c>
      <c r="B32" s="198" t="s">
        <v>83</v>
      </c>
      <c r="C32" s="198" t="s">
        <v>109</v>
      </c>
      <c r="D32" s="199" t="s">
        <v>113</v>
      </c>
      <c r="E32" s="507" t="s">
        <v>114</v>
      </c>
      <c r="F32" s="401" t="s">
        <v>115</v>
      </c>
      <c r="G32" s="182" t="s">
        <v>62</v>
      </c>
      <c r="H32" s="202"/>
      <c r="I32" s="94"/>
      <c r="J32" s="43"/>
      <c r="K32" s="44"/>
    </row>
    <row r="33" ht="14.25" customHeight="1" outlineLevel="1">
      <c r="A33" s="385">
        <v>22</v>
      </c>
      <c r="B33" s="209" t="s">
        <v>83</v>
      </c>
      <c r="C33" s="198" t="s">
        <v>109</v>
      </c>
      <c r="D33" s="199" t="s">
        <v>116</v>
      </c>
      <c r="E33" s="507" t="s">
        <v>117</v>
      </c>
      <c r="F33" s="401" t="s">
        <v>118</v>
      </c>
      <c r="G33" s="182" t="s">
        <v>62</v>
      </c>
      <c r="H33" s="202"/>
      <c r="I33" s="94"/>
      <c r="J33" s="43"/>
      <c r="K33" s="44"/>
    </row>
    <row r="34" ht="14.25" customHeight="1" outlineLevel="1">
      <c r="A34" s="385">
        <v>23</v>
      </c>
      <c r="B34" s="182" t="s">
        <v>83</v>
      </c>
      <c r="C34" s="182" t="s">
        <v>119</v>
      </c>
      <c r="D34" s="205" t="s">
        <v>120</v>
      </c>
      <c r="E34" s="508" t="s">
        <v>377</v>
      </c>
      <c r="F34" s="401" t="s">
        <v>122</v>
      </c>
      <c r="G34" s="182" t="s">
        <v>62</v>
      </c>
      <c r="H34" s="202"/>
      <c r="I34" s="94"/>
      <c r="J34" s="43"/>
      <c r="K34" s="44"/>
    </row>
    <row r="35" ht="14.25" customHeight="1" outlineLevel="1">
      <c r="A35" s="385">
        <v>24</v>
      </c>
      <c r="B35" s="209" t="s">
        <v>123</v>
      </c>
      <c r="C35" s="182" t="s">
        <v>124</v>
      </c>
      <c r="D35" s="205" t="s">
        <v>125</v>
      </c>
      <c r="E35" s="507" t="s">
        <v>126</v>
      </c>
      <c r="F35" s="401" t="s">
        <v>127</v>
      </c>
      <c r="G35" s="182" t="s">
        <v>62</v>
      </c>
      <c r="H35" s="202"/>
      <c r="I35" s="94"/>
      <c r="J35" s="43"/>
      <c r="K35" s="44"/>
    </row>
    <row r="36" ht="14.25" customHeight="1" outlineLevel="1">
      <c r="A36" s="385">
        <v>25</v>
      </c>
      <c r="B36" s="209" t="s">
        <v>128</v>
      </c>
      <c r="C36" s="182" t="s">
        <v>37</v>
      </c>
      <c r="D36" s="205" t="s">
        <v>129</v>
      </c>
      <c r="E36" s="507" t="s">
        <v>130</v>
      </c>
      <c r="F36" s="401" t="s">
        <v>131</v>
      </c>
      <c r="G36" s="182" t="s">
        <v>62</v>
      </c>
      <c r="H36" s="202"/>
      <c r="I36" s="94"/>
      <c r="J36" s="43"/>
      <c r="K36" s="44"/>
    </row>
    <row r="37" ht="14.25" customHeight="1" outlineLevel="1">
      <c r="A37" s="385">
        <v>26</v>
      </c>
      <c r="B37" s="182" t="s">
        <v>83</v>
      </c>
      <c r="C37" s="210" t="s">
        <v>132</v>
      </c>
      <c r="D37" s="509" t="s">
        <v>133</v>
      </c>
      <c r="E37" s="488" t="s">
        <v>134</v>
      </c>
      <c r="F37" s="489" t="s">
        <v>135</v>
      </c>
      <c r="G37" s="182" t="s">
        <v>62</v>
      </c>
      <c r="H37" s="202"/>
      <c r="I37" s="94"/>
      <c r="J37" s="43"/>
      <c r="K37" s="44"/>
    </row>
    <row r="38" ht="14.25" customHeight="1" outlineLevel="1">
      <c r="A38" s="385">
        <v>27</v>
      </c>
      <c r="B38" s="182" t="s">
        <v>83</v>
      </c>
      <c r="C38" s="190" t="s">
        <v>136</v>
      </c>
      <c r="D38" s="239" t="s">
        <v>137</v>
      </c>
      <c r="E38" s="510" t="s">
        <v>378</v>
      </c>
      <c r="F38" s="511" t="s">
        <v>139</v>
      </c>
      <c r="G38" s="182" t="s">
        <v>62</v>
      </c>
      <c r="H38" s="202"/>
      <c r="I38" s="94"/>
      <c r="J38" s="43"/>
      <c r="K38" s="44"/>
    </row>
    <row r="39" ht="14.25" customHeight="1" outlineLevel="1">
      <c r="A39" s="385">
        <v>28</v>
      </c>
      <c r="B39" s="481" t="s">
        <v>48</v>
      </c>
      <c r="C39" s="481" t="s">
        <v>49</v>
      </c>
      <c r="D39" s="512" t="s">
        <v>50</v>
      </c>
      <c r="E39" s="513" t="s">
        <v>140</v>
      </c>
      <c r="F39" s="407" t="s">
        <v>51</v>
      </c>
      <c r="G39" s="182" t="s">
        <v>62</v>
      </c>
      <c r="H39" s="202" t="s">
        <v>141</v>
      </c>
      <c r="I39" s="94"/>
      <c r="J39" s="43"/>
      <c r="K39" s="44"/>
    </row>
    <row r="40" ht="14.25" customHeight="1" outlineLevel="1">
      <c r="A40" s="385">
        <v>29</v>
      </c>
      <c r="B40" s="408" t="s">
        <v>48</v>
      </c>
      <c r="C40" s="33" t="s">
        <v>49</v>
      </c>
      <c r="D40" s="512" t="s">
        <v>50</v>
      </c>
      <c r="E40" s="513" t="s">
        <v>142</v>
      </c>
      <c r="F40" s="407" t="s">
        <v>51</v>
      </c>
      <c r="G40" s="514" t="s">
        <v>62</v>
      </c>
      <c r="H40" s="179"/>
      <c r="I40" s="515"/>
      <c r="J40" s="43"/>
      <c r="K40" s="44"/>
    </row>
    <row r="41" ht="14.25" customHeight="1" outlineLevel="1">
      <c r="A41" s="385">
        <v>30</v>
      </c>
      <c r="B41" s="204" t="s">
        <v>83</v>
      </c>
      <c r="C41" s="236" t="s">
        <v>143</v>
      </c>
      <c r="D41" s="177" t="s">
        <v>144</v>
      </c>
      <c r="E41" s="516" t="s">
        <v>145</v>
      </c>
      <c r="F41" s="410" t="s">
        <v>146</v>
      </c>
      <c r="G41" s="514" t="s">
        <v>62</v>
      </c>
      <c r="H41" s="202"/>
      <c r="I41" s="94"/>
      <c r="J41" s="43"/>
      <c r="K41" s="44"/>
    </row>
    <row r="42" ht="14.25" customHeight="1" outlineLevel="1">
      <c r="A42" s="385">
        <v>31</v>
      </c>
      <c r="B42" s="204" t="s">
        <v>83</v>
      </c>
      <c r="C42" s="517" t="s">
        <v>147</v>
      </c>
      <c r="D42" s="518" t="s">
        <v>148</v>
      </c>
      <c r="E42" s="516" t="s">
        <v>379</v>
      </c>
      <c r="F42" s="410" t="s">
        <v>150</v>
      </c>
      <c r="G42" s="514" t="s">
        <v>62</v>
      </c>
      <c r="H42" s="202"/>
      <c r="I42" s="94"/>
      <c r="J42" s="43"/>
      <c r="K42" s="44"/>
    </row>
    <row r="43" ht="14.25" customHeight="1" outlineLevel="1">
      <c r="A43" s="385">
        <v>32</v>
      </c>
      <c r="B43" s="519"/>
      <c r="C43" s="520"/>
      <c r="D43" s="521"/>
      <c r="E43" s="522"/>
      <c r="F43" s="523"/>
      <c r="G43" s="476"/>
      <c r="H43" s="477"/>
      <c r="I43" s="478"/>
      <c r="J43" s="479"/>
      <c r="K43" s="184"/>
    </row>
    <row r="44" ht="14.25" customHeight="1" outlineLevel="1">
      <c r="A44" s="385">
        <v>33</v>
      </c>
      <c r="B44" s="519"/>
      <c r="C44" s="476"/>
      <c r="D44" s="521"/>
      <c r="E44" s="522"/>
      <c r="F44" s="523"/>
      <c r="G44" s="476"/>
      <c r="H44" s="477"/>
      <c r="I44" s="478"/>
      <c r="J44" s="479"/>
      <c r="K44" s="184"/>
    </row>
    <row r="45" ht="14.25" customHeight="1" outlineLevel="1">
      <c r="A45" s="385">
        <v>34</v>
      </c>
      <c r="B45" s="476"/>
      <c r="C45" s="476"/>
      <c r="D45" s="521"/>
      <c r="E45" s="524"/>
      <c r="F45" s="523"/>
      <c r="G45" s="476"/>
      <c r="H45" s="477"/>
      <c r="I45" s="478"/>
      <c r="J45" s="479"/>
      <c r="K45" s="184"/>
    </row>
    <row r="46" ht="14.25" customHeight="1" outlineLevel="1">
      <c r="A46" s="385">
        <v>35</v>
      </c>
      <c r="B46" s="476"/>
      <c r="C46" s="476"/>
      <c r="D46" s="521"/>
      <c r="E46" s="524"/>
      <c r="F46" s="523"/>
      <c r="G46" s="476"/>
      <c r="H46" s="477"/>
      <c r="I46" s="478"/>
      <c r="J46" s="479"/>
      <c r="K46" s="184"/>
    </row>
    <row r="47" ht="14.25" customHeight="1" outlineLevel="1">
      <c r="A47" s="385">
        <v>36</v>
      </c>
      <c r="B47" s="519"/>
      <c r="C47" s="525"/>
      <c r="D47" s="526"/>
      <c r="E47" s="527"/>
      <c r="F47" s="528"/>
      <c r="G47" s="476"/>
      <c r="H47" s="477"/>
      <c r="I47" s="478"/>
      <c r="J47" s="479"/>
      <c r="K47" s="184"/>
    </row>
    <row r="48" ht="14.25" customHeight="1" outlineLevel="1">
      <c r="A48" s="385">
        <v>37</v>
      </c>
      <c r="B48" s="519"/>
      <c r="C48" s="525"/>
      <c r="D48" s="529"/>
      <c r="E48" s="530"/>
      <c r="F48" s="531"/>
      <c r="G48" s="476"/>
      <c r="H48" s="477"/>
      <c r="I48" s="478"/>
      <c r="J48" s="479"/>
      <c r="K48" s="184"/>
    </row>
    <row r="49" ht="14.25" customHeight="1" outlineLevel="1">
      <c r="A49" s="385">
        <v>38</v>
      </c>
      <c r="B49" s="519"/>
      <c r="C49" s="251"/>
      <c r="D49" s="251"/>
      <c r="E49" s="532"/>
      <c r="F49" s="251"/>
      <c r="G49" s="476"/>
      <c r="H49" s="477"/>
      <c r="I49" s="478"/>
      <c r="J49" s="479"/>
      <c r="K49" s="184"/>
    </row>
    <row r="50" ht="14.25" customHeight="1" outlineLevel="1">
      <c r="A50" s="385">
        <v>39</v>
      </c>
      <c r="B50" s="519"/>
      <c r="C50" s="251"/>
      <c r="D50" s="251"/>
      <c r="E50" s="532"/>
      <c r="F50" s="251"/>
      <c r="G50" s="476"/>
      <c r="H50" s="477"/>
      <c r="I50" s="478"/>
      <c r="J50" s="479"/>
      <c r="K50" s="184"/>
    </row>
    <row r="51" ht="14.25" customHeight="1" outlineLevel="1">
      <c r="A51" s="385">
        <v>40</v>
      </c>
      <c r="B51" s="519"/>
      <c r="C51" s="251"/>
      <c r="D51" s="330"/>
      <c r="E51" s="533"/>
      <c r="F51" s="330"/>
      <c r="G51" s="476"/>
      <c r="H51" s="477"/>
      <c r="I51" s="478"/>
      <c r="J51" s="479"/>
      <c r="K51" s="184"/>
    </row>
    <row r="52" ht="14.25" customHeight="1" outlineLevel="1">
      <c r="A52" s="385">
        <v>41</v>
      </c>
      <c r="B52" s="534"/>
      <c r="C52" s="535"/>
      <c r="D52" s="536"/>
      <c r="E52" s="537"/>
      <c r="F52" s="538"/>
      <c r="G52" s="476"/>
      <c r="H52" s="539"/>
      <c r="I52" s="540"/>
      <c r="J52" s="479"/>
      <c r="K52" s="184"/>
    </row>
    <row r="53" ht="14.25" customHeight="1" outlineLevel="1">
      <c r="A53" s="385">
        <v>42</v>
      </c>
      <c r="B53" s="519"/>
      <c r="C53" s="526"/>
      <c r="D53" s="334"/>
      <c r="E53" s="527"/>
      <c r="F53" s="528"/>
      <c r="G53" s="476"/>
      <c r="H53" s="539"/>
      <c r="I53" s="540"/>
      <c r="J53" s="479"/>
      <c r="K53" s="184"/>
    </row>
    <row r="54" ht="14.25" customHeight="1" outlineLevel="1">
      <c r="A54" s="385">
        <v>43</v>
      </c>
      <c r="B54" s="541"/>
      <c r="C54" s="526"/>
      <c r="D54" s="334"/>
      <c r="E54" s="527"/>
      <c r="F54" s="528"/>
      <c r="G54" s="476"/>
      <c r="H54" s="539"/>
      <c r="I54" s="540"/>
      <c r="J54" s="479"/>
      <c r="K54" s="184"/>
    </row>
    <row r="55" ht="14.25" customHeight="1" outlineLevel="1">
      <c r="A55" s="385">
        <v>44</v>
      </c>
      <c r="B55" s="542"/>
      <c r="C55" s="543"/>
      <c r="D55" s="536"/>
      <c r="E55" s="544"/>
      <c r="F55" s="545"/>
      <c r="G55" s="546"/>
      <c r="H55" s="536"/>
      <c r="I55" s="547"/>
      <c r="J55" s="548"/>
      <c r="K55" s="549"/>
    </row>
    <row r="56" ht="14.25" customHeight="1" outlineLevel="1">
      <c r="A56" s="385">
        <v>45</v>
      </c>
      <c r="B56" s="519"/>
      <c r="C56" s="526"/>
      <c r="D56" s="334"/>
      <c r="E56" s="268"/>
      <c r="F56" s="550"/>
      <c r="G56" s="546"/>
      <c r="H56" s="540"/>
      <c r="I56" s="540"/>
      <c r="J56" s="479"/>
      <c r="K56" s="184"/>
    </row>
    <row r="57" ht="14.25" customHeight="1" outlineLevel="1">
      <c r="A57" s="385">
        <v>46</v>
      </c>
      <c r="B57" s="519"/>
      <c r="C57" s="526"/>
      <c r="D57" s="334"/>
      <c r="E57" s="268"/>
      <c r="F57" s="550"/>
      <c r="G57" s="546"/>
      <c r="H57" s="540"/>
      <c r="I57" s="540"/>
      <c r="J57" s="479"/>
      <c r="K57" s="184"/>
    </row>
    <row r="58" ht="14.25" customHeight="1" outlineLevel="1">
      <c r="A58" s="385">
        <v>47</v>
      </c>
      <c r="B58" s="551"/>
      <c r="C58" s="39"/>
      <c r="D58" s="39"/>
      <c r="E58" s="40"/>
      <c r="F58" s="41"/>
      <c r="G58" s="551"/>
      <c r="H58" s="42"/>
      <c r="I58" s="42"/>
      <c r="J58" s="43"/>
      <c r="K58" s="44"/>
    </row>
    <row r="59" ht="14.25" customHeight="1" outlineLevel="1">
      <c r="A59" s="385">
        <v>48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hidden="1" customHeight="1" outlineLevel="1">
      <c r="A60" s="385">
        <v>49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hidden="1" customHeight="1" outlineLevel="1">
      <c r="A61" s="385">
        <v>50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hidden="1" customHeight="1" outlineLevel="1">
      <c r="A62" s="385">
        <v>51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hidden="1" customHeight="1" outlineLevel="1">
      <c r="A63" s="385">
        <v>52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hidden="1" customHeight="1" outlineLevel="1">
      <c r="A64" s="385">
        <v>53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hidden="1" customHeight="1" outlineLevel="1">
      <c r="A65" s="385">
        <v>54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hidden="1" customHeight="1" outlineLevel="1">
      <c r="A66" s="385">
        <v>55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hidden="1" customHeight="1" outlineLevel="1">
      <c r="A67" s="385">
        <v>56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hidden="1" customHeight="1" outlineLevel="1">
      <c r="A68" s="385">
        <v>57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hidden="1" customHeight="1" outlineLevel="1">
      <c r="A69" s="385">
        <v>58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hidden="1" customHeight="1" outlineLevel="1">
      <c r="A70" s="385">
        <v>59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hidden="1" customHeight="1" outlineLevel="1">
      <c r="A71" s="385">
        <v>60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hidden="1" customHeight="1" outlineLevel="1">
      <c r="A72" s="385">
        <v>61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hidden="1" customHeight="1" outlineLevel="1">
      <c r="A73" s="385">
        <v>62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hidden="1" customHeight="1" outlineLevel="1">
      <c r="A74" s="385">
        <v>63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hidden="1" customHeight="1" outlineLevel="1">
      <c r="A75" s="385">
        <v>64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hidden="1" customHeight="1" outlineLevel="1">
      <c r="A76" s="385">
        <v>65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hidden="1" customHeight="1" outlineLevel="1">
      <c r="A77" s="385">
        <v>66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hidden="1" customHeight="1" outlineLevel="1">
      <c r="A78" s="385">
        <v>67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hidden="1" customHeight="1" outlineLevel="1">
      <c r="A79" s="385">
        <v>68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hidden="1" customHeight="1" outlineLevel="1">
      <c r="A80" s="385">
        <v>69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hidden="1" customHeight="1" outlineLevel="1">
      <c r="A81" s="385">
        <v>70</v>
      </c>
      <c r="B81" s="39"/>
      <c r="C81" s="39"/>
      <c r="D81" s="39"/>
      <c r="E81" s="40"/>
      <c r="F81" s="41"/>
      <c r="G81" s="39"/>
      <c r="H81" s="42"/>
      <c r="I81" s="42"/>
      <c r="J81" s="43"/>
      <c r="K81" s="44"/>
    </row>
    <row r="82" ht="14.25" hidden="1" customHeight="1" outlineLevel="1">
      <c r="A82" s="385">
        <v>71</v>
      </c>
      <c r="B82" s="39"/>
      <c r="C82" s="39"/>
      <c r="D82" s="39"/>
      <c r="E82" s="40"/>
      <c r="F82" s="41"/>
      <c r="G82" s="39"/>
      <c r="H82" s="42"/>
      <c r="I82" s="42"/>
      <c r="J82" s="43"/>
      <c r="K82" s="44"/>
    </row>
    <row r="83" ht="14.25" hidden="1" customHeight="1" outlineLevel="1">
      <c r="A83" s="385">
        <v>72</v>
      </c>
      <c r="B83" s="39"/>
      <c r="C83" s="39"/>
      <c r="D83" s="39"/>
      <c r="E83" s="40"/>
      <c r="F83" s="41"/>
      <c r="G83" s="41"/>
      <c r="H83" s="39"/>
      <c r="I83" s="43"/>
      <c r="J83" s="43"/>
      <c r="K83" s="44"/>
    </row>
    <row r="84" ht="14.25" hidden="1" customHeight="1" outlineLevel="1">
      <c r="A84" s="385">
        <v>73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hidden="1" customHeight="1" outlineLevel="1">
      <c r="A85" s="385">
        <v>74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hidden="1" customHeight="1" outlineLevel="1">
      <c r="A86" s="385">
        <v>75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hidden="1" customHeight="1" outlineLevel="1">
      <c r="A87" s="385">
        <v>76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hidden="1" customHeight="1" outlineLevel="1">
      <c r="A88" s="385">
        <v>77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hidden="1" customHeight="1" outlineLevel="1">
      <c r="A89" s="385">
        <v>78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hidden="1" customHeight="1" outlineLevel="1">
      <c r="A90" s="385">
        <v>79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hidden="1" customHeight="1" outlineLevel="1">
      <c r="A91" s="385">
        <v>80</v>
      </c>
      <c r="B91" s="39"/>
      <c r="C91" s="39"/>
      <c r="D91" s="39"/>
      <c r="E91" s="40"/>
      <c r="F91" s="41"/>
      <c r="G91" s="39"/>
      <c r="H91" s="39"/>
      <c r="I91" s="39"/>
      <c r="J91" s="43"/>
      <c r="K91" s="44"/>
    </row>
    <row r="92" ht="14.25" hidden="1" customHeight="1" outlineLevel="1">
      <c r="A92" s="385">
        <v>81</v>
      </c>
      <c r="B92" s="39"/>
      <c r="C92" s="39"/>
      <c r="D92" s="39"/>
      <c r="E92" s="40"/>
      <c r="F92" s="41"/>
      <c r="G92" s="39"/>
      <c r="H92" s="39"/>
      <c r="I92" s="39"/>
      <c r="J92" s="43"/>
      <c r="K92" s="44"/>
    </row>
    <row r="93" ht="14.25" hidden="1" customHeight="1" outlineLevel="1">
      <c r="A93" s="385">
        <v>82</v>
      </c>
      <c r="B93" s="39"/>
      <c r="C93" s="39"/>
      <c r="D93" s="41"/>
      <c r="E93" s="40"/>
      <c r="F93" s="41"/>
      <c r="G93" s="39"/>
      <c r="H93" s="39"/>
      <c r="I93" s="39"/>
      <c r="J93" s="43"/>
      <c r="K93" s="44"/>
    </row>
    <row r="94" ht="14.25" hidden="1" customHeight="1" outlineLevel="1">
      <c r="A94" s="385">
        <v>83</v>
      </c>
      <c r="B94" s="39"/>
      <c r="C94" s="39"/>
      <c r="D94" s="39"/>
      <c r="E94" s="40"/>
      <c r="F94" s="41"/>
      <c r="G94" s="41"/>
      <c r="H94" s="39"/>
      <c r="I94" s="39"/>
      <c r="J94" s="43"/>
      <c r="K94" s="44"/>
    </row>
    <row r="95" ht="14.25" hidden="1" customHeight="1" outlineLevel="1">
      <c r="A95" s="385">
        <v>84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hidden="1" customHeight="1" outlineLevel="1">
      <c r="A96" s="385">
        <v>85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hidden="1" customHeight="1" outlineLevel="1">
      <c r="A97" s="385">
        <v>86</v>
      </c>
      <c r="B97" s="39"/>
      <c r="C97" s="39"/>
      <c r="D97" s="39"/>
      <c r="E97" s="40"/>
      <c r="F97" s="41"/>
      <c r="G97" s="39"/>
      <c r="H97" s="39"/>
      <c r="I97" s="39"/>
      <c r="J97" s="43"/>
      <c r="K97" s="44"/>
    </row>
    <row r="98" ht="14.25" hidden="1" customHeight="1" outlineLevel="1">
      <c r="A98" s="385">
        <v>87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hidden="1" customHeight="1" outlineLevel="1">
      <c r="A99" s="385">
        <v>88</v>
      </c>
      <c r="B99" s="39"/>
      <c r="C99" s="39"/>
      <c r="D99" s="39"/>
      <c r="E99" s="45"/>
      <c r="F99" s="41"/>
      <c r="G99" s="39"/>
      <c r="H99" s="39"/>
      <c r="I99" s="39"/>
      <c r="J99" s="43"/>
      <c r="K99" s="44"/>
    </row>
    <row r="100" ht="14.25" hidden="1" customHeight="1" outlineLevel="1">
      <c r="A100" s="385">
        <v>89</v>
      </c>
      <c r="B100" s="39"/>
      <c r="C100" s="39"/>
      <c r="D100" s="39"/>
      <c r="E100" s="40"/>
      <c r="F100" s="41"/>
      <c r="G100" s="39"/>
      <c r="H100" s="39"/>
      <c r="I100" s="39"/>
      <c r="J100" s="43"/>
      <c r="K100" s="44"/>
    </row>
    <row r="101" ht="14.25" hidden="1" customHeight="1" outlineLevel="1">
      <c r="A101" s="385">
        <v>90</v>
      </c>
      <c r="B101" s="39"/>
      <c r="C101" s="39"/>
      <c r="D101" s="39"/>
      <c r="E101" s="40"/>
      <c r="F101" s="41"/>
      <c r="G101" s="39"/>
      <c r="H101" s="39"/>
      <c r="I101" s="39"/>
      <c r="J101" s="43"/>
      <c r="K101" s="44"/>
    </row>
    <row r="102" ht="14.25" hidden="1" customHeight="1" outlineLevel="1">
      <c r="A102" s="385">
        <v>91</v>
      </c>
      <c r="B102" s="39"/>
      <c r="C102" s="39"/>
      <c r="D102" s="39"/>
      <c r="E102" s="40"/>
      <c r="F102" s="39"/>
      <c r="G102" s="39"/>
      <c r="H102" s="39"/>
      <c r="I102" s="39"/>
      <c r="J102" s="43"/>
      <c r="K102" s="44"/>
    </row>
    <row r="103" ht="14.25" hidden="1" customHeight="1" outlineLevel="1">
      <c r="A103" s="385">
        <v>92</v>
      </c>
      <c r="B103" s="46"/>
      <c r="C103" s="46"/>
      <c r="D103" s="46"/>
      <c r="E103" s="47"/>
      <c r="F103" s="48"/>
      <c r="G103" s="46"/>
      <c r="H103" s="46"/>
      <c r="I103" s="39"/>
      <c r="J103" s="43"/>
      <c r="K103" s="44"/>
    </row>
    <row r="104" ht="14.25" hidden="1" customHeight="1" outlineLevel="1">
      <c r="A104" s="385">
        <v>93</v>
      </c>
      <c r="B104" s="39"/>
      <c r="C104" s="39"/>
      <c r="D104" s="41"/>
      <c r="E104" s="40"/>
      <c r="F104" s="41"/>
      <c r="G104" s="39"/>
      <c r="H104" s="39"/>
      <c r="I104" s="39"/>
      <c r="J104" s="43"/>
      <c r="K104" s="44"/>
    </row>
    <row r="105" ht="14.25" hidden="1" customHeight="1" outlineLevel="1">
      <c r="A105" s="385">
        <v>94</v>
      </c>
      <c r="B105" s="39"/>
      <c r="C105" s="39"/>
      <c r="D105" s="41"/>
      <c r="E105" s="40"/>
      <c r="F105" s="41"/>
      <c r="G105" s="39"/>
      <c r="H105" s="39"/>
      <c r="I105" s="39"/>
      <c r="J105" s="43"/>
      <c r="K105" s="44"/>
    </row>
    <row r="106" ht="14.25" hidden="1" customHeight="1" outlineLevel="1">
      <c r="A106" s="385">
        <v>95</v>
      </c>
      <c r="B106" s="39"/>
      <c r="C106" s="39"/>
      <c r="D106" s="39"/>
      <c r="E106" s="45"/>
      <c r="F106" s="41"/>
      <c r="G106" s="39"/>
      <c r="H106" s="39"/>
      <c r="I106" s="39"/>
      <c r="J106" s="43"/>
      <c r="K106" s="44"/>
    </row>
    <row r="107" ht="14.25" hidden="1" customHeight="1" outlineLevel="1">
      <c r="A107" s="385">
        <v>96</v>
      </c>
      <c r="B107" s="49"/>
      <c r="C107" s="49"/>
      <c r="D107" s="49"/>
      <c r="E107" s="45"/>
      <c r="F107" s="50"/>
      <c r="G107" s="49"/>
      <c r="H107" s="49"/>
      <c r="I107" s="49"/>
      <c r="J107" s="43"/>
      <c r="K107" s="44"/>
    </row>
    <row r="108" ht="14.25" hidden="1" customHeight="1" outlineLevel="1">
      <c r="A108" s="385">
        <v>97</v>
      </c>
      <c r="B108" s="39"/>
      <c r="C108" s="39"/>
      <c r="D108" s="39"/>
      <c r="E108" s="45"/>
      <c r="F108" s="41"/>
      <c r="G108" s="51"/>
      <c r="H108" s="51"/>
      <c r="I108" s="52"/>
      <c r="J108" s="43"/>
      <c r="K108" s="44"/>
    </row>
    <row r="109" ht="14.25" hidden="1" customHeight="1" outlineLevel="1">
      <c r="A109" s="385">
        <v>98</v>
      </c>
      <c r="B109" s="39"/>
      <c r="C109" s="39"/>
      <c r="D109" s="39"/>
      <c r="E109" s="45"/>
      <c r="F109" s="41"/>
      <c r="G109" s="41"/>
      <c r="H109" s="39"/>
      <c r="I109" s="39"/>
      <c r="J109" s="43"/>
      <c r="K109" s="44"/>
    </row>
    <row r="110" ht="14.25" hidden="1" customHeight="1" outlineLevel="1">
      <c r="A110" s="385">
        <v>99</v>
      </c>
      <c r="B110" s="39"/>
      <c r="C110" s="39"/>
      <c r="D110" s="39"/>
      <c r="E110" s="45"/>
      <c r="F110" s="41"/>
      <c r="G110" s="41"/>
      <c r="H110" s="39"/>
      <c r="I110" s="39"/>
      <c r="J110" s="43"/>
      <c r="K110" s="44"/>
    </row>
    <row r="111" ht="14.25" hidden="1" customHeight="1" outlineLevel="1">
      <c r="A111" s="385">
        <v>100</v>
      </c>
      <c r="B111" s="53"/>
      <c r="C111" s="53"/>
      <c r="D111" s="53"/>
      <c r="E111" s="54"/>
      <c r="F111" s="55"/>
      <c r="G111" s="53"/>
      <c r="H111" s="53"/>
      <c r="I111" s="42"/>
      <c r="J111" s="43"/>
      <c r="K111" s="44"/>
    </row>
    <row r="112" ht="14.25" hidden="1" customHeight="1" outlineLevel="1">
      <c r="A112" s="385">
        <v>101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hidden="1" customHeight="1" outlineLevel="1">
      <c r="A113" s="385">
        <v>102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hidden="1" customHeight="1" outlineLevel="1">
      <c r="A114" s="385">
        <v>103</v>
      </c>
      <c r="B114" s="56"/>
      <c r="C114" s="56"/>
      <c r="D114" s="56"/>
      <c r="E114" s="54"/>
      <c r="F114" s="55"/>
      <c r="G114" s="53"/>
      <c r="H114" s="53"/>
      <c r="I114" s="42"/>
      <c r="J114" s="57"/>
      <c r="K114" s="58"/>
    </row>
    <row r="115" ht="14.25" hidden="1" customHeight="1" outlineLevel="1">
      <c r="A115" s="385">
        <v>104</v>
      </c>
      <c r="B115" s="56"/>
      <c r="C115" s="56"/>
      <c r="D115" s="56"/>
      <c r="E115" s="54"/>
      <c r="F115" s="55"/>
      <c r="G115" s="53"/>
      <c r="H115" s="53"/>
      <c r="I115" s="42"/>
      <c r="J115" s="57"/>
      <c r="K115" s="58"/>
    </row>
    <row r="116" ht="14.25" hidden="1" customHeight="1" outlineLevel="1">
      <c r="A116" s="385">
        <v>105</v>
      </c>
      <c r="B116" s="59"/>
      <c r="C116" s="59"/>
      <c r="D116" s="59"/>
      <c r="E116" s="60"/>
      <c r="F116" s="61"/>
      <c r="G116" s="59"/>
      <c r="H116" s="59"/>
      <c r="I116" s="59"/>
      <c r="J116" s="57"/>
      <c r="K116" s="58"/>
    </row>
    <row r="117" ht="14.25" hidden="1" customHeight="1" outlineLevel="1">
      <c r="A117" s="385">
        <v>106</v>
      </c>
      <c r="B117" s="59"/>
      <c r="C117" s="59"/>
      <c r="D117" s="59"/>
      <c r="E117" s="60"/>
      <c r="F117" s="61"/>
      <c r="G117" s="59"/>
      <c r="H117" s="59"/>
      <c r="I117" s="59"/>
      <c r="J117" s="57"/>
      <c r="K117" s="58"/>
    </row>
    <row r="118" ht="14.25" hidden="1" customHeight="1" outlineLevel="1">
      <c r="A118" s="385">
        <v>107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hidden="1" customHeight="1" outlineLevel="1">
      <c r="A119" s="385">
        <v>108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hidden="1" customHeight="1" outlineLevel="1">
      <c r="A120" s="385">
        <v>109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ht="14.25" hidden="1" customHeight="1" outlineLevel="1">
      <c r="A121" s="385">
        <v>110</v>
      </c>
      <c r="B121" s="59"/>
      <c r="C121" s="59"/>
      <c r="D121" s="59"/>
      <c r="E121" s="60"/>
      <c r="F121" s="61"/>
      <c r="G121" s="61"/>
      <c r="H121" s="59"/>
      <c r="I121" s="59"/>
      <c r="J121" s="57"/>
      <c r="K121" s="58"/>
    </row>
    <row r="122" ht="14.25" hidden="1" customHeight="1" outlineLevel="1">
      <c r="A122" s="385">
        <v>111</v>
      </c>
      <c r="B122" s="59"/>
      <c r="C122" s="59"/>
      <c r="D122" s="59"/>
      <c r="E122" s="60"/>
      <c r="F122" s="61"/>
      <c r="G122" s="61"/>
      <c r="H122" s="59"/>
      <c r="I122" s="59"/>
      <c r="J122" s="57"/>
      <c r="K122" s="58"/>
    </row>
    <row r="123" s="21" customFormat="1" ht="18.75" customHeight="1" outlineLevel="1">
      <c r="A123" s="22"/>
      <c r="B123" s="172" t="s">
        <v>18</v>
      </c>
      <c r="C123" s="173"/>
      <c r="D123" s="174"/>
      <c r="E123" s="175"/>
      <c r="F123" s="172"/>
      <c r="G123" s="172"/>
      <c r="H123" s="172"/>
      <c r="I123" s="23"/>
      <c r="J123" s="172"/>
      <c r="K123" s="247"/>
    </row>
    <row r="124" ht="14.25" customHeight="1" outlineLevel="1">
      <c r="A124" s="248">
        <v>1</v>
      </c>
      <c r="B124" s="249" t="s">
        <v>199</v>
      </c>
      <c r="C124" s="249" t="s">
        <v>200</v>
      </c>
      <c r="D124" s="249" t="s">
        <v>201</v>
      </c>
      <c r="E124" s="250" t="s">
        <v>202</v>
      </c>
      <c r="F124" s="330" t="s">
        <v>203</v>
      </c>
      <c r="G124" s="182" t="s">
        <v>62</v>
      </c>
      <c r="H124" s="252"/>
      <c r="I124" s="59"/>
      <c r="J124" s="57"/>
      <c r="K124" s="58"/>
    </row>
    <row r="125" ht="14.25" customHeight="1" outlineLevel="1">
      <c r="A125" s="256">
        <v>2</v>
      </c>
      <c r="B125" s="253" t="s">
        <v>204</v>
      </c>
      <c r="C125" s="253" t="s">
        <v>205</v>
      </c>
      <c r="D125" s="253" t="s">
        <v>206</v>
      </c>
      <c r="E125" s="552" t="s">
        <v>207</v>
      </c>
      <c r="F125" s="255" t="s">
        <v>208</v>
      </c>
      <c r="G125" s="182" t="s">
        <v>62</v>
      </c>
      <c r="H125" s="245"/>
      <c r="I125" s="59"/>
      <c r="J125" s="57"/>
      <c r="K125" s="58"/>
    </row>
    <row r="126" ht="14.25" customHeight="1" outlineLevel="1">
      <c r="A126" s="68">
        <v>3</v>
      </c>
      <c r="B126" s="553" t="s">
        <v>406</v>
      </c>
      <c r="C126" s="553" t="s">
        <v>407</v>
      </c>
      <c r="D126" s="553" t="s">
        <v>408</v>
      </c>
      <c r="E126" s="254" t="s">
        <v>409</v>
      </c>
      <c r="F126" s="554" t="s">
        <v>410</v>
      </c>
      <c r="G126" s="476"/>
      <c r="H126" s="539"/>
      <c r="I126" s="540"/>
      <c r="J126" s="479"/>
      <c r="K126" s="184"/>
    </row>
    <row r="127" ht="14.25" customHeight="1" outlineLevel="1">
      <c r="A127" s="256">
        <v>4</v>
      </c>
      <c r="B127" s="555" t="s">
        <v>406</v>
      </c>
      <c r="C127" s="555" t="s">
        <v>411</v>
      </c>
      <c r="D127" s="556" t="s">
        <v>412</v>
      </c>
      <c r="E127" s="557" t="s">
        <v>413</v>
      </c>
      <c r="F127" s="558" t="s">
        <v>410</v>
      </c>
      <c r="G127" s="476"/>
      <c r="H127" s="539"/>
      <c r="I127" s="540"/>
      <c r="J127" s="479"/>
      <c r="K127" s="184"/>
    </row>
    <row r="128" ht="14.25" customHeight="1" outlineLevel="1">
      <c r="A128" s="68">
        <v>5</v>
      </c>
      <c r="B128" s="559"/>
      <c r="C128" s="559"/>
      <c r="D128" s="559"/>
      <c r="E128" s="560"/>
      <c r="F128" s="561"/>
      <c r="G128" s="476"/>
      <c r="H128" s="539"/>
      <c r="I128" s="540"/>
      <c r="J128" s="479"/>
      <c r="K128" s="184"/>
    </row>
    <row r="129" ht="14.25" customHeight="1" outlineLevel="1">
      <c r="A129" s="68">
        <v>6</v>
      </c>
      <c r="B129" s="559"/>
      <c r="C129" s="559"/>
      <c r="D129" s="559"/>
      <c r="E129" s="560"/>
      <c r="F129" s="562"/>
      <c r="G129" s="476"/>
      <c r="H129" s="539"/>
      <c r="I129" s="540"/>
      <c r="J129" s="479"/>
      <c r="K129" s="184"/>
    </row>
    <row r="130" ht="14.25" customHeight="1" outlineLevel="1">
      <c r="A130" s="68">
        <v>7</v>
      </c>
      <c r="B130" s="59"/>
      <c r="C130" s="59"/>
      <c r="D130" s="59"/>
      <c r="E130" s="60"/>
      <c r="F130" s="61"/>
      <c r="G130" s="99"/>
      <c r="H130" s="59"/>
      <c r="I130" s="59"/>
      <c r="J130" s="57"/>
      <c r="K130" s="58"/>
    </row>
    <row r="131" ht="14.25" customHeight="1" outlineLevel="1">
      <c r="A131" s="68">
        <v>8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9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10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11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12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13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14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15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16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17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8">
        <v>18</v>
      </c>
      <c r="B141" s="59"/>
      <c r="C141" s="59"/>
      <c r="D141" s="59"/>
      <c r="E141" s="60"/>
      <c r="F141" s="61"/>
      <c r="G141" s="59"/>
      <c r="H141" s="59"/>
      <c r="I141" s="59"/>
      <c r="J141" s="57"/>
      <c r="K141" s="58"/>
    </row>
    <row r="142" ht="14.25" customHeight="1" outlineLevel="1">
      <c r="A142" s="68">
        <v>19</v>
      </c>
      <c r="B142" s="59"/>
      <c r="C142" s="59"/>
      <c r="D142" s="59"/>
      <c r="E142" s="60"/>
      <c r="F142" s="61"/>
      <c r="G142" s="59"/>
      <c r="H142" s="59"/>
      <c r="I142" s="59"/>
      <c r="J142" s="57"/>
      <c r="K142" s="58"/>
    </row>
    <row r="143" ht="14.25" customHeight="1" outlineLevel="1">
      <c r="A143" s="69">
        <v>20</v>
      </c>
      <c r="B143" s="70"/>
      <c r="C143" s="70"/>
      <c r="D143" s="70"/>
      <c r="E143" s="71"/>
      <c r="F143" s="72"/>
      <c r="G143" s="70"/>
      <c r="H143" s="70"/>
      <c r="I143" s="70"/>
      <c r="J143" s="73"/>
      <c r="K143" s="74"/>
    </row>
    <row r="144" s="21" customFormat="1" ht="18.75" customHeight="1" outlineLevel="1">
      <c r="A144" s="22"/>
      <c r="B144" s="23" t="s">
        <v>19</v>
      </c>
      <c r="C144" s="24"/>
      <c r="D144" s="25"/>
      <c r="E144" s="26"/>
      <c r="F144" s="23"/>
      <c r="G144" s="23"/>
      <c r="H144" s="23"/>
      <c r="I144" s="23"/>
      <c r="J144" s="23"/>
      <c r="K144" s="27"/>
    </row>
    <row r="145" ht="14.25" customHeight="1" outlineLevel="1">
      <c r="A145" s="248">
        <v>1</v>
      </c>
      <c r="B145" s="563" t="s">
        <v>222</v>
      </c>
      <c r="C145" s="564" t="s">
        <v>414</v>
      </c>
      <c r="D145" s="563" t="s">
        <v>415</v>
      </c>
      <c r="E145" s="565">
        <v>60631.739999999998</v>
      </c>
      <c r="F145" s="566" t="s">
        <v>416</v>
      </c>
      <c r="G145" s="567"/>
      <c r="H145" s="63"/>
      <c r="I145" s="63"/>
      <c r="J145" s="66" t="s">
        <v>47</v>
      </c>
      <c r="K145" s="67"/>
    </row>
    <row r="146" ht="14.25" customHeight="1" outlineLevel="1">
      <c r="A146" s="256">
        <v>2</v>
      </c>
      <c r="B146" s="279" t="s">
        <v>222</v>
      </c>
      <c r="C146" s="270" t="s">
        <v>417</v>
      </c>
      <c r="D146" s="270" t="s">
        <v>397</v>
      </c>
      <c r="E146" s="568">
        <v>94862.710000000006</v>
      </c>
      <c r="F146" s="566" t="s">
        <v>416</v>
      </c>
      <c r="G146" s="245"/>
      <c r="H146" s="59"/>
      <c r="I146" s="59"/>
      <c r="J146" s="57" t="s">
        <v>47</v>
      </c>
      <c r="K146" s="58"/>
    </row>
    <row r="147" ht="14.25" customHeight="1" outlineLevel="1">
      <c r="A147" s="256">
        <v>3</v>
      </c>
      <c r="B147" s="279" t="s">
        <v>222</v>
      </c>
      <c r="C147" s="453" t="s">
        <v>399</v>
      </c>
      <c r="D147" s="270" t="s">
        <v>397</v>
      </c>
      <c r="E147" s="569">
        <v>436329.57000000001</v>
      </c>
      <c r="F147" s="566" t="s">
        <v>416</v>
      </c>
      <c r="G147" s="245"/>
      <c r="H147" s="59"/>
      <c r="I147" s="59"/>
      <c r="J147" s="57" t="s">
        <v>47</v>
      </c>
      <c r="K147" s="58"/>
    </row>
    <row r="148" ht="14.25" customHeight="1" outlineLevel="1">
      <c r="A148" s="256">
        <v>4</v>
      </c>
      <c r="B148" s="279" t="s">
        <v>222</v>
      </c>
      <c r="C148" s="270" t="s">
        <v>417</v>
      </c>
      <c r="D148" s="270" t="s">
        <v>397</v>
      </c>
      <c r="E148" s="570">
        <v>53918.050000000003</v>
      </c>
      <c r="F148" s="563" t="s">
        <v>416</v>
      </c>
      <c r="G148" s="245"/>
      <c r="H148" s="59"/>
      <c r="I148" s="59"/>
      <c r="J148" s="57" t="s">
        <v>47</v>
      </c>
      <c r="K148" s="58"/>
    </row>
    <row r="149" ht="26.25" customHeight="1" outlineLevel="1">
      <c r="A149" s="571">
        <v>5</v>
      </c>
      <c r="B149" s="366" t="s">
        <v>222</v>
      </c>
      <c r="C149" s="366" t="s">
        <v>418</v>
      </c>
      <c r="D149" s="366" t="s">
        <v>419</v>
      </c>
      <c r="E149" s="569">
        <v>10200</v>
      </c>
      <c r="F149" s="366" t="s">
        <v>420</v>
      </c>
      <c r="G149" s="244"/>
      <c r="H149" s="56"/>
      <c r="I149" s="56"/>
      <c r="J149" s="80" t="s">
        <v>47</v>
      </c>
      <c r="K149" s="81"/>
    </row>
    <row r="150" ht="14.25" customHeight="1" outlineLevel="1">
      <c r="A150" s="256">
        <v>6</v>
      </c>
      <c r="B150" s="572" t="s">
        <v>153</v>
      </c>
      <c r="C150" s="276" t="s">
        <v>223</v>
      </c>
      <c r="D150" s="573" t="s">
        <v>227</v>
      </c>
      <c r="E150" s="574" t="s">
        <v>242</v>
      </c>
      <c r="F150" s="572" t="s">
        <v>228</v>
      </c>
      <c r="G150" s="575"/>
      <c r="H150" s="575"/>
      <c r="I150" s="575" t="s">
        <v>231</v>
      </c>
      <c r="J150" s="576"/>
      <c r="K150" s="577" t="s">
        <v>230</v>
      </c>
    </row>
    <row r="151" ht="14.25" customHeight="1" outlineLevel="1">
      <c r="A151" s="571">
        <v>7</v>
      </c>
      <c r="B151" s="76" t="s">
        <v>153</v>
      </c>
      <c r="C151" s="300" t="s">
        <v>243</v>
      </c>
      <c r="D151" s="61" t="s">
        <v>244</v>
      </c>
      <c r="E151" s="301" t="s">
        <v>245</v>
      </c>
      <c r="F151" s="61" t="s">
        <v>246</v>
      </c>
      <c r="G151" s="578"/>
      <c r="H151" s="579" t="s">
        <v>141</v>
      </c>
      <c r="I151" s="579"/>
      <c r="J151" s="580"/>
      <c r="K151" s="581"/>
    </row>
    <row r="152" ht="14.25" customHeight="1" outlineLevel="1">
      <c r="A152" s="256">
        <v>8</v>
      </c>
      <c r="B152" s="281" t="s">
        <v>153</v>
      </c>
      <c r="C152" s="286" t="s">
        <v>233</v>
      </c>
      <c r="D152" s="496" t="s">
        <v>247</v>
      </c>
      <c r="E152" s="301" t="s">
        <v>248</v>
      </c>
      <c r="F152" s="61" t="s">
        <v>249</v>
      </c>
      <c r="G152" s="244"/>
      <c r="H152" s="56" t="s">
        <v>141</v>
      </c>
      <c r="I152" s="56"/>
      <c r="J152" s="80"/>
      <c r="K152" s="81"/>
    </row>
    <row r="153" ht="14.25" customHeight="1" outlineLevel="1">
      <c r="A153" s="571"/>
      <c r="B153" s="76" t="s">
        <v>153</v>
      </c>
      <c r="C153" s="300" t="s">
        <v>243</v>
      </c>
      <c r="D153" s="582" t="s">
        <v>421</v>
      </c>
      <c r="E153" s="583" t="s">
        <v>422</v>
      </c>
      <c r="F153" s="584" t="s">
        <v>423</v>
      </c>
      <c r="G153" s="244"/>
      <c r="H153" s="56" t="s">
        <v>141</v>
      </c>
      <c r="I153" s="56"/>
      <c r="J153" s="80"/>
      <c r="K153" s="81"/>
    </row>
    <row r="154" s="21" customFormat="1" ht="18.75" customHeight="1" outlineLevel="1">
      <c r="A154" s="22"/>
      <c r="B154" s="465" t="s">
        <v>20</v>
      </c>
      <c r="C154" s="585"/>
      <c r="D154" s="586"/>
      <c r="E154" s="587"/>
      <c r="F154" s="346"/>
      <c r="G154" s="172"/>
      <c r="H154" s="23"/>
      <c r="I154" s="23"/>
      <c r="J154" s="23"/>
      <c r="K154" s="27"/>
    </row>
    <row r="155" ht="14.25" customHeight="1" outlineLevel="1">
      <c r="A155" s="68">
        <v>1</v>
      </c>
      <c r="B155" s="588" t="s">
        <v>45</v>
      </c>
      <c r="C155" s="589" t="s">
        <v>256</v>
      </c>
      <c r="D155" s="589"/>
      <c r="E155" s="443" t="s">
        <v>424</v>
      </c>
      <c r="F155" s="590" t="s">
        <v>257</v>
      </c>
      <c r="G155" s="589"/>
      <c r="H155" s="63"/>
      <c r="I155" s="63"/>
      <c r="J155" s="66"/>
      <c r="K155" s="67"/>
    </row>
    <row r="156" ht="14.25" customHeight="1" outlineLevel="1">
      <c r="A156" s="68">
        <v>2</v>
      </c>
      <c r="B156" s="59"/>
      <c r="C156" s="59"/>
      <c r="D156" s="59"/>
      <c r="E156" s="60"/>
      <c r="F156" s="61"/>
      <c r="G156" s="59"/>
      <c r="H156" s="59"/>
      <c r="I156" s="59"/>
      <c r="J156" s="57"/>
      <c r="K156" s="58"/>
    </row>
    <row r="157" ht="14.25" customHeight="1" outlineLevel="1">
      <c r="A157" s="68">
        <v>3</v>
      </c>
      <c r="B157" s="56"/>
      <c r="C157" s="56"/>
      <c r="D157" s="56"/>
      <c r="E157" s="78"/>
      <c r="F157" s="79"/>
      <c r="G157" s="56"/>
      <c r="H157" s="56"/>
      <c r="I157" s="56"/>
      <c r="J157" s="80"/>
      <c r="K157" s="81"/>
    </row>
    <row r="158" ht="14.25" customHeight="1" outlineLevel="1">
      <c r="A158" s="68">
        <v>4</v>
      </c>
      <c r="B158" s="56"/>
      <c r="C158" s="56"/>
      <c r="D158" s="56"/>
      <c r="E158" s="78"/>
      <c r="F158" s="79"/>
      <c r="G158" s="56"/>
      <c r="H158" s="56"/>
      <c r="I158" s="56"/>
      <c r="J158" s="80"/>
      <c r="K158" s="81"/>
    </row>
    <row r="159" ht="14.25" customHeight="1" outlineLevel="1">
      <c r="A159" s="68">
        <v>5</v>
      </c>
      <c r="B159" s="56"/>
      <c r="C159" s="56"/>
      <c r="D159" s="56"/>
      <c r="E159" s="78"/>
      <c r="F159" s="79"/>
      <c r="G159" s="56"/>
      <c r="H159" s="56"/>
      <c r="I159" s="56"/>
      <c r="J159" s="80"/>
      <c r="K159" s="81"/>
    </row>
    <row r="160" ht="14.25" customHeight="1" outlineLevel="1">
      <c r="A160" s="68">
        <v>6</v>
      </c>
      <c r="B160" s="70"/>
      <c r="C160" s="70"/>
      <c r="D160" s="70"/>
      <c r="E160" s="71"/>
      <c r="F160" s="72"/>
      <c r="G160" s="70"/>
      <c r="H160" s="70"/>
      <c r="I160" s="70"/>
      <c r="J160" s="73"/>
      <c r="K160" s="74"/>
    </row>
    <row r="161" s="21" customFormat="1" ht="23.25" customHeight="1">
      <c r="A161" s="82" t="s">
        <v>21</v>
      </c>
      <c r="B161" s="83"/>
      <c r="C161" s="83"/>
      <c r="D161" s="84"/>
      <c r="E161" s="85">
        <f>SUM(E12:E160)</f>
        <v>655942.07000000007</v>
      </c>
    </row>
    <row r="162" s="21" customFormat="1" ht="23.25" customHeight="1">
      <c r="A162" s="82" t="s">
        <v>22</v>
      </c>
      <c r="B162" s="83"/>
      <c r="C162" s="83"/>
      <c r="D162" s="84"/>
      <c r="E162" s="85">
        <f>E4-E161</f>
        <v>-98688.410000000149</v>
      </c>
      <c r="F162" s="86"/>
    </row>
    <row r="163" ht="27.75" customHeight="1">
      <c r="E163" s="1"/>
      <c r="F163" s="1"/>
    </row>
    <row r="164" ht="29.25" customHeight="1">
      <c r="A164" s="9" t="s">
        <v>23</v>
      </c>
      <c r="B164" s="10"/>
      <c r="C164" s="10"/>
      <c r="D164" s="11"/>
      <c r="E164" s="12">
        <f>SUM(E165:E166)</f>
        <v>1703530.28</v>
      </c>
      <c r="F164" s="163" t="s">
        <v>44</v>
      </c>
      <c r="G164" s="13"/>
      <c r="H164" s="13"/>
      <c r="I164" s="13"/>
    </row>
    <row r="165" ht="15" customHeight="1">
      <c r="A165" s="14"/>
      <c r="B165" s="15"/>
      <c r="C165" s="15"/>
      <c r="D165" s="16"/>
      <c r="E165" s="17"/>
      <c r="F165" s="13"/>
      <c r="G165" s="13"/>
      <c r="H165" s="13"/>
      <c r="I165" s="13"/>
    </row>
    <row r="166" ht="15" customHeight="1">
      <c r="A166" s="14" t="s">
        <v>24</v>
      </c>
      <c r="B166" s="15"/>
      <c r="C166" s="15"/>
      <c r="D166" s="16"/>
      <c r="E166" s="17">
        <v>1703530.28</v>
      </c>
      <c r="F166" s="13"/>
      <c r="G166" s="13"/>
      <c r="H166" s="13"/>
      <c r="I166" s="13"/>
    </row>
    <row r="167" ht="6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26.25" customHeight="1" outlineLevel="1">
      <c r="A168" s="87" t="s">
        <v>6</v>
      </c>
      <c r="B168" s="87" t="s">
        <v>7</v>
      </c>
      <c r="C168" s="87" t="s">
        <v>8</v>
      </c>
      <c r="D168" s="87" t="s">
        <v>9</v>
      </c>
      <c r="E168" s="88" t="s">
        <v>10</v>
      </c>
      <c r="F168" s="87" t="s">
        <v>11</v>
      </c>
      <c r="G168" s="87" t="s">
        <v>12</v>
      </c>
      <c r="H168" s="89" t="s">
        <v>13</v>
      </c>
      <c r="I168" s="87" t="s">
        <v>14</v>
      </c>
      <c r="J168" s="87" t="s">
        <v>15</v>
      </c>
      <c r="K168" s="87" t="s">
        <v>16</v>
      </c>
    </row>
    <row r="169" s="21" customFormat="1" ht="20.25" customHeight="1" outlineLevel="1">
      <c r="A169" s="22"/>
      <c r="B169" s="23" t="s">
        <v>25</v>
      </c>
      <c r="C169" s="24"/>
      <c r="D169" s="25"/>
      <c r="E169" s="26"/>
      <c r="F169" s="23"/>
      <c r="G169" s="23"/>
      <c r="H169" s="23"/>
      <c r="I169" s="23"/>
      <c r="J169" s="23"/>
      <c r="K169" s="27"/>
    </row>
    <row r="170" ht="14.25" customHeight="1" outlineLevel="1">
      <c r="A170" s="62">
        <v>1</v>
      </c>
      <c r="B170" s="39" t="s">
        <v>259</v>
      </c>
      <c r="C170" s="39" t="s">
        <v>260</v>
      </c>
      <c r="D170" s="39" t="s">
        <v>261</v>
      </c>
      <c r="E170" s="211" t="s">
        <v>262</v>
      </c>
      <c r="F170" s="41" t="s">
        <v>263</v>
      </c>
      <c r="G170" s="39"/>
      <c r="H170" s="42"/>
      <c r="I170" s="59"/>
      <c r="J170" s="66"/>
      <c r="K170" s="67"/>
    </row>
    <row r="171" ht="14.25" customHeight="1" outlineLevel="1">
      <c r="A171" s="68">
        <v>2</v>
      </c>
      <c r="B171" s="39" t="s">
        <v>259</v>
      </c>
      <c r="C171" s="39" t="s">
        <v>260</v>
      </c>
      <c r="D171" s="39" t="s">
        <v>264</v>
      </c>
      <c r="E171" s="211" t="s">
        <v>425</v>
      </c>
      <c r="F171" s="41" t="s">
        <v>266</v>
      </c>
      <c r="G171" s="39"/>
      <c r="H171" s="42"/>
      <c r="I171" s="59"/>
      <c r="J171" s="57"/>
      <c r="K171" s="58"/>
    </row>
    <row r="172" ht="14.25" customHeight="1" outlineLevel="1">
      <c r="A172" s="68">
        <v>3</v>
      </c>
      <c r="B172" s="39" t="s">
        <v>259</v>
      </c>
      <c r="C172" s="39" t="s">
        <v>267</v>
      </c>
      <c r="D172" s="39" t="s">
        <v>268</v>
      </c>
      <c r="E172" s="211" t="s">
        <v>426</v>
      </c>
      <c r="F172" s="41" t="s">
        <v>270</v>
      </c>
      <c r="G172" s="39"/>
      <c r="H172" s="42"/>
      <c r="I172" s="59"/>
      <c r="J172" s="57"/>
      <c r="K172" s="58"/>
    </row>
    <row r="173" ht="14.25" customHeight="1" outlineLevel="1">
      <c r="A173" s="68">
        <v>4</v>
      </c>
      <c r="B173" s="39" t="s">
        <v>259</v>
      </c>
      <c r="C173" s="39" t="s">
        <v>109</v>
      </c>
      <c r="D173" s="39" t="s">
        <v>271</v>
      </c>
      <c r="E173" s="314" t="s">
        <v>272</v>
      </c>
      <c r="F173" s="315" t="s">
        <v>273</v>
      </c>
      <c r="G173" s="177"/>
      <c r="H173" s="42"/>
      <c r="I173" s="59"/>
      <c r="J173" s="57"/>
      <c r="K173" s="58"/>
    </row>
    <row r="174" ht="14.25" customHeight="1" outlineLevel="1">
      <c r="A174" s="68">
        <v>5</v>
      </c>
      <c r="B174" s="185" t="s">
        <v>274</v>
      </c>
      <c r="C174" s="39" t="s">
        <v>275</v>
      </c>
      <c r="D174" s="185" t="s">
        <v>276</v>
      </c>
      <c r="E174" s="314" t="s">
        <v>277</v>
      </c>
      <c r="F174" s="316" t="s">
        <v>278</v>
      </c>
      <c r="G174" s="177"/>
      <c r="H174" s="42"/>
      <c r="I174" s="59"/>
      <c r="J174" s="57"/>
      <c r="K174" s="58"/>
    </row>
    <row r="175" ht="14.25" customHeight="1" outlineLevel="1">
      <c r="A175" s="591">
        <v>6</v>
      </c>
      <c r="B175" s="317" t="s">
        <v>279</v>
      </c>
      <c r="C175" s="318" t="s">
        <v>136</v>
      </c>
      <c r="D175" s="319" t="s">
        <v>280</v>
      </c>
      <c r="E175" s="320" t="s">
        <v>281</v>
      </c>
      <c r="F175" s="319" t="s">
        <v>282</v>
      </c>
      <c r="G175" s="177"/>
      <c r="H175" s="42"/>
      <c r="I175" s="59"/>
      <c r="J175" s="57"/>
      <c r="K175" s="58"/>
    </row>
    <row r="176" ht="14.25" customHeight="1" outlineLevel="1">
      <c r="A176" s="591">
        <v>7</v>
      </c>
      <c r="B176" s="321" t="s">
        <v>283</v>
      </c>
      <c r="C176" s="318" t="s">
        <v>284</v>
      </c>
      <c r="D176" s="322" t="s">
        <v>285</v>
      </c>
      <c r="E176" s="320" t="s">
        <v>286</v>
      </c>
      <c r="F176" s="322" t="s">
        <v>287</v>
      </c>
      <c r="G176" s="177"/>
      <c r="H176" s="42"/>
      <c r="I176" s="59"/>
      <c r="J176" s="57"/>
      <c r="K176" s="58"/>
    </row>
    <row r="177" ht="14.25" customHeight="1" outlineLevel="1">
      <c r="A177" s="68">
        <v>8</v>
      </c>
      <c r="B177" s="185" t="s">
        <v>259</v>
      </c>
      <c r="C177" s="185" t="s">
        <v>288</v>
      </c>
      <c r="D177" s="323" t="s">
        <v>289</v>
      </c>
      <c r="E177" s="324" t="s">
        <v>277</v>
      </c>
      <c r="F177" s="316" t="s">
        <v>290</v>
      </c>
      <c r="G177" s="177"/>
      <c r="H177" s="42"/>
      <c r="I177" s="59"/>
      <c r="J177" s="57"/>
      <c r="K177" s="58"/>
    </row>
    <row r="178" ht="14.25" customHeight="1" outlineLevel="1">
      <c r="A178" s="591">
        <v>9</v>
      </c>
      <c r="B178" s="210" t="s">
        <v>259</v>
      </c>
      <c r="C178" s="210" t="s">
        <v>288</v>
      </c>
      <c r="D178" s="210" t="s">
        <v>291</v>
      </c>
      <c r="E178" s="325" t="s">
        <v>277</v>
      </c>
      <c r="F178" s="228" t="s">
        <v>292</v>
      </c>
      <c r="G178" s="177"/>
      <c r="H178" s="42"/>
      <c r="I178" s="59"/>
      <c r="J178" s="57"/>
      <c r="K178" s="58"/>
    </row>
    <row r="179" ht="14.25" customHeight="1" outlineLevel="1">
      <c r="A179" s="591">
        <v>10</v>
      </c>
      <c r="B179" s="210" t="s">
        <v>259</v>
      </c>
      <c r="C179" s="210" t="s">
        <v>288</v>
      </c>
      <c r="D179" s="228" t="s">
        <v>293</v>
      </c>
      <c r="E179" s="326" t="s">
        <v>277</v>
      </c>
      <c r="F179" s="228" t="s">
        <v>294</v>
      </c>
      <c r="G179" s="177"/>
      <c r="H179" s="42"/>
      <c r="I179" s="59"/>
      <c r="J179" s="57"/>
      <c r="K179" s="58"/>
    </row>
    <row r="180" ht="14.25" customHeight="1" outlineLevel="1">
      <c r="A180" s="591">
        <v>11</v>
      </c>
      <c r="B180" s="210" t="s">
        <v>259</v>
      </c>
      <c r="C180" s="210" t="s">
        <v>288</v>
      </c>
      <c r="D180" s="228" t="s">
        <v>295</v>
      </c>
      <c r="E180" s="326" t="s">
        <v>277</v>
      </c>
      <c r="F180" s="228" t="s">
        <v>296</v>
      </c>
      <c r="G180" s="177"/>
      <c r="H180" s="42"/>
      <c r="I180" s="59"/>
      <c r="J180" s="57"/>
      <c r="K180" s="58"/>
    </row>
    <row r="181" ht="14.25" customHeight="1" outlineLevel="1">
      <c r="A181" s="591">
        <v>12</v>
      </c>
      <c r="B181" s="327" t="s">
        <v>259</v>
      </c>
      <c r="C181" s="210" t="s">
        <v>288</v>
      </c>
      <c r="D181" s="228" t="s">
        <v>297</v>
      </c>
      <c r="E181" s="326" t="s">
        <v>277</v>
      </c>
      <c r="F181" s="228" t="s">
        <v>298</v>
      </c>
      <c r="G181" s="177"/>
      <c r="H181" s="42"/>
      <c r="I181" s="59"/>
      <c r="J181" s="57"/>
      <c r="K181" s="58"/>
    </row>
    <row r="182" ht="14.25" customHeight="1" outlineLevel="1">
      <c r="A182" s="591">
        <v>13</v>
      </c>
      <c r="B182" s="328" t="s">
        <v>259</v>
      </c>
      <c r="C182" s="329" t="s">
        <v>275</v>
      </c>
      <c r="D182" s="330" t="s">
        <v>299</v>
      </c>
      <c r="E182" s="331" t="s">
        <v>277</v>
      </c>
      <c r="F182" s="330" t="s">
        <v>300</v>
      </c>
      <c r="G182" s="177"/>
      <c r="H182" s="42"/>
      <c r="I182" s="59"/>
      <c r="J182" s="57"/>
      <c r="K182" s="58"/>
    </row>
    <row r="183" ht="14.25" customHeight="1" outlineLevel="1">
      <c r="A183" s="68">
        <v>14</v>
      </c>
      <c r="B183" s="39" t="s">
        <v>259</v>
      </c>
      <c r="C183" s="42" t="s">
        <v>275</v>
      </c>
      <c r="D183" s="94" t="s">
        <v>301</v>
      </c>
      <c r="E183" s="332" t="s">
        <v>277</v>
      </c>
      <c r="F183" s="333" t="s">
        <v>302</v>
      </c>
      <c r="G183" s="177"/>
      <c r="H183" s="42"/>
      <c r="I183" s="59"/>
      <c r="J183" s="57"/>
      <c r="K183" s="58"/>
    </row>
    <row r="184" ht="14.25" customHeight="1" outlineLevel="1">
      <c r="A184" s="68">
        <v>15</v>
      </c>
      <c r="B184" s="39" t="s">
        <v>259</v>
      </c>
      <c r="C184" s="39" t="s">
        <v>303</v>
      </c>
      <c r="D184" s="39" t="s">
        <v>304</v>
      </c>
      <c r="E184" s="314" t="s">
        <v>387</v>
      </c>
      <c r="F184" s="315" t="s">
        <v>306</v>
      </c>
      <c r="G184" s="177"/>
      <c r="H184" s="42"/>
      <c r="I184" s="59"/>
      <c r="J184" s="57"/>
      <c r="K184" s="58"/>
    </row>
    <row r="185" ht="14.25" customHeight="1" outlineLevel="1">
      <c r="A185" s="68">
        <v>16</v>
      </c>
      <c r="B185" s="39" t="s">
        <v>283</v>
      </c>
      <c r="C185" s="39" t="s">
        <v>307</v>
      </c>
      <c r="D185" s="41" t="s">
        <v>308</v>
      </c>
      <c r="E185" s="314" t="s">
        <v>427</v>
      </c>
      <c r="F185" s="315" t="s">
        <v>310</v>
      </c>
      <c r="G185" s="177"/>
      <c r="H185" s="42"/>
      <c r="I185" s="59"/>
      <c r="J185" s="57"/>
      <c r="K185" s="58"/>
    </row>
    <row r="186" ht="14.25" customHeight="1" outlineLevel="1">
      <c r="A186" s="68">
        <v>17</v>
      </c>
      <c r="B186" s="39" t="s">
        <v>279</v>
      </c>
      <c r="C186" s="334" t="s">
        <v>136</v>
      </c>
      <c r="D186" s="335" t="s">
        <v>311</v>
      </c>
      <c r="E186" s="324" t="s">
        <v>312</v>
      </c>
      <c r="F186" s="336" t="s">
        <v>313</v>
      </c>
      <c r="G186" s="177"/>
      <c r="H186" s="42"/>
      <c r="I186" s="59"/>
      <c r="J186" s="57"/>
      <c r="K186" s="58"/>
    </row>
    <row r="187" ht="14.25" customHeight="1" outlineLevel="1">
      <c r="A187" s="68">
        <v>18</v>
      </c>
      <c r="B187" s="42" t="s">
        <v>259</v>
      </c>
      <c r="C187" s="42" t="s">
        <v>260</v>
      </c>
      <c r="D187" s="94" t="s">
        <v>314</v>
      </c>
      <c r="E187" s="332" t="s">
        <v>315</v>
      </c>
      <c r="F187" s="333" t="s">
        <v>316</v>
      </c>
      <c r="G187" s="216"/>
      <c r="H187" s="42"/>
      <c r="I187" s="59"/>
      <c r="J187" s="57"/>
      <c r="K187" s="58"/>
    </row>
    <row r="188" ht="14.25" customHeight="1" outlineLevel="1">
      <c r="A188" s="68">
        <v>19</v>
      </c>
      <c r="B188" s="42" t="s">
        <v>259</v>
      </c>
      <c r="C188" s="42" t="s">
        <v>267</v>
      </c>
      <c r="D188" s="94" t="s">
        <v>317</v>
      </c>
      <c r="E188" s="332" t="s">
        <v>388</v>
      </c>
      <c r="F188" s="333" t="s">
        <v>319</v>
      </c>
      <c r="G188" s="216"/>
      <c r="H188" s="42"/>
      <c r="I188" s="59"/>
      <c r="J188" s="57"/>
      <c r="K188" s="58"/>
    </row>
    <row r="189" ht="14.25" customHeight="1" outlineLevel="1">
      <c r="A189" s="68">
        <v>20</v>
      </c>
      <c r="B189" s="39" t="s">
        <v>320</v>
      </c>
      <c r="C189" s="39" t="s">
        <v>321</v>
      </c>
      <c r="D189" s="41" t="s">
        <v>322</v>
      </c>
      <c r="E189" s="314" t="s">
        <v>323</v>
      </c>
      <c r="F189" s="315" t="s">
        <v>324</v>
      </c>
      <c r="G189" s="216"/>
      <c r="H189" s="42"/>
      <c r="I189" s="59"/>
      <c r="J189" s="57"/>
      <c r="K189" s="58"/>
    </row>
    <row r="190" ht="14.25" customHeight="1" outlineLevel="1">
      <c r="A190" s="68">
        <v>21</v>
      </c>
      <c r="B190" s="99" t="s">
        <v>259</v>
      </c>
      <c r="C190" s="99" t="s">
        <v>325</v>
      </c>
      <c r="D190" s="101" t="s">
        <v>326</v>
      </c>
      <c r="E190" s="332" t="s">
        <v>327</v>
      </c>
      <c r="F190" s="337" t="s">
        <v>328</v>
      </c>
      <c r="G190" s="243"/>
      <c r="H190" s="592"/>
      <c r="I190" s="593"/>
      <c r="J190" s="80"/>
      <c r="K190" s="81"/>
    </row>
    <row r="191" ht="14.25" customHeight="1" outlineLevel="1">
      <c r="A191" s="68">
        <v>22</v>
      </c>
      <c r="B191" s="551" t="s">
        <v>259</v>
      </c>
      <c r="C191" s="551" t="s">
        <v>329</v>
      </c>
      <c r="D191" s="594" t="s">
        <v>330</v>
      </c>
      <c r="E191" s="595" t="s">
        <v>331</v>
      </c>
      <c r="F191" s="411" t="s">
        <v>332</v>
      </c>
      <c r="G191" s="176"/>
      <c r="H191" s="176"/>
      <c r="I191" s="596"/>
      <c r="J191" s="277"/>
      <c r="K191" s="277"/>
    </row>
    <row r="192" ht="14.25" customHeight="1" outlineLevel="1">
      <c r="A192" s="68">
        <v>23</v>
      </c>
      <c r="B192" s="551" t="s">
        <v>259</v>
      </c>
      <c r="C192" s="551" t="s">
        <v>329</v>
      </c>
      <c r="D192" s="594" t="s">
        <v>333</v>
      </c>
      <c r="E192" s="314" t="s">
        <v>334</v>
      </c>
      <c r="F192" s="315" t="s">
        <v>335</v>
      </c>
      <c r="G192" s="191"/>
      <c r="H192" s="191"/>
      <c r="I192" s="596"/>
      <c r="J192" s="277"/>
      <c r="K192" s="277"/>
    </row>
    <row r="193" ht="14.25" customHeight="1" outlineLevel="1">
      <c r="A193" s="68">
        <v>24</v>
      </c>
      <c r="B193" s="551" t="s">
        <v>283</v>
      </c>
      <c r="C193" s="551" t="s">
        <v>336</v>
      </c>
      <c r="D193" s="594" t="s">
        <v>308</v>
      </c>
      <c r="E193" s="314" t="s">
        <v>337</v>
      </c>
      <c r="F193" s="315" t="s">
        <v>338</v>
      </c>
      <c r="G193" s="191"/>
      <c r="H193" s="191"/>
      <c r="I193" s="596"/>
      <c r="J193" s="277"/>
      <c r="K193" s="277"/>
    </row>
    <row r="194" ht="14.25" customHeight="1" outlineLevel="1">
      <c r="A194" s="77">
        <v>25</v>
      </c>
      <c r="B194" s="592" t="s">
        <v>283</v>
      </c>
      <c r="C194" s="592" t="s">
        <v>336</v>
      </c>
      <c r="D194" s="597" t="s">
        <v>339</v>
      </c>
      <c r="E194" s="598" t="s">
        <v>340</v>
      </c>
      <c r="F194" s="599" t="s">
        <v>341</v>
      </c>
      <c r="G194" s="191"/>
      <c r="H194" s="191"/>
      <c r="I194" s="596"/>
      <c r="J194" s="277"/>
      <c r="K194" s="277"/>
    </row>
    <row r="195" s="600" customFormat="1" ht="20.25" customHeight="1" outlineLevel="1">
      <c r="A195" s="601">
        <v>26</v>
      </c>
      <c r="B195" s="601" t="s">
        <v>259</v>
      </c>
      <c r="C195" s="601" t="s">
        <v>389</v>
      </c>
      <c r="D195" s="601" t="s">
        <v>390</v>
      </c>
      <c r="E195" s="602">
        <v>18993</v>
      </c>
      <c r="F195" s="603" t="s">
        <v>392</v>
      </c>
      <c r="G195" s="604" t="s">
        <v>62</v>
      </c>
      <c r="H195" s="605" t="s">
        <v>428</v>
      </c>
      <c r="I195" s="605"/>
      <c r="J195" s="605" t="s">
        <v>47</v>
      </c>
      <c r="K195" s="605"/>
    </row>
    <row r="196" ht="14.25" customHeight="1" outlineLevel="1">
      <c r="A196" s="191">
        <v>27</v>
      </c>
      <c r="B196" s="176" t="s">
        <v>57</v>
      </c>
      <c r="C196" s="176" t="s">
        <v>393</v>
      </c>
      <c r="D196" s="176" t="s">
        <v>394</v>
      </c>
      <c r="E196" s="606">
        <v>19789.560000000001</v>
      </c>
      <c r="F196" s="193" t="s">
        <v>351</v>
      </c>
      <c r="G196" s="607" t="s">
        <v>62</v>
      </c>
      <c r="H196" s="191" t="s">
        <v>428</v>
      </c>
      <c r="I196" s="608" t="s">
        <v>429</v>
      </c>
      <c r="J196" s="277" t="s">
        <v>47</v>
      </c>
      <c r="K196" s="277"/>
    </row>
    <row r="197" ht="14.25" customHeight="1" outlineLevel="1">
      <c r="A197" s="191">
        <v>28</v>
      </c>
      <c r="B197" s="191" t="s">
        <v>430</v>
      </c>
      <c r="C197" s="191" t="s">
        <v>431</v>
      </c>
      <c r="D197" s="191" t="s">
        <v>432</v>
      </c>
      <c r="E197" s="264">
        <v>23000</v>
      </c>
      <c r="F197" s="190" t="s">
        <v>433</v>
      </c>
      <c r="G197" s="607" t="s">
        <v>62</v>
      </c>
      <c r="H197" s="191" t="s">
        <v>428</v>
      </c>
      <c r="I197" s="191"/>
      <c r="J197" s="277" t="s">
        <v>47</v>
      </c>
      <c r="K197" s="277"/>
    </row>
    <row r="198" ht="14.25" customHeight="1" outlineLevel="1">
      <c r="A198" s="191">
        <v>29</v>
      </c>
      <c r="B198" s="194" t="s">
        <v>199</v>
      </c>
      <c r="C198" s="194" t="s">
        <v>434</v>
      </c>
      <c r="D198" s="194" t="s">
        <v>435</v>
      </c>
      <c r="E198" s="609">
        <v>6165.3800000000001</v>
      </c>
      <c r="F198" s="272" t="s">
        <v>436</v>
      </c>
      <c r="G198" s="607" t="s">
        <v>62</v>
      </c>
      <c r="H198" s="191" t="s">
        <v>141</v>
      </c>
      <c r="I198" s="191"/>
      <c r="J198" s="277" t="s">
        <v>47</v>
      </c>
      <c r="K198" s="277"/>
    </row>
    <row r="199" ht="14.25" customHeight="1" outlineLevel="1">
      <c r="A199" s="610">
        <v>30</v>
      </c>
      <c r="B199" s="39" t="s">
        <v>259</v>
      </c>
      <c r="C199" s="39" t="s">
        <v>267</v>
      </c>
      <c r="D199" s="39" t="s">
        <v>268</v>
      </c>
      <c r="E199" s="178">
        <v>400000</v>
      </c>
      <c r="F199" s="611" t="s">
        <v>270</v>
      </c>
      <c r="G199" s="607" t="s">
        <v>62</v>
      </c>
      <c r="H199" s="191" t="s">
        <v>141</v>
      </c>
      <c r="I199" s="191"/>
      <c r="J199" s="277" t="s">
        <v>47</v>
      </c>
      <c r="K199" s="277"/>
    </row>
    <row r="200" ht="14.25" customHeight="1" outlineLevel="1">
      <c r="A200" s="610">
        <v>31</v>
      </c>
      <c r="B200" s="39" t="s">
        <v>283</v>
      </c>
      <c r="C200" s="39" t="s">
        <v>307</v>
      </c>
      <c r="D200" s="41" t="s">
        <v>308</v>
      </c>
      <c r="E200" s="470">
        <v>50000</v>
      </c>
      <c r="F200" s="315" t="s">
        <v>310</v>
      </c>
      <c r="G200" s="607" t="s">
        <v>62</v>
      </c>
      <c r="H200" s="191" t="s">
        <v>141</v>
      </c>
      <c r="I200" s="191"/>
      <c r="J200" s="277" t="s">
        <v>47</v>
      </c>
      <c r="K200" s="277"/>
    </row>
    <row r="201" ht="14.25" customHeight="1" outlineLevel="1">
      <c r="A201" s="610">
        <v>32</v>
      </c>
      <c r="B201" s="39" t="s">
        <v>259</v>
      </c>
      <c r="C201" s="39" t="s">
        <v>260</v>
      </c>
      <c r="D201" s="39" t="s">
        <v>264</v>
      </c>
      <c r="E201" s="178">
        <v>60000</v>
      </c>
      <c r="F201" s="611" t="s">
        <v>266</v>
      </c>
      <c r="G201" s="607" t="s">
        <v>62</v>
      </c>
      <c r="H201" s="191" t="s">
        <v>141</v>
      </c>
      <c r="I201" s="191"/>
      <c r="J201" s="277" t="s">
        <v>47</v>
      </c>
      <c r="K201" s="277"/>
    </row>
    <row r="202" ht="30" customHeight="1" outlineLevel="1">
      <c r="A202" s="191">
        <v>33</v>
      </c>
      <c r="B202" s="612" t="s">
        <v>45</v>
      </c>
      <c r="C202" s="613" t="s">
        <v>437</v>
      </c>
      <c r="D202" s="614"/>
      <c r="E202" s="615">
        <v>7000</v>
      </c>
      <c r="F202" s="616" t="s">
        <v>438</v>
      </c>
      <c r="G202" s="608" t="s">
        <v>439</v>
      </c>
      <c r="H202" s="191" t="s">
        <v>141</v>
      </c>
      <c r="I202" s="191"/>
      <c r="J202" s="277" t="s">
        <v>47</v>
      </c>
      <c r="K202" s="277"/>
    </row>
    <row r="203" ht="48" customHeight="1" outlineLevel="1">
      <c r="A203" s="617">
        <v>34</v>
      </c>
      <c r="B203" s="618" t="s">
        <v>45</v>
      </c>
      <c r="C203" s="618" t="s">
        <v>52</v>
      </c>
      <c r="D203" s="619"/>
      <c r="E203" s="264">
        <v>120000</v>
      </c>
      <c r="F203" s="619" t="s">
        <v>368</v>
      </c>
      <c r="G203" s="620"/>
      <c r="H203" s="237"/>
      <c r="I203" s="237"/>
      <c r="J203" s="277" t="s">
        <v>47</v>
      </c>
      <c r="K203" s="277"/>
    </row>
    <row r="204" s="21" customFormat="1" ht="20.25" customHeight="1" outlineLevel="1">
      <c r="A204" s="22"/>
      <c r="B204" s="346" t="s">
        <v>19</v>
      </c>
      <c r="C204" s="585"/>
      <c r="D204" s="586"/>
      <c r="E204" s="587"/>
      <c r="F204" s="346"/>
      <c r="G204" s="465"/>
      <c r="H204" s="465"/>
      <c r="I204" s="465"/>
      <c r="J204" s="465"/>
      <c r="K204" s="469"/>
    </row>
    <row r="205" ht="29.25" customHeight="1" outlineLevel="1">
      <c r="A205" s="248">
        <v>1</v>
      </c>
      <c r="B205" s="191" t="s">
        <v>222</v>
      </c>
      <c r="C205" s="191" t="s">
        <v>440</v>
      </c>
      <c r="D205" s="190" t="s">
        <v>415</v>
      </c>
      <c r="E205" s="621">
        <v>35109.900000000001</v>
      </c>
      <c r="F205" s="190" t="s">
        <v>441</v>
      </c>
      <c r="G205" s="567"/>
      <c r="H205" s="63"/>
      <c r="I205" s="59"/>
      <c r="J205" s="66" t="s">
        <v>47</v>
      </c>
      <c r="K205" s="67"/>
    </row>
    <row r="206" ht="21.75" customHeight="1" outlineLevel="1">
      <c r="A206" s="256">
        <v>2</v>
      </c>
      <c r="B206" s="191" t="s">
        <v>222</v>
      </c>
      <c r="C206" s="191" t="s">
        <v>442</v>
      </c>
      <c r="D206" s="191" t="s">
        <v>415</v>
      </c>
      <c r="E206" s="621">
        <v>53097.580000000002</v>
      </c>
      <c r="F206" s="190" t="s">
        <v>441</v>
      </c>
      <c r="G206" s="245"/>
      <c r="H206" s="59"/>
      <c r="I206" s="59"/>
      <c r="J206" s="57" t="s">
        <v>47</v>
      </c>
      <c r="K206" s="58"/>
    </row>
    <row r="207" ht="24" customHeight="1" outlineLevel="1">
      <c r="A207" s="256">
        <v>3</v>
      </c>
      <c r="B207" s="191" t="s">
        <v>222</v>
      </c>
      <c r="C207" s="191" t="s">
        <v>396</v>
      </c>
      <c r="D207" s="191" t="s">
        <v>397</v>
      </c>
      <c r="E207" s="622">
        <v>571684.5</v>
      </c>
      <c r="F207" s="190" t="s">
        <v>441</v>
      </c>
      <c r="G207" s="245"/>
      <c r="H207" s="59"/>
      <c r="I207" s="59"/>
      <c r="J207" s="57" t="s">
        <v>47</v>
      </c>
      <c r="K207" s="58"/>
    </row>
    <row r="208" ht="24" customHeight="1" outlineLevel="1">
      <c r="A208" s="256"/>
      <c r="B208" s="623" t="s">
        <v>222</v>
      </c>
      <c r="C208" s="456" t="s">
        <v>443</v>
      </c>
      <c r="D208" s="456" t="s">
        <v>444</v>
      </c>
      <c r="E208" s="624">
        <v>26910.580000000002</v>
      </c>
      <c r="F208" s="623" t="s">
        <v>445</v>
      </c>
      <c r="G208" s="245"/>
      <c r="H208" s="59"/>
      <c r="I208" s="59"/>
      <c r="J208" s="57" t="s">
        <v>47</v>
      </c>
      <c r="K208" s="58"/>
    </row>
    <row r="209" ht="24.75" customHeight="1" outlineLevel="1">
      <c r="A209" s="256">
        <v>4</v>
      </c>
      <c r="B209" s="625" t="s">
        <v>222</v>
      </c>
      <c r="C209" s="625" t="s">
        <v>446</v>
      </c>
      <c r="D209" s="626" t="s">
        <v>415</v>
      </c>
      <c r="E209" s="627">
        <v>2062.6700000000001</v>
      </c>
      <c r="F209" s="628" t="s">
        <v>441</v>
      </c>
      <c r="G209" s="245"/>
      <c r="H209" s="59"/>
      <c r="I209" s="59"/>
      <c r="J209" s="57" t="s">
        <v>47</v>
      </c>
      <c r="K209" s="58"/>
    </row>
    <row r="210" ht="24.75" customHeight="1" outlineLevel="1">
      <c r="A210" s="571">
        <v>5</v>
      </c>
      <c r="B210" s="191" t="s">
        <v>222</v>
      </c>
      <c r="C210" s="191" t="s">
        <v>396</v>
      </c>
      <c r="D210" s="190" t="s">
        <v>397</v>
      </c>
      <c r="E210" s="629">
        <v>3921.5599999999999</v>
      </c>
      <c r="F210" s="190" t="s">
        <v>447</v>
      </c>
      <c r="G210" s="244"/>
      <c r="H210" s="56"/>
      <c r="I210" s="56"/>
      <c r="J210" s="80" t="s">
        <v>47</v>
      </c>
      <c r="K210" s="81"/>
    </row>
    <row r="211" ht="28.5" customHeight="1" outlineLevel="1">
      <c r="A211" s="630">
        <v>6</v>
      </c>
      <c r="B211" s="190" t="s">
        <v>237</v>
      </c>
      <c r="C211" s="366" t="s">
        <v>223</v>
      </c>
      <c r="D211" s="366" t="s">
        <v>227</v>
      </c>
      <c r="E211" s="230">
        <v>99539</v>
      </c>
      <c r="F211" s="228" t="s">
        <v>364</v>
      </c>
      <c r="G211" s="191"/>
      <c r="H211" s="191"/>
      <c r="I211" s="191" t="s">
        <v>365</v>
      </c>
      <c r="J211" s="631" t="s">
        <v>47</v>
      </c>
      <c r="K211" s="74"/>
    </row>
    <row r="212" s="21" customFormat="1" ht="23.25" customHeight="1">
      <c r="A212" s="82" t="s">
        <v>27</v>
      </c>
      <c r="B212" s="632"/>
      <c r="C212" s="632"/>
      <c r="D212" s="633"/>
      <c r="E212" s="634">
        <f>SUM(E169:E211)</f>
        <v>1497273.73</v>
      </c>
    </row>
    <row r="213" s="21" customFormat="1" ht="23.25" customHeight="1">
      <c r="A213" s="82" t="s">
        <v>22</v>
      </c>
      <c r="B213" s="83"/>
      <c r="C213" s="83"/>
      <c r="D213" s="103"/>
      <c r="E213" s="104">
        <f>E164-E212</f>
        <v>206256.55000000005</v>
      </c>
      <c r="F213" s="86"/>
    </row>
    <row r="214" ht="28.5" customHeight="1">
      <c r="E214" s="1"/>
    </row>
    <row r="215" ht="30.75" customHeight="1">
      <c r="A215" s="9" t="s">
        <v>28</v>
      </c>
      <c r="B215" s="10"/>
      <c r="C215" s="10"/>
      <c r="D215" s="11"/>
      <c r="E215" s="12">
        <f>SUM(E216:E216)</f>
        <v>3372</v>
      </c>
      <c r="F215" s="163" t="s">
        <v>44</v>
      </c>
      <c r="G215" s="13"/>
      <c r="H215" s="13"/>
      <c r="I215" s="13"/>
    </row>
    <row r="216" ht="15" customHeight="1">
      <c r="A216" s="105" t="s">
        <v>29</v>
      </c>
      <c r="B216" s="15"/>
      <c r="C216" s="15"/>
      <c r="D216" s="16"/>
      <c r="E216" s="17">
        <v>3372</v>
      </c>
      <c r="F216" s="635">
        <v>10000</v>
      </c>
      <c r="G216" s="13" t="s">
        <v>448</v>
      </c>
      <c r="H216" s="13"/>
      <c r="I216" s="13"/>
    </row>
    <row r="217" ht="5.25" customHeight="1">
      <c r="A217" s="13"/>
      <c r="B217" s="13"/>
      <c r="C217" s="13"/>
      <c r="D217" s="13"/>
      <c r="E217" s="13"/>
      <c r="F217" s="13"/>
      <c r="G217" s="13"/>
      <c r="H217" s="13"/>
      <c r="I217" s="13"/>
    </row>
    <row r="218" ht="25.5" customHeight="1" outlineLevel="1">
      <c r="A218" s="87" t="s">
        <v>6</v>
      </c>
      <c r="B218" s="87" t="s">
        <v>7</v>
      </c>
      <c r="C218" s="87" t="s">
        <v>8</v>
      </c>
      <c r="D218" s="87" t="s">
        <v>9</v>
      </c>
      <c r="E218" s="88" t="s">
        <v>10</v>
      </c>
      <c r="F218" s="87" t="s">
        <v>11</v>
      </c>
      <c r="G218" s="87" t="s">
        <v>12</v>
      </c>
      <c r="H218" s="89" t="s">
        <v>13</v>
      </c>
      <c r="I218" s="87" t="s">
        <v>14</v>
      </c>
      <c r="J218" s="87" t="s">
        <v>15</v>
      </c>
      <c r="K218" s="87" t="s">
        <v>16</v>
      </c>
    </row>
    <row r="219" s="21" customFormat="1" ht="18.75" customHeight="1" outlineLevel="1">
      <c r="A219" s="22"/>
      <c r="B219" s="172" t="s">
        <v>30</v>
      </c>
      <c r="C219" s="173"/>
      <c r="D219" s="174"/>
      <c r="E219" s="175"/>
      <c r="F219" s="172"/>
      <c r="G219" s="23"/>
      <c r="H219" s="23"/>
      <c r="I219" s="23"/>
      <c r="J219" s="23"/>
      <c r="K219" s="27"/>
    </row>
    <row r="220" ht="23.25" customHeight="1" outlineLevel="1">
      <c r="A220" s="248">
        <v>1</v>
      </c>
      <c r="B220" s="366" t="s">
        <v>449</v>
      </c>
      <c r="C220" s="366" t="s">
        <v>223</v>
      </c>
      <c r="D220" s="366" t="s">
        <v>227</v>
      </c>
      <c r="E220" s="636">
        <v>8130</v>
      </c>
      <c r="F220" s="366" t="s">
        <v>450</v>
      </c>
      <c r="G220" s="567"/>
      <c r="H220" s="63"/>
      <c r="I220" s="63"/>
      <c r="J220" s="66" t="s">
        <v>367</v>
      </c>
      <c r="K220" s="67"/>
    </row>
    <row r="221" ht="14.25" customHeight="1" outlineLevel="1">
      <c r="A221" s="68">
        <v>2</v>
      </c>
      <c r="B221" s="99"/>
      <c r="C221" s="99"/>
      <c r="D221" s="99"/>
      <c r="E221" s="100"/>
      <c r="F221" s="101"/>
      <c r="G221" s="59"/>
      <c r="H221" s="59"/>
      <c r="I221" s="59"/>
      <c r="J221" s="57"/>
      <c r="K221" s="58"/>
    </row>
    <row r="222" ht="14.25" customHeight="1" outlineLevel="1">
      <c r="A222" s="68">
        <v>3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4.25" customHeight="1" outlineLevel="1">
      <c r="A223" s="68">
        <v>4</v>
      </c>
      <c r="B223" s="59"/>
      <c r="C223" s="59"/>
      <c r="D223" s="59"/>
      <c r="E223" s="60"/>
      <c r="F223" s="61"/>
      <c r="G223" s="59"/>
      <c r="H223" s="59"/>
      <c r="I223" s="59"/>
      <c r="J223" s="57"/>
      <c r="K223" s="58"/>
    </row>
    <row r="224" ht="14.25" customHeight="1" outlineLevel="1">
      <c r="A224" s="68">
        <v>5</v>
      </c>
      <c r="B224" s="59"/>
      <c r="C224" s="59"/>
      <c r="D224" s="59"/>
      <c r="E224" s="60"/>
      <c r="F224" s="61"/>
      <c r="G224" s="59"/>
      <c r="H224" s="59"/>
      <c r="I224" s="59"/>
      <c r="J224" s="57"/>
      <c r="K224" s="58"/>
    </row>
    <row r="225" ht="14.25" customHeight="1" outlineLevel="1">
      <c r="A225" s="68">
        <v>6</v>
      </c>
      <c r="B225" s="59"/>
      <c r="C225" s="59"/>
      <c r="D225" s="59"/>
      <c r="E225" s="60"/>
      <c r="F225" s="61"/>
      <c r="G225" s="59"/>
      <c r="H225" s="59"/>
      <c r="I225" s="59"/>
      <c r="J225" s="57"/>
      <c r="K225" s="58"/>
    </row>
    <row r="226" ht="14.25" customHeight="1" outlineLevel="1">
      <c r="A226" s="68">
        <v>7</v>
      </c>
      <c r="B226" s="59"/>
      <c r="C226" s="59"/>
      <c r="D226" s="59"/>
      <c r="E226" s="60"/>
      <c r="F226" s="61"/>
      <c r="G226" s="59"/>
      <c r="H226" s="59"/>
      <c r="I226" s="59"/>
      <c r="J226" s="57"/>
      <c r="K226" s="58"/>
    </row>
    <row r="227" ht="15.75" customHeight="1" outlineLevel="1">
      <c r="A227" s="68">
        <v>8</v>
      </c>
      <c r="B227" s="59"/>
      <c r="C227" s="59"/>
      <c r="D227" s="59"/>
      <c r="E227" s="60"/>
      <c r="F227" s="61"/>
      <c r="G227" s="59"/>
      <c r="H227" s="59"/>
      <c r="I227" s="59"/>
      <c r="J227" s="57"/>
      <c r="K227" s="58"/>
    </row>
    <row r="228" ht="15.75" customHeight="1" outlineLevel="1">
      <c r="A228" s="68">
        <v>9</v>
      </c>
      <c r="B228" s="59"/>
      <c r="C228" s="59"/>
      <c r="D228" s="59"/>
      <c r="E228" s="60"/>
      <c r="F228" s="61"/>
      <c r="G228" s="59"/>
      <c r="H228" s="59"/>
      <c r="I228" s="59"/>
      <c r="J228" s="57"/>
      <c r="K228" s="58"/>
    </row>
    <row r="229" ht="15.75" customHeight="1" outlineLevel="1">
      <c r="A229" s="68">
        <v>10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5.75" customHeight="1" outlineLevel="1">
      <c r="A230" s="68">
        <v>11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5.75" customHeight="1" outlineLevel="1">
      <c r="A231" s="68">
        <v>12</v>
      </c>
      <c r="B231" s="59"/>
      <c r="C231" s="59"/>
      <c r="D231" s="59"/>
      <c r="E231" s="60"/>
      <c r="F231" s="61"/>
      <c r="G231" s="59"/>
      <c r="H231" s="59"/>
      <c r="I231" s="59"/>
      <c r="J231" s="57"/>
      <c r="K231" s="58"/>
    </row>
    <row r="232" ht="15.75" customHeight="1" outlineLevel="1">
      <c r="A232" s="68">
        <v>13</v>
      </c>
      <c r="B232" s="59"/>
      <c r="C232" s="59"/>
      <c r="D232" s="59"/>
      <c r="E232" s="60"/>
      <c r="F232" s="61"/>
      <c r="G232" s="59"/>
      <c r="H232" s="59"/>
      <c r="I232" s="59"/>
      <c r="J232" s="57"/>
      <c r="K232" s="58"/>
    </row>
    <row r="233" ht="15.75" customHeight="1" outlineLevel="1">
      <c r="A233" s="68">
        <v>14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5.75" customHeight="1" outlineLevel="1">
      <c r="A234" s="69">
        <v>15</v>
      </c>
      <c r="B234" s="70"/>
      <c r="C234" s="70"/>
      <c r="D234" s="70"/>
      <c r="E234" s="71"/>
      <c r="F234" s="72"/>
      <c r="G234" s="70"/>
      <c r="H234" s="70"/>
      <c r="I234" s="70"/>
      <c r="J234" s="73"/>
      <c r="K234" s="74"/>
    </row>
    <row r="235" s="21" customFormat="1" ht="21.75" customHeight="1">
      <c r="A235" s="82" t="s">
        <v>31</v>
      </c>
      <c r="B235" s="83"/>
      <c r="C235" s="83"/>
      <c r="D235" s="103"/>
      <c r="E235" s="104">
        <f>SUM(E219:E234)</f>
        <v>8130</v>
      </c>
    </row>
    <row r="236" s="21" customFormat="1" ht="21.75" customHeight="1">
      <c r="A236" s="82" t="s">
        <v>22</v>
      </c>
      <c r="B236" s="83"/>
      <c r="C236" s="83"/>
      <c r="D236" s="103"/>
      <c r="E236" s="104">
        <f>E215-E235</f>
        <v>-4758</v>
      </c>
      <c r="F236" s="86"/>
    </row>
    <row r="237" ht="15.75">
      <c r="E237" s="1"/>
    </row>
    <row r="238" ht="25.5" customHeight="1">
      <c r="A238" s="9" t="s">
        <v>32</v>
      </c>
      <c r="B238" s="10"/>
      <c r="C238" s="10"/>
      <c r="D238" s="11"/>
      <c r="E238" s="12">
        <f>SUM(E239:E240)</f>
        <v>3157.3000000000002</v>
      </c>
      <c r="F238" s="163" t="s">
        <v>44</v>
      </c>
      <c r="G238" s="13"/>
      <c r="H238" s="13"/>
      <c r="I238" s="13"/>
    </row>
    <row r="239" ht="15.75">
      <c r="A239" s="14" t="s">
        <v>33</v>
      </c>
      <c r="B239" s="15"/>
      <c r="C239" s="15"/>
      <c r="D239" s="16"/>
      <c r="E239" s="17" t="s">
        <v>451</v>
      </c>
      <c r="F239" s="13"/>
      <c r="G239" s="13"/>
      <c r="H239" s="13"/>
      <c r="I239" s="13"/>
    </row>
    <row r="240" ht="15.75">
      <c r="A240" s="14" t="s">
        <v>34</v>
      </c>
      <c r="B240" s="15"/>
      <c r="C240" s="15"/>
      <c r="D240" s="16"/>
      <c r="E240" s="17">
        <v>3157.3000000000002</v>
      </c>
      <c r="F240" s="13"/>
      <c r="G240" s="13"/>
      <c r="H240" s="13"/>
      <c r="I240" s="13"/>
    </row>
    <row r="241" ht="15.75">
      <c r="A241" s="13"/>
      <c r="B241" s="13"/>
      <c r="C241" s="13"/>
      <c r="D241" s="13"/>
      <c r="E241" s="13"/>
      <c r="F241" s="13"/>
      <c r="G241" s="13"/>
      <c r="H241" s="13"/>
      <c r="I241" s="13"/>
    </row>
    <row r="242" ht="22.5">
      <c r="A242" s="87" t="s">
        <v>6</v>
      </c>
      <c r="B242" s="87" t="s">
        <v>7</v>
      </c>
      <c r="C242" s="87" t="s">
        <v>8</v>
      </c>
      <c r="D242" s="87" t="s">
        <v>9</v>
      </c>
      <c r="E242" s="88" t="s">
        <v>10</v>
      </c>
      <c r="F242" s="87" t="s">
        <v>11</v>
      </c>
      <c r="G242" s="87" t="s">
        <v>12</v>
      </c>
      <c r="H242" s="89" t="s">
        <v>13</v>
      </c>
      <c r="I242" s="87" t="s">
        <v>14</v>
      </c>
      <c r="J242" s="87" t="s">
        <v>15</v>
      </c>
      <c r="K242" s="87" t="s">
        <v>16</v>
      </c>
    </row>
    <row r="243" ht="15.75">
      <c r="A243" s="22"/>
      <c r="B243" s="23" t="s">
        <v>25</v>
      </c>
      <c r="C243" s="24"/>
      <c r="D243" s="25"/>
      <c r="E243" s="26"/>
      <c r="F243" s="23"/>
      <c r="G243" s="23"/>
      <c r="H243" s="23"/>
      <c r="I243" s="23"/>
      <c r="J243" s="23"/>
      <c r="K243" s="27"/>
    </row>
    <row r="244">
      <c r="A244" s="68">
        <v>1</v>
      </c>
      <c r="B244" s="106"/>
      <c r="C244" s="106"/>
      <c r="D244" s="107"/>
      <c r="E244" s="92"/>
      <c r="F244" s="107"/>
      <c r="G244" s="42"/>
      <c r="H244" s="42"/>
      <c r="I244" s="42" t="s">
        <v>35</v>
      </c>
      <c r="J244" s="57"/>
      <c r="K244" s="58"/>
    </row>
    <row r="245">
      <c r="A245" s="68">
        <v>2</v>
      </c>
      <c r="B245" s="106"/>
      <c r="C245" s="106"/>
      <c r="D245" s="107"/>
      <c r="E245" s="93"/>
      <c r="F245" s="107"/>
      <c r="G245" s="59"/>
      <c r="H245" s="59"/>
      <c r="I245" s="42"/>
      <c r="J245" s="57"/>
      <c r="K245" s="58"/>
    </row>
    <row r="246">
      <c r="A246" s="68">
        <v>3</v>
      </c>
      <c r="B246" s="108"/>
      <c r="C246" s="109"/>
      <c r="D246" s="110"/>
      <c r="E246" s="111"/>
      <c r="F246" s="110"/>
      <c r="G246" s="112"/>
      <c r="H246" s="113"/>
      <c r="I246" s="35"/>
      <c r="J246" s="114"/>
      <c r="K246" s="115"/>
    </row>
    <row r="247">
      <c r="A247" s="68">
        <v>4</v>
      </c>
      <c r="B247" s="108"/>
      <c r="C247" s="109"/>
      <c r="D247" s="110"/>
      <c r="E247" s="111"/>
      <c r="F247" s="110"/>
      <c r="G247" s="112"/>
      <c r="H247" s="113"/>
      <c r="I247" s="35"/>
      <c r="J247" s="114"/>
      <c r="K247" s="116"/>
    </row>
    <row r="248">
      <c r="A248" s="68">
        <v>5</v>
      </c>
      <c r="B248" s="42"/>
      <c r="C248" s="42"/>
      <c r="D248" s="42"/>
      <c r="E248" s="93"/>
      <c r="F248" s="94"/>
      <c r="G248" s="42"/>
      <c r="H248" s="42"/>
      <c r="I248" s="42"/>
      <c r="J248" s="43"/>
      <c r="K248" s="44"/>
    </row>
    <row r="249">
      <c r="A249" s="68">
        <v>6</v>
      </c>
      <c r="B249" s="43"/>
      <c r="C249" s="43"/>
      <c r="D249" s="43"/>
      <c r="E249" s="43"/>
      <c r="F249" s="43"/>
      <c r="G249" s="43"/>
      <c r="H249" s="42"/>
      <c r="I249" s="42"/>
      <c r="J249" s="43"/>
      <c r="K249" s="44"/>
    </row>
    <row r="250">
      <c r="A250" s="68">
        <v>7</v>
      </c>
      <c r="B250" s="43"/>
      <c r="C250" s="43"/>
      <c r="D250" s="43"/>
      <c r="E250" s="43"/>
      <c r="F250" s="43"/>
      <c r="G250" s="43"/>
      <c r="H250" s="42"/>
      <c r="I250" s="42"/>
      <c r="J250" s="43"/>
      <c r="K250" s="44"/>
    </row>
    <row r="251">
      <c r="A251" s="68">
        <v>8</v>
      </c>
      <c r="B251" s="42"/>
      <c r="C251" s="94"/>
      <c r="D251" s="94"/>
      <c r="E251" s="93"/>
      <c r="F251" s="94"/>
      <c r="G251" s="42"/>
      <c r="H251" s="42"/>
      <c r="I251" s="42"/>
      <c r="J251" s="43"/>
      <c r="K251" s="44"/>
    </row>
    <row r="252">
      <c r="A252" s="68">
        <v>9</v>
      </c>
      <c r="B252" s="42"/>
      <c r="C252" s="94"/>
      <c r="D252" s="94"/>
      <c r="E252" s="93"/>
      <c r="F252" s="94"/>
      <c r="G252" s="42"/>
      <c r="H252" s="42"/>
      <c r="I252" s="42"/>
      <c r="J252" s="43"/>
      <c r="K252" s="44"/>
    </row>
    <row r="253">
      <c r="A253" s="68">
        <v>10</v>
      </c>
      <c r="B253" s="42"/>
      <c r="C253" s="94"/>
      <c r="D253" s="94"/>
      <c r="E253" s="93"/>
      <c r="F253" s="94"/>
      <c r="G253" s="42"/>
      <c r="H253" s="42"/>
      <c r="I253" s="42"/>
      <c r="J253" s="43"/>
      <c r="K253" s="44"/>
    </row>
    <row r="254">
      <c r="A254" s="68">
        <v>11</v>
      </c>
      <c r="B254" s="42"/>
      <c r="C254" s="94"/>
      <c r="D254" s="94"/>
      <c r="E254" s="93"/>
      <c r="F254" s="94"/>
      <c r="G254" s="42"/>
      <c r="H254" s="42"/>
      <c r="I254" s="42"/>
      <c r="J254" s="43"/>
      <c r="K254" s="44"/>
    </row>
    <row r="255">
      <c r="A255" s="68">
        <v>12</v>
      </c>
      <c r="B255" s="59"/>
      <c r="C255" s="61"/>
      <c r="D255" s="61"/>
      <c r="E255" s="93"/>
      <c r="F255" s="61"/>
      <c r="G255" s="59"/>
      <c r="H255" s="59"/>
      <c r="I255" s="42"/>
      <c r="J255" s="57"/>
      <c r="K255" s="58"/>
    </row>
    <row r="256">
      <c r="A256" s="68">
        <v>13</v>
      </c>
      <c r="B256" s="59"/>
      <c r="C256" s="61"/>
      <c r="D256" s="61"/>
      <c r="E256" s="93"/>
      <c r="F256" s="61"/>
      <c r="G256" s="59"/>
      <c r="H256" s="59"/>
      <c r="I256" s="42"/>
      <c r="J256" s="57"/>
      <c r="K256" s="58"/>
    </row>
    <row r="257">
      <c r="A257" s="68">
        <v>14</v>
      </c>
      <c r="B257" s="59"/>
      <c r="C257" s="61"/>
      <c r="D257" s="61"/>
      <c r="E257" s="93"/>
      <c r="F257" s="61"/>
      <c r="G257" s="59"/>
      <c r="H257" s="59"/>
      <c r="I257" s="42"/>
      <c r="J257" s="57"/>
      <c r="K257" s="58"/>
    </row>
    <row r="258" ht="15.75">
      <c r="A258" s="68">
        <v>15</v>
      </c>
      <c r="B258" s="59"/>
      <c r="C258" s="61"/>
      <c r="D258" s="61"/>
      <c r="E258" s="93"/>
      <c r="F258" s="61"/>
      <c r="G258" s="59"/>
      <c r="H258" s="59"/>
      <c r="I258" s="42"/>
      <c r="J258" s="57"/>
      <c r="K258" s="58"/>
    </row>
    <row r="259" ht="15.75">
      <c r="A259" s="22"/>
      <c r="B259" s="23" t="s">
        <v>26</v>
      </c>
      <c r="C259" s="24"/>
      <c r="D259" s="25"/>
      <c r="E259" s="26"/>
      <c r="F259" s="23"/>
      <c r="G259" s="23"/>
      <c r="H259" s="23"/>
      <c r="I259" s="23"/>
      <c r="J259" s="23"/>
      <c r="K259" s="27"/>
    </row>
    <row r="260">
      <c r="A260" s="62">
        <v>1</v>
      </c>
      <c r="B260" s="63"/>
      <c r="C260" s="63"/>
      <c r="D260" s="63"/>
      <c r="E260" s="64"/>
      <c r="F260" s="65"/>
      <c r="G260" s="63"/>
      <c r="H260" s="63"/>
      <c r="I260" s="63"/>
      <c r="J260" s="66"/>
      <c r="K260" s="67"/>
    </row>
    <row r="261">
      <c r="A261" s="68">
        <v>2</v>
      </c>
      <c r="B261" s="59"/>
      <c r="C261" s="59"/>
      <c r="D261" s="59"/>
      <c r="E261" s="60"/>
      <c r="F261" s="61"/>
      <c r="G261" s="59"/>
      <c r="H261" s="59"/>
      <c r="I261" s="59"/>
      <c r="J261" s="57"/>
      <c r="K261" s="58"/>
    </row>
    <row r="262">
      <c r="A262" s="68">
        <v>3</v>
      </c>
      <c r="B262" s="59"/>
      <c r="C262" s="59"/>
      <c r="D262" s="59"/>
      <c r="E262" s="60"/>
      <c r="F262" s="61"/>
      <c r="G262" s="59"/>
      <c r="H262" s="59"/>
      <c r="I262" s="59"/>
      <c r="J262" s="57"/>
      <c r="K262" s="58"/>
    </row>
    <row r="263">
      <c r="A263" s="68">
        <v>4</v>
      </c>
      <c r="B263" s="59"/>
      <c r="C263" s="59"/>
      <c r="D263" s="59"/>
      <c r="E263" s="60"/>
      <c r="F263" s="61"/>
      <c r="G263" s="59"/>
      <c r="H263" s="59"/>
      <c r="I263" s="59"/>
      <c r="J263" s="57"/>
      <c r="K263" s="58"/>
    </row>
    <row r="264" ht="15.75">
      <c r="A264" s="69">
        <v>5</v>
      </c>
      <c r="B264" s="70"/>
      <c r="C264" s="70"/>
      <c r="D264" s="70"/>
      <c r="E264" s="71"/>
      <c r="F264" s="72"/>
      <c r="G264" s="70"/>
      <c r="H264" s="70"/>
      <c r="I264" s="70"/>
      <c r="J264" s="73"/>
      <c r="K264" s="74"/>
    </row>
    <row r="265" ht="15.75">
      <c r="A265" s="22"/>
      <c r="B265" s="23" t="s">
        <v>19</v>
      </c>
      <c r="C265" s="24"/>
      <c r="D265" s="25"/>
      <c r="E265" s="26"/>
      <c r="F265" s="23"/>
      <c r="G265" s="23"/>
      <c r="H265" s="23"/>
      <c r="I265" s="23"/>
      <c r="J265" s="23"/>
      <c r="K265" s="27"/>
    </row>
    <row r="266" ht="28.5">
      <c r="A266" s="62">
        <v>1</v>
      </c>
      <c r="B266" s="39" t="s">
        <v>452</v>
      </c>
      <c r="C266" s="56" t="s">
        <v>453</v>
      </c>
      <c r="D266" s="59" t="s">
        <v>454</v>
      </c>
      <c r="E266" s="224">
        <v>29909.459999999999</v>
      </c>
      <c r="F266" s="101" t="s">
        <v>455</v>
      </c>
      <c r="G266" s="63"/>
      <c r="H266" s="63" t="s">
        <v>141</v>
      </c>
      <c r="I266" s="63"/>
      <c r="J266" s="66" t="s">
        <v>367</v>
      </c>
      <c r="K266" s="67"/>
    </row>
    <row r="267">
      <c r="A267" s="68">
        <v>2</v>
      </c>
      <c r="B267" s="59" t="s">
        <v>449</v>
      </c>
      <c r="C267" s="59" t="s">
        <v>456</v>
      </c>
      <c r="D267" s="59" t="s">
        <v>415</v>
      </c>
      <c r="E267" s="224">
        <v>4385</v>
      </c>
      <c r="F267" s="61" t="s">
        <v>457</v>
      </c>
      <c r="G267" s="59"/>
      <c r="H267" s="59"/>
      <c r="I267" s="59"/>
      <c r="J267" s="57" t="s">
        <v>47</v>
      </c>
      <c r="K267" s="58"/>
    </row>
    <row r="268" ht="28.5">
      <c r="A268" s="68">
        <v>3</v>
      </c>
      <c r="B268" s="59" t="s">
        <v>449</v>
      </c>
      <c r="C268" s="59" t="s">
        <v>223</v>
      </c>
      <c r="D268" s="59" t="s">
        <v>227</v>
      </c>
      <c r="E268" s="224">
        <f>700+3240</f>
        <v>3940</v>
      </c>
      <c r="F268" s="61" t="s">
        <v>458</v>
      </c>
      <c r="G268" s="59"/>
      <c r="H268" s="59"/>
      <c r="I268" s="59"/>
      <c r="J268" s="57" t="s">
        <v>47</v>
      </c>
      <c r="K268" s="58"/>
    </row>
    <row r="269" ht="28.5">
      <c r="A269" s="68">
        <v>4</v>
      </c>
      <c r="B269" s="59" t="s">
        <v>449</v>
      </c>
      <c r="C269" s="59" t="s">
        <v>418</v>
      </c>
      <c r="D269" s="59" t="s">
        <v>419</v>
      </c>
      <c r="E269" s="224">
        <v>22</v>
      </c>
      <c r="F269" s="61" t="s">
        <v>459</v>
      </c>
      <c r="G269" s="59"/>
      <c r="H269" s="59"/>
      <c r="I269" s="59"/>
      <c r="J269" s="57" t="s">
        <v>47</v>
      </c>
      <c r="K269" s="58"/>
    </row>
    <row r="270" ht="15.75">
      <c r="A270" s="69">
        <v>5</v>
      </c>
      <c r="B270" s="70"/>
      <c r="C270" s="70"/>
      <c r="D270" s="70"/>
      <c r="E270" s="71"/>
      <c r="F270" s="72"/>
      <c r="G270" s="70"/>
      <c r="H270" s="70"/>
      <c r="I270" s="70"/>
      <c r="J270" s="73"/>
      <c r="K270" s="74"/>
    </row>
    <row r="271" s="21" customFormat="1" ht="26.25" customHeight="1">
      <c r="A271" s="82" t="s">
        <v>36</v>
      </c>
      <c r="B271" s="83"/>
      <c r="C271" s="83"/>
      <c r="D271" s="103"/>
      <c r="E271" s="104">
        <f>SUM(E244:E270)</f>
        <v>38256.459999999999</v>
      </c>
    </row>
    <row r="272" s="21" customFormat="1" ht="27" customHeight="1">
      <c r="A272" s="82" t="s">
        <v>22</v>
      </c>
      <c r="B272" s="83"/>
      <c r="C272" s="83"/>
      <c r="D272" s="103"/>
      <c r="E272" s="104">
        <f>E238-E271</f>
        <v>-35099.159999999996</v>
      </c>
      <c r="F272" s="86"/>
    </row>
    <row r="273" ht="14.25">
      <c r="E273" s="1"/>
    </row>
    <row r="274" ht="15.75">
      <c r="E274" s="1"/>
      <c r="F274" s="1"/>
    </row>
    <row r="275" ht="36" customHeight="1">
      <c r="A275" s="120" t="s">
        <v>37</v>
      </c>
      <c r="B275" s="120"/>
      <c r="C275" s="120"/>
      <c r="D275" s="120"/>
      <c r="E275" s="121">
        <f>E276+E277</f>
        <v>2715</v>
      </c>
      <c r="F275" s="163" t="s">
        <v>44</v>
      </c>
      <c r="G275" s="123"/>
      <c r="H275" s="123"/>
      <c r="I275" s="123"/>
      <c r="J275" s="124"/>
      <c r="K275" s="124"/>
    </row>
    <row r="276" ht="15.75" customHeight="1">
      <c r="A276" s="125" t="s">
        <v>38</v>
      </c>
      <c r="B276" s="125"/>
      <c r="C276" s="125"/>
      <c r="D276" s="125"/>
      <c r="E276" s="126">
        <v>0</v>
      </c>
      <c r="F276" s="123"/>
      <c r="G276" s="123"/>
      <c r="H276" s="123"/>
      <c r="I276" s="123"/>
      <c r="J276" s="124"/>
      <c r="K276" s="124"/>
    </row>
    <row r="277" ht="15.75" customHeight="1">
      <c r="A277" s="125" t="s">
        <v>39</v>
      </c>
      <c r="B277" s="125"/>
      <c r="C277" s="125"/>
      <c r="D277" s="125"/>
      <c r="E277" s="126">
        <v>2715</v>
      </c>
      <c r="F277" s="123"/>
      <c r="G277" s="123"/>
      <c r="H277" s="123"/>
      <c r="I277" s="123"/>
      <c r="J277" s="124"/>
      <c r="K277" s="124"/>
    </row>
    <row r="278" ht="15.75">
      <c r="A278" s="123"/>
      <c r="B278" s="123"/>
      <c r="C278" s="123"/>
      <c r="D278" s="123"/>
      <c r="E278" s="123"/>
      <c r="F278" s="123"/>
      <c r="G278" s="123"/>
      <c r="H278" s="123"/>
      <c r="I278" s="123"/>
      <c r="J278" s="124"/>
      <c r="K278" s="124"/>
    </row>
    <row r="279" ht="22.5">
      <c r="A279" s="127" t="s">
        <v>6</v>
      </c>
      <c r="B279" s="127" t="s">
        <v>7</v>
      </c>
      <c r="C279" s="127" t="s">
        <v>8</v>
      </c>
      <c r="D279" s="127" t="s">
        <v>9</v>
      </c>
      <c r="E279" s="127" t="s">
        <v>40</v>
      </c>
      <c r="F279" s="127" t="s">
        <v>11</v>
      </c>
      <c r="G279" s="127" t="s">
        <v>12</v>
      </c>
      <c r="H279" s="128" t="s">
        <v>13</v>
      </c>
      <c r="I279" s="127" t="s">
        <v>14</v>
      </c>
      <c r="J279" s="127" t="s">
        <v>15</v>
      </c>
      <c r="K279" s="127" t="s">
        <v>16</v>
      </c>
    </row>
    <row r="280" ht="15.75">
      <c r="A280" s="129" t="s">
        <v>41</v>
      </c>
      <c r="B280" s="130"/>
      <c r="C280" s="130"/>
      <c r="D280" s="130"/>
      <c r="E280" s="130"/>
      <c r="F280" s="130"/>
      <c r="G280" s="130"/>
      <c r="H280" s="130"/>
      <c r="I280" s="130"/>
      <c r="J280" s="130"/>
      <c r="K280" s="131"/>
    </row>
    <row r="281">
      <c r="A281" s="132">
        <v>1</v>
      </c>
      <c r="B281" s="133"/>
      <c r="C281" s="133"/>
      <c r="D281" s="134"/>
      <c r="E281" s="135"/>
      <c r="F281" s="134"/>
      <c r="G281" s="136"/>
      <c r="H281" s="136"/>
      <c r="I281" s="136"/>
      <c r="J281" s="137"/>
      <c r="K281" s="138"/>
    </row>
    <row r="282">
      <c r="A282" s="139">
        <v>2</v>
      </c>
      <c r="B282" s="140"/>
      <c r="C282" s="140"/>
      <c r="D282" s="141"/>
      <c r="E282" s="142"/>
      <c r="F282" s="141"/>
      <c r="G282" s="143"/>
      <c r="H282" s="143"/>
      <c r="I282" s="142"/>
      <c r="J282" s="144"/>
      <c r="K282" s="145"/>
    </row>
    <row r="283">
      <c r="A283" s="139">
        <v>3</v>
      </c>
      <c r="B283" s="143"/>
      <c r="C283" s="143"/>
      <c r="D283" s="143"/>
      <c r="E283" s="142"/>
      <c r="F283" s="146"/>
      <c r="G283" s="143"/>
      <c r="H283" s="143"/>
      <c r="I283" s="142"/>
      <c r="J283" s="144"/>
      <c r="K283" s="145"/>
    </row>
    <row r="284">
      <c r="A284" s="139">
        <v>4</v>
      </c>
      <c r="B284" s="143"/>
      <c r="C284" s="146"/>
      <c r="D284" s="146"/>
      <c r="E284" s="142"/>
      <c r="F284" s="146"/>
      <c r="G284" s="143"/>
      <c r="H284" s="143"/>
      <c r="I284" s="142"/>
      <c r="J284" s="144"/>
      <c r="K284" s="145"/>
    </row>
    <row r="285">
      <c r="A285" s="139">
        <v>5</v>
      </c>
      <c r="B285" s="143"/>
      <c r="C285" s="143"/>
      <c r="D285" s="143"/>
      <c r="E285" s="143"/>
      <c r="F285" s="146"/>
      <c r="G285" s="143"/>
      <c r="H285" s="143"/>
      <c r="I285" s="142"/>
      <c r="J285" s="144"/>
      <c r="K285" s="145"/>
    </row>
    <row r="286">
      <c r="A286" s="139">
        <v>6</v>
      </c>
      <c r="B286" s="144"/>
      <c r="C286" s="144"/>
      <c r="D286" s="144"/>
      <c r="E286" s="144"/>
      <c r="F286" s="144"/>
      <c r="G286" s="144"/>
      <c r="H286" s="143"/>
      <c r="I286" s="142"/>
      <c r="J286" s="144"/>
      <c r="K286" s="145"/>
    </row>
    <row r="287">
      <c r="A287" s="139">
        <v>7</v>
      </c>
      <c r="B287" s="144"/>
      <c r="C287" s="144"/>
      <c r="D287" s="144"/>
      <c r="E287" s="144"/>
      <c r="F287" s="144"/>
      <c r="G287" s="144"/>
      <c r="H287" s="143"/>
      <c r="I287" s="143"/>
      <c r="J287" s="144"/>
      <c r="K287" s="145"/>
    </row>
    <row r="288">
      <c r="A288" s="139">
        <v>8</v>
      </c>
      <c r="B288" s="143"/>
      <c r="C288" s="146"/>
      <c r="D288" s="146"/>
      <c r="E288" s="142"/>
      <c r="F288" s="146"/>
      <c r="G288" s="143"/>
      <c r="H288" s="143"/>
      <c r="I288" s="142"/>
      <c r="J288" s="144"/>
      <c r="K288" s="145"/>
    </row>
    <row r="289">
      <c r="A289" s="139">
        <v>9</v>
      </c>
      <c r="B289" s="143"/>
      <c r="C289" s="146"/>
      <c r="D289" s="146"/>
      <c r="E289" s="142"/>
      <c r="F289" s="146"/>
      <c r="G289" s="143"/>
      <c r="H289" s="143"/>
      <c r="I289" s="142"/>
      <c r="J289" s="144"/>
      <c r="K289" s="145"/>
    </row>
    <row r="290">
      <c r="A290" s="139">
        <v>10</v>
      </c>
      <c r="B290" s="143"/>
      <c r="C290" s="146"/>
      <c r="D290" s="146"/>
      <c r="E290" s="142"/>
      <c r="F290" s="146"/>
      <c r="G290" s="143"/>
      <c r="H290" s="143"/>
      <c r="I290" s="142"/>
      <c r="J290" s="144"/>
      <c r="K290" s="145"/>
    </row>
    <row r="291">
      <c r="A291" s="139">
        <v>11</v>
      </c>
      <c r="B291" s="143"/>
      <c r="C291" s="146"/>
      <c r="D291" s="146"/>
      <c r="E291" s="142"/>
      <c r="F291" s="146"/>
      <c r="G291" s="143"/>
      <c r="H291" s="143"/>
      <c r="I291" s="142"/>
      <c r="J291" s="144"/>
      <c r="K291" s="145"/>
    </row>
    <row r="292">
      <c r="A292" s="139">
        <v>12</v>
      </c>
      <c r="B292" s="143"/>
      <c r="C292" s="146"/>
      <c r="D292" s="146"/>
      <c r="E292" s="142"/>
      <c r="F292" s="146"/>
      <c r="G292" s="143"/>
      <c r="H292" s="143"/>
      <c r="I292" s="142"/>
      <c r="J292" s="144"/>
      <c r="K292" s="145"/>
    </row>
    <row r="293">
      <c r="A293" s="139">
        <v>13</v>
      </c>
      <c r="B293" s="143"/>
      <c r="C293" s="146"/>
      <c r="D293" s="146"/>
      <c r="E293" s="142"/>
      <c r="F293" s="146"/>
      <c r="G293" s="143"/>
      <c r="H293" s="143"/>
      <c r="I293" s="142"/>
      <c r="J293" s="144"/>
      <c r="K293" s="145"/>
    </row>
    <row r="294">
      <c r="A294" s="139">
        <v>14</v>
      </c>
      <c r="B294" s="143"/>
      <c r="C294" s="146"/>
      <c r="D294" s="146"/>
      <c r="E294" s="142"/>
      <c r="F294" s="146"/>
      <c r="G294" s="143"/>
      <c r="H294" s="143"/>
      <c r="I294" s="142"/>
      <c r="J294" s="144"/>
      <c r="K294" s="145"/>
    </row>
    <row r="295" ht="15.75">
      <c r="A295" s="147">
        <v>15</v>
      </c>
      <c r="B295" s="148"/>
      <c r="C295" s="149"/>
      <c r="D295" s="149"/>
      <c r="E295" s="150"/>
      <c r="F295" s="149"/>
      <c r="G295" s="148"/>
      <c r="H295" s="148"/>
      <c r="I295" s="150"/>
      <c r="J295" s="151"/>
      <c r="K295" s="152"/>
    </row>
    <row r="296" ht="15.75">
      <c r="A296" s="22"/>
      <c r="B296" s="23" t="s">
        <v>26</v>
      </c>
      <c r="C296" s="24"/>
      <c r="D296" s="25"/>
      <c r="E296" s="26"/>
      <c r="F296" s="23"/>
      <c r="G296" s="23"/>
      <c r="H296" s="23"/>
      <c r="I296" s="23"/>
      <c r="J296" s="23"/>
      <c r="K296" s="27"/>
    </row>
    <row r="297">
      <c r="A297" s="132">
        <v>1</v>
      </c>
      <c r="B297" s="153"/>
      <c r="C297" s="153"/>
      <c r="D297" s="153"/>
      <c r="E297" s="153"/>
      <c r="F297" s="154"/>
      <c r="G297" s="153"/>
      <c r="H297" s="153"/>
      <c r="I297" s="153"/>
      <c r="J297" s="137"/>
      <c r="K297" s="138"/>
    </row>
    <row r="298">
      <c r="A298" s="139">
        <v>2</v>
      </c>
      <c r="B298" s="143"/>
      <c r="C298" s="143"/>
      <c r="D298" s="143"/>
      <c r="E298" s="143"/>
      <c r="F298" s="146"/>
      <c r="G298" s="143"/>
      <c r="H298" s="143"/>
      <c r="I298" s="143"/>
      <c r="J298" s="144"/>
      <c r="K298" s="145"/>
    </row>
    <row r="299">
      <c r="A299" s="139">
        <v>3</v>
      </c>
      <c r="B299" s="143"/>
      <c r="C299" s="143"/>
      <c r="D299" s="143"/>
      <c r="E299" s="143"/>
      <c r="F299" s="146"/>
      <c r="G299" s="143"/>
      <c r="H299" s="143"/>
      <c r="I299" s="143"/>
      <c r="J299" s="144"/>
      <c r="K299" s="145"/>
    </row>
    <row r="300">
      <c r="A300" s="139">
        <v>4</v>
      </c>
      <c r="B300" s="143"/>
      <c r="C300" s="143"/>
      <c r="D300" s="143"/>
      <c r="E300" s="143"/>
      <c r="F300" s="146"/>
      <c r="G300" s="143"/>
      <c r="H300" s="143"/>
      <c r="I300" s="143"/>
      <c r="J300" s="144"/>
      <c r="K300" s="145"/>
    </row>
    <row r="301" ht="15.75">
      <c r="A301" s="147">
        <v>5</v>
      </c>
      <c r="B301" s="148"/>
      <c r="C301" s="148"/>
      <c r="D301" s="148"/>
      <c r="E301" s="148"/>
      <c r="F301" s="149"/>
      <c r="G301" s="148"/>
      <c r="H301" s="148"/>
      <c r="I301" s="148"/>
      <c r="J301" s="151"/>
      <c r="K301" s="152"/>
    </row>
    <row r="302" ht="15.75">
      <c r="A302" s="22"/>
      <c r="B302" s="23" t="s">
        <v>19</v>
      </c>
      <c r="C302" s="24"/>
      <c r="D302" s="25"/>
      <c r="E302" s="26"/>
      <c r="F302" s="23"/>
      <c r="G302" s="23"/>
      <c r="H302" s="23"/>
      <c r="I302" s="23"/>
      <c r="J302" s="23"/>
      <c r="K302" s="27"/>
    </row>
    <row r="303">
      <c r="A303" s="132">
        <v>1</v>
      </c>
      <c r="B303" s="136"/>
      <c r="C303" s="153"/>
      <c r="D303" s="153"/>
      <c r="E303" s="153"/>
      <c r="F303" s="154"/>
      <c r="G303" s="153"/>
      <c r="H303" s="153"/>
      <c r="I303" s="153"/>
      <c r="J303" s="137"/>
      <c r="K303" s="138"/>
    </row>
    <row r="304">
      <c r="A304" s="139">
        <v>2</v>
      </c>
      <c r="B304" s="155"/>
      <c r="C304" s="155"/>
      <c r="D304" s="156"/>
      <c r="E304" s="143"/>
      <c r="F304" s="157"/>
      <c r="G304" s="143"/>
      <c r="H304" s="143"/>
      <c r="I304" s="143"/>
      <c r="J304" s="144"/>
      <c r="K304" s="145"/>
    </row>
    <row r="305">
      <c r="A305" s="139">
        <v>3</v>
      </c>
      <c r="B305" s="143"/>
      <c r="C305" s="143"/>
      <c r="D305" s="143"/>
      <c r="E305" s="143"/>
      <c r="F305" s="146"/>
      <c r="G305" s="143"/>
      <c r="H305" s="143"/>
      <c r="I305" s="143"/>
      <c r="J305" s="144"/>
      <c r="K305" s="145"/>
    </row>
    <row r="306">
      <c r="A306" s="139">
        <v>4</v>
      </c>
      <c r="B306" s="143"/>
      <c r="C306" s="143"/>
      <c r="D306" s="143"/>
      <c r="E306" s="143"/>
      <c r="F306" s="146"/>
      <c r="G306" s="143"/>
      <c r="H306" s="143"/>
      <c r="I306" s="143"/>
      <c r="J306" s="144"/>
      <c r="K306" s="145"/>
    </row>
    <row r="307" ht="15.75">
      <c r="A307" s="147">
        <v>5</v>
      </c>
      <c r="B307" s="148"/>
      <c r="C307" s="148"/>
      <c r="D307" s="148"/>
      <c r="E307" s="148"/>
      <c r="F307" s="149"/>
      <c r="G307" s="148"/>
      <c r="H307" s="148"/>
      <c r="I307" s="148"/>
      <c r="J307" s="151"/>
      <c r="K307" s="152"/>
    </row>
    <row r="308" ht="27.75" customHeight="1">
      <c r="A308" s="158" t="s">
        <v>42</v>
      </c>
      <c r="B308" s="158"/>
      <c r="C308" s="158"/>
      <c r="D308" s="158"/>
      <c r="E308" s="159">
        <f>SUM(E281:E307)</f>
        <v>0</v>
      </c>
      <c r="F308" s="160"/>
      <c r="G308" s="160"/>
      <c r="H308" s="160"/>
      <c r="I308" s="160"/>
      <c r="J308" s="160"/>
      <c r="K308" s="160"/>
    </row>
    <row r="309" ht="27.75" customHeight="1">
      <c r="A309" s="158" t="s">
        <v>43</v>
      </c>
      <c r="B309" s="158"/>
      <c r="C309" s="158"/>
      <c r="D309" s="158"/>
      <c r="E309" s="161">
        <f>E275-E308</f>
        <v>2715</v>
      </c>
      <c r="F309" s="162"/>
      <c r="G309" s="160"/>
      <c r="H309" s="160"/>
      <c r="I309" s="160"/>
      <c r="J309" s="160"/>
      <c r="K309" s="160"/>
    </row>
  </sheetData>
  <mergeCells count="26">
    <mergeCell ref="E1:F1"/>
    <mergeCell ref="A4:D4"/>
    <mergeCell ref="A5:D5"/>
    <mergeCell ref="A7:D7"/>
    <mergeCell ref="A161:D161"/>
    <mergeCell ref="A162:D162"/>
    <mergeCell ref="A164:D164"/>
    <mergeCell ref="A165:D165"/>
    <mergeCell ref="A166:D166"/>
    <mergeCell ref="A212:D212"/>
    <mergeCell ref="A213:D213"/>
    <mergeCell ref="A215:D215"/>
    <mergeCell ref="A216:D216"/>
    <mergeCell ref="A235:D235"/>
    <mergeCell ref="A236:D236"/>
    <mergeCell ref="A238:D238"/>
    <mergeCell ref="A239:D239"/>
    <mergeCell ref="A240:D240"/>
    <mergeCell ref="A271:D271"/>
    <mergeCell ref="A272:D272"/>
    <mergeCell ref="A275:D275"/>
    <mergeCell ref="A276:D276"/>
    <mergeCell ref="A277:D277"/>
    <mergeCell ref="A280:K280"/>
    <mergeCell ref="A308:D308"/>
    <mergeCell ref="A309:D30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1" disablePrompts="0">
        <x14:dataValidation xr:uid="{00450042-0026-4FDE-934A-006D00200012}" type="list" allowBlank="1" errorStyle="stop" imeMode="noControl" operator="between" showDropDown="0" showErrorMessage="1" showInputMessage="1">
          <x14:formula1>
            <xm:f>ДаНет</xm:f>
          </x14:formula1>
          <xm:sqref>H129:H142 H144:H148 H154:H159 H219:H233 H204:H209 H259:H263 H195:H197 H202 H169:H193 H110:H121 H265:H269 H57:H81 H243:H244 H247:H257</xm:sqref>
        </x14:dataValidation>
        <x14:dataValidation xr:uid="{002700D3-00D1-419B-B458-00F700B70025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H82:H109 H245:H246</xm:sqref>
        </x14:dataValidation>
        <x14:dataValidation xr:uid="{00A500E6-00A7-4221-B418-0003006E009D}" type="list" allowBlank="1" errorStyle="stop" imeMode="noControl" operator="between" showDropDown="0" showErrorMessage="1" showInputMessage="1">
          <x14:formula1>
            <xm:f>ДаНет</xm:f>
          </x14:formula1>
          <xm:sqref>H55:H56</xm:sqref>
        </x14:dataValidation>
        <x14:dataValidation xr:uid="{006500F0-006E-4053-B369-00C500630026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H54</xm:sqref>
        </x14:dataValidation>
        <x14:dataValidation xr:uid="{00A900B1-00D3-4383-9066-0091005D008E}" type="list" allowBlank="1" errorStyle="stop" imeMode="noControl" operator="between" showDropDown="0" showErrorMessage="1" showInputMessage="1">
          <x14:formula1>
            <xm:f>ДаНет</xm:f>
          </x14:formula1>
          <xm:sqref>H125:H128</xm:sqref>
        </x14:dataValidation>
        <x14:dataValidation xr:uid="{0017004D-00F4-4379-B093-002100A8008A}" type="list" allowBlank="1" errorStyle="stop" imeMode="noControl" operator="between" showDropDown="0" showErrorMessage="1" showInputMessage="1">
          <x14:formula1>
            <xm:f>ДаНет</xm:f>
          </x14:formula1>
          <xm:sqref>H40:H41</xm:sqref>
        </x14:dataValidation>
        <x14:dataValidation xr:uid="{001E0029-00EE-46F7-8146-000800500063}" type="list" allowBlank="1" errorStyle="stop" imeMode="noControl" operator="between" showDropDown="0" showErrorMessage="1" showInputMessage="1">
          <x14:formula1>
            <xm:f>ДаНет</xm:f>
          </x14:formula1>
          <xm:sqref>H124</xm:sqref>
        </x14:dataValidation>
        <x14:dataValidation xr:uid="{00EB000A-0029-445D-B617-003900EF0051}" type="list" allowBlank="1" errorStyle="stop" imeMode="noControl" operator="between" showDropDown="0" showErrorMessage="1" showInputMessage="1">
          <x14:formula1>
            <xm:f>ДаНет</xm:f>
          </x14:formula1>
          <xm:sqref>H151</xm:sqref>
        </x14:dataValidation>
        <x14:dataValidation xr:uid="{00F900B2-0008-4A6E-A3B0-0057009B0086}" type="list" allowBlank="1" errorStyle="stop" imeMode="noControl" operator="between" showDropDown="0" showErrorMessage="1" showInputMessage="1">
          <x14:formula1>
            <xm:f>ДаНет</xm:f>
          </x14:formula1>
          <xm:sqref>H149 H150</xm:sqref>
        </x14:dataValidation>
        <x14:dataValidation xr:uid="{002B0040-006C-4AC8-A392-001F00D300B0}" type="list" allowBlank="1" errorStyle="stop" imeMode="noControl" operator="between" showDropDown="0" showErrorMessage="1" showInputMessage="1">
          <x14:formula1>
            <xm:f>ДаНет</xm:f>
          </x14:formula1>
          <xm:sqref>H201</xm:sqref>
        </x14:dataValidation>
        <x14:dataValidation xr:uid="{008700D1-00D9-4936-AD94-00AF004800BC}" type="list" allowBlank="1" errorStyle="stop" imeMode="noControl" operator="between" showDropDown="0" showErrorMessage="1" showInputMessage="1">
          <x14:formula1>
            <xm:f>ДаНет</xm:f>
          </x14:formula1>
          <xm:sqref>H210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tabColor theme="3"/>
    <outlinePr applyStyles="0" summaryBelow="1" summaryRight="1" showOutlineSymbols="1"/>
    <pageSetUpPr autoPageBreaks="1" fitToPage="1"/>
  </sheetPr>
  <sheetViews>
    <sheetView showGridLines="0" showRuler="1" topLeftCell="A177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'10'!C2+1</f>
        <v>46092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21128.040000000001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19147.349999999999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21128.040000000001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481897.84000000003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481897.84000000003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172" t="s">
        <v>19</v>
      </c>
      <c r="C195" s="173"/>
      <c r="D195" s="174"/>
      <c r="E195" s="175"/>
      <c r="F195" s="172"/>
      <c r="G195" s="23"/>
      <c r="H195" s="23"/>
      <c r="I195" s="23"/>
      <c r="J195" s="23"/>
      <c r="K195" s="27"/>
    </row>
    <row r="196" ht="33" customHeight="1" outlineLevel="1">
      <c r="A196" s="62">
        <v>1</v>
      </c>
      <c r="B196" s="59" t="s">
        <v>222</v>
      </c>
      <c r="C196" s="637" t="s">
        <v>418</v>
      </c>
      <c r="D196" s="292" t="s">
        <v>419</v>
      </c>
      <c r="E196" s="224">
        <v>2700</v>
      </c>
      <c r="F196" s="292" t="s">
        <v>420</v>
      </c>
      <c r="G196" s="63"/>
      <c r="H196" s="63"/>
      <c r="I196" s="59"/>
      <c r="J196" s="66" t="s">
        <v>47</v>
      </c>
      <c r="K196" s="67"/>
    </row>
    <row r="197" ht="38.25" customHeight="1" outlineLevel="1">
      <c r="A197" s="68">
        <v>2</v>
      </c>
      <c r="B197" s="99" t="s">
        <v>222</v>
      </c>
      <c r="C197" s="99" t="s">
        <v>223</v>
      </c>
      <c r="D197" s="99" t="s">
        <v>227</v>
      </c>
      <c r="E197" s="224">
        <v>306000</v>
      </c>
      <c r="F197" s="61" t="s">
        <v>460</v>
      </c>
      <c r="G197" s="59"/>
      <c r="H197" s="59"/>
      <c r="I197" s="59"/>
      <c r="J197" s="57" t="s">
        <v>47</v>
      </c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308700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173197.84000000003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3945.25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812.29999999999995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3945.25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5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90010-0036-4333-8C1C-002C000A00C8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1F0038-0075-4C6F-AEBE-00C3006700D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1" summaryRight="1" showOutlineSymbols="1"/>
    <pageSetUpPr autoPageBreaks="1" fitToPage="1"/>
  </sheetPr>
  <sheetViews>
    <sheetView showGridLines="0" showRuler="1" topLeftCell="A10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'11'!C2+1</f>
        <v>46093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12.75" customHeight="1">
      <c r="A4" s="638" t="s">
        <v>2</v>
      </c>
      <c r="B4" s="638"/>
      <c r="C4" s="638"/>
      <c r="D4" s="638"/>
      <c r="E4" s="639">
        <f>SUM(E5:E7)</f>
        <v>21128.040000000001</v>
      </c>
      <c r="F4" s="640" t="s">
        <v>44</v>
      </c>
      <c r="G4" s="4"/>
      <c r="H4" s="4"/>
      <c r="I4" s="4"/>
    </row>
    <row r="5" ht="12.75" customHeight="1">
      <c r="A5" s="641" t="s">
        <v>3</v>
      </c>
      <c r="B5" s="641"/>
      <c r="C5" s="641"/>
      <c r="D5" s="641"/>
      <c r="E5" s="642">
        <v>19147.349999999999</v>
      </c>
      <c r="F5" s="8"/>
      <c r="G5" s="4"/>
      <c r="H5" s="4"/>
      <c r="I5" s="4"/>
    </row>
    <row r="6" ht="12.75" customHeight="1">
      <c r="A6" s="641"/>
      <c r="B6" s="641"/>
      <c r="C6" s="641"/>
      <c r="D6" s="641" t="s">
        <v>4</v>
      </c>
      <c r="E6" s="642">
        <v>1357.24</v>
      </c>
      <c r="F6" s="8"/>
      <c r="G6" s="4"/>
      <c r="H6" s="4"/>
      <c r="I6" s="4"/>
    </row>
    <row r="7" ht="12.75" customHeight="1">
      <c r="A7" s="641" t="s">
        <v>5</v>
      </c>
      <c r="B7" s="641"/>
      <c r="C7" s="641"/>
      <c r="D7" s="641"/>
      <c r="E7" s="642">
        <v>623.45000000000005</v>
      </c>
      <c r="F7" s="8"/>
      <c r="G7" s="4"/>
      <c r="H7" s="4"/>
      <c r="I7" s="4"/>
      <c r="J7" s="643"/>
      <c r="K7" s="643"/>
    </row>
    <row r="8" ht="12.75" customHeight="1">
      <c r="A8" s="13"/>
      <c r="B8" s="13"/>
      <c r="C8" s="13"/>
      <c r="D8" s="13"/>
      <c r="E8" s="644"/>
      <c r="F8" s="645"/>
      <c r="G8" s="645"/>
      <c r="H8" s="645"/>
      <c r="I8" s="646"/>
      <c r="J8" s="647"/>
      <c r="K8" s="648"/>
    </row>
    <row r="9" ht="12.75" customHeight="1" outlineLevel="1">
      <c r="A9" s="87" t="s">
        <v>6</v>
      </c>
      <c r="B9" s="87" t="s">
        <v>7</v>
      </c>
      <c r="C9" s="87" t="s">
        <v>8</v>
      </c>
      <c r="D9" s="87" t="s">
        <v>9</v>
      </c>
      <c r="E9" s="88" t="s">
        <v>10</v>
      </c>
      <c r="F9" s="87" t="s">
        <v>11</v>
      </c>
      <c r="G9" s="87" t="s">
        <v>12</v>
      </c>
      <c r="H9" s="89" t="s">
        <v>13</v>
      </c>
      <c r="I9" s="87" t="s">
        <v>14</v>
      </c>
      <c r="J9" s="87" t="s">
        <v>15</v>
      </c>
      <c r="K9" s="87" t="s">
        <v>16</v>
      </c>
    </row>
    <row r="10" s="21" customFormat="1" ht="12.75" customHeight="1" outlineLevel="1">
      <c r="A10" s="445"/>
      <c r="B10" s="446" t="s">
        <v>17</v>
      </c>
      <c r="C10" s="447"/>
      <c r="D10" s="448"/>
      <c r="E10" s="449"/>
      <c r="F10" s="446"/>
      <c r="G10" s="649"/>
      <c r="H10" s="649"/>
      <c r="I10" s="649"/>
      <c r="J10" s="649"/>
      <c r="K10" s="650"/>
    </row>
    <row r="11" ht="12.75" customHeight="1" outlineLevel="1">
      <c r="A11" s="376">
        <v>1</v>
      </c>
      <c r="B11" s="481" t="s">
        <v>57</v>
      </c>
      <c r="C11" s="481" t="s">
        <v>58</v>
      </c>
      <c r="D11" s="481" t="s">
        <v>59</v>
      </c>
      <c r="E11" s="482" t="s">
        <v>60</v>
      </c>
      <c r="F11" s="483" t="s">
        <v>61</v>
      </c>
      <c r="G11" s="182" t="s">
        <v>62</v>
      </c>
      <c r="H11" s="651"/>
      <c r="I11" s="652"/>
      <c r="J11" s="653"/>
      <c r="K11" s="654"/>
    </row>
    <row r="12" ht="12.75" customHeight="1" outlineLevel="1">
      <c r="A12" s="385">
        <v>2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387" t="s">
        <v>66</v>
      </c>
      <c r="G12" s="182" t="s">
        <v>62</v>
      </c>
      <c r="H12" s="490"/>
      <c r="I12" s="42"/>
      <c r="J12" s="655"/>
      <c r="K12" s="44"/>
    </row>
    <row r="13" ht="12.75" customHeight="1" outlineLevel="1">
      <c r="A13" s="38">
        <v>3</v>
      </c>
      <c r="B13" s="491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656"/>
      <c r="J13" s="655"/>
      <c r="K13" s="44"/>
    </row>
    <row r="14" ht="12.75" customHeight="1" outlineLevel="1">
      <c r="A14" s="385">
        <v>4</v>
      </c>
      <c r="B14" s="190" t="s">
        <v>57</v>
      </c>
      <c r="C14" s="190" t="s">
        <v>72</v>
      </c>
      <c r="D14" s="191" t="s">
        <v>73</v>
      </c>
      <c r="E14" s="492" t="s">
        <v>74</v>
      </c>
      <c r="F14" s="190" t="s">
        <v>75</v>
      </c>
      <c r="G14" s="182"/>
      <c r="H14" s="193"/>
      <c r="I14" s="656"/>
      <c r="J14" s="655"/>
      <c r="K14" s="44"/>
    </row>
    <row r="15" ht="12.75" customHeight="1" outlineLevel="1">
      <c r="A15" s="385">
        <v>5</v>
      </c>
      <c r="B15" s="190" t="s">
        <v>57</v>
      </c>
      <c r="C15" s="190" t="s">
        <v>72</v>
      </c>
      <c r="D15" s="190" t="s">
        <v>76</v>
      </c>
      <c r="E15" s="492" t="s">
        <v>77</v>
      </c>
      <c r="F15" s="190" t="s">
        <v>78</v>
      </c>
      <c r="G15" s="182"/>
      <c r="H15" s="193"/>
      <c r="I15" s="656"/>
      <c r="J15" s="655"/>
      <c r="K15" s="44"/>
    </row>
    <row r="16" ht="12.75" customHeight="1" outlineLevel="1">
      <c r="A16" s="385">
        <v>6</v>
      </c>
      <c r="B16" s="190" t="s">
        <v>57</v>
      </c>
      <c r="C16" s="190" t="s">
        <v>79</v>
      </c>
      <c r="D16" s="239" t="s">
        <v>80</v>
      </c>
      <c r="E16" s="495" t="s">
        <v>81</v>
      </c>
      <c r="F16" s="190" t="s">
        <v>82</v>
      </c>
      <c r="G16" s="182" t="s">
        <v>62</v>
      </c>
      <c r="H16" s="193"/>
      <c r="I16" s="656"/>
      <c r="J16" s="655"/>
      <c r="K16" s="44"/>
    </row>
    <row r="17" ht="12.75" customHeight="1" outlineLevel="1">
      <c r="A17" s="385">
        <v>7</v>
      </c>
      <c r="B17" s="190" t="s">
        <v>57</v>
      </c>
      <c r="C17" s="190" t="s">
        <v>79</v>
      </c>
      <c r="D17" s="287" t="s">
        <v>370</v>
      </c>
      <c r="E17" s="497" t="s">
        <v>371</v>
      </c>
      <c r="F17" s="190" t="s">
        <v>372</v>
      </c>
      <c r="G17" s="182"/>
      <c r="H17" s="193"/>
      <c r="I17" s="656"/>
      <c r="J17" s="655"/>
      <c r="K17" s="44"/>
    </row>
    <row r="18" ht="12.75" customHeight="1" outlineLevel="1">
      <c r="A18" s="385">
        <v>8</v>
      </c>
      <c r="B18" s="190" t="s">
        <v>57</v>
      </c>
      <c r="C18" s="190" t="s">
        <v>373</v>
      </c>
      <c r="D18" s="337" t="s">
        <v>374</v>
      </c>
      <c r="E18" s="499" t="s">
        <v>375</v>
      </c>
      <c r="F18" s="190" t="s">
        <v>376</v>
      </c>
      <c r="G18" s="182"/>
      <c r="H18" s="193"/>
      <c r="I18" s="656"/>
      <c r="J18" s="655"/>
      <c r="K18" s="44"/>
    </row>
    <row r="19" ht="12.75" customHeight="1" outlineLevel="1">
      <c r="A19" s="385">
        <v>9</v>
      </c>
      <c r="B19" s="198" t="s">
        <v>83</v>
      </c>
      <c r="C19" s="209" t="s">
        <v>84</v>
      </c>
      <c r="D19" s="657" t="s">
        <v>85</v>
      </c>
      <c r="E19" s="501" t="s">
        <v>86</v>
      </c>
      <c r="F19" s="182" t="s">
        <v>87</v>
      </c>
      <c r="G19" s="182" t="s">
        <v>62</v>
      </c>
      <c r="H19" s="193"/>
      <c r="I19" s="656"/>
      <c r="J19" s="655"/>
      <c r="K19" s="44"/>
    </row>
    <row r="20" ht="12.75" customHeight="1" outlineLevel="1">
      <c r="A20" s="385">
        <v>10</v>
      </c>
      <c r="B20" s="209" t="s">
        <v>83</v>
      </c>
      <c r="C20" s="209" t="s">
        <v>84</v>
      </c>
      <c r="D20" s="657" t="s">
        <v>88</v>
      </c>
      <c r="E20" s="501" t="s">
        <v>89</v>
      </c>
      <c r="F20" s="182" t="s">
        <v>90</v>
      </c>
      <c r="G20" s="182" t="s">
        <v>62</v>
      </c>
      <c r="H20" s="193"/>
      <c r="I20" s="656"/>
      <c r="J20" s="655"/>
      <c r="K20" s="44"/>
    </row>
    <row r="21" ht="12.75" customHeight="1" outlineLevel="1">
      <c r="A21" s="385">
        <v>11</v>
      </c>
      <c r="B21" s="209" t="s">
        <v>83</v>
      </c>
      <c r="C21" s="209" t="s">
        <v>84</v>
      </c>
      <c r="D21" s="657" t="s">
        <v>404</v>
      </c>
      <c r="E21" s="501" t="s">
        <v>89</v>
      </c>
      <c r="F21" s="182" t="s">
        <v>405</v>
      </c>
      <c r="G21" s="182"/>
      <c r="H21" s="193"/>
      <c r="I21" s="656"/>
      <c r="J21" s="655"/>
      <c r="K21" s="44"/>
    </row>
    <row r="22" ht="12.75" customHeight="1" outlineLevel="1">
      <c r="A22" s="385">
        <v>12</v>
      </c>
      <c r="B22" s="209" t="s">
        <v>83</v>
      </c>
      <c r="C22" s="182" t="s">
        <v>91</v>
      </c>
      <c r="D22" s="658" t="s">
        <v>92</v>
      </c>
      <c r="E22" s="659" t="s">
        <v>93</v>
      </c>
      <c r="F22" s="182" t="s">
        <v>94</v>
      </c>
      <c r="G22" s="182" t="s">
        <v>62</v>
      </c>
      <c r="H22" s="193"/>
      <c r="I22" s="656"/>
      <c r="J22" s="655"/>
      <c r="K22" s="44"/>
    </row>
    <row r="23" ht="12.75" customHeight="1" outlineLevel="1">
      <c r="A23" s="385">
        <v>13</v>
      </c>
      <c r="B23" s="198" t="s">
        <v>83</v>
      </c>
      <c r="C23" s="204" t="s">
        <v>91</v>
      </c>
      <c r="D23" s="205" t="s">
        <v>95</v>
      </c>
      <c r="E23" s="505" t="s">
        <v>96</v>
      </c>
      <c r="F23" s="660" t="s">
        <v>94</v>
      </c>
      <c r="G23" s="182" t="s">
        <v>62</v>
      </c>
      <c r="H23" s="400"/>
      <c r="I23" s="42"/>
      <c r="J23" s="655"/>
      <c r="K23" s="44"/>
    </row>
    <row r="24" ht="12.75" customHeight="1" outlineLevel="1">
      <c r="A24" s="385">
        <v>14</v>
      </c>
      <c r="B24" s="198" t="s">
        <v>83</v>
      </c>
      <c r="C24" s="204" t="s">
        <v>91</v>
      </c>
      <c r="D24" s="205" t="s">
        <v>97</v>
      </c>
      <c r="E24" s="505" t="s">
        <v>98</v>
      </c>
      <c r="F24" s="401" t="s">
        <v>94</v>
      </c>
      <c r="G24" s="182" t="s">
        <v>62</v>
      </c>
      <c r="H24" s="202"/>
      <c r="I24" s="42"/>
      <c r="J24" s="655"/>
      <c r="K24" s="44"/>
    </row>
    <row r="25" ht="12.75" customHeight="1" outlineLevel="1">
      <c r="A25" s="385">
        <v>15</v>
      </c>
      <c r="B25" s="198" t="s">
        <v>83</v>
      </c>
      <c r="C25" s="204" t="s">
        <v>91</v>
      </c>
      <c r="D25" s="205" t="s">
        <v>99</v>
      </c>
      <c r="E25" s="505" t="s">
        <v>100</v>
      </c>
      <c r="F25" s="401" t="s">
        <v>94</v>
      </c>
      <c r="G25" s="182" t="s">
        <v>62</v>
      </c>
      <c r="H25" s="202"/>
      <c r="I25" s="42"/>
      <c r="J25" s="655"/>
      <c r="K25" s="44"/>
    </row>
    <row r="26" ht="12.75" customHeight="1" outlineLevel="1">
      <c r="A26" s="385">
        <v>16</v>
      </c>
      <c r="B26" s="198" t="s">
        <v>83</v>
      </c>
      <c r="C26" s="204" t="s">
        <v>91</v>
      </c>
      <c r="D26" s="205" t="s">
        <v>101</v>
      </c>
      <c r="E26" s="505" t="s">
        <v>102</v>
      </c>
      <c r="F26" s="401" t="s">
        <v>94</v>
      </c>
      <c r="G26" s="182" t="s">
        <v>62</v>
      </c>
      <c r="H26" s="202"/>
      <c r="I26" s="42"/>
      <c r="J26" s="655"/>
      <c r="K26" s="44"/>
    </row>
    <row r="27" ht="12.75" customHeight="1" outlineLevel="1">
      <c r="A27" s="385">
        <v>17</v>
      </c>
      <c r="B27" s="198" t="s">
        <v>83</v>
      </c>
      <c r="C27" s="204" t="s">
        <v>91</v>
      </c>
      <c r="D27" s="205" t="s">
        <v>103</v>
      </c>
      <c r="E27" s="505" t="s">
        <v>104</v>
      </c>
      <c r="F27" s="401" t="s">
        <v>94</v>
      </c>
      <c r="G27" s="182" t="s">
        <v>62</v>
      </c>
      <c r="H27" s="202"/>
      <c r="I27" s="42"/>
      <c r="J27" s="655"/>
      <c r="K27" s="44"/>
    </row>
    <row r="28" ht="12.75" customHeight="1" outlineLevel="1">
      <c r="A28" s="385">
        <v>18</v>
      </c>
      <c r="B28" s="198" t="s">
        <v>83</v>
      </c>
      <c r="C28" s="204" t="s">
        <v>91</v>
      </c>
      <c r="D28" s="205" t="s">
        <v>105</v>
      </c>
      <c r="E28" s="505" t="s">
        <v>106</v>
      </c>
      <c r="F28" s="401" t="s">
        <v>94</v>
      </c>
      <c r="G28" s="182" t="s">
        <v>62</v>
      </c>
      <c r="H28" s="202"/>
      <c r="I28" s="42"/>
      <c r="J28" s="655"/>
      <c r="K28" s="44"/>
    </row>
    <row r="29" ht="12.75" customHeight="1" outlineLevel="1">
      <c r="A29" s="385">
        <v>19</v>
      </c>
      <c r="B29" s="198" t="s">
        <v>83</v>
      </c>
      <c r="C29" s="204" t="s">
        <v>91</v>
      </c>
      <c r="D29" s="205" t="s">
        <v>107</v>
      </c>
      <c r="E29" s="505" t="s">
        <v>108</v>
      </c>
      <c r="F29" s="401" t="s">
        <v>94</v>
      </c>
      <c r="G29" s="182" t="s">
        <v>62</v>
      </c>
      <c r="H29" s="202"/>
      <c r="I29" s="42"/>
      <c r="J29" s="43"/>
      <c r="K29" s="384"/>
    </row>
    <row r="30" ht="12.75" customHeight="1" outlineLevel="1">
      <c r="A30" s="385">
        <v>20</v>
      </c>
      <c r="B30" s="198" t="s">
        <v>83</v>
      </c>
      <c r="C30" s="198" t="s">
        <v>109</v>
      </c>
      <c r="D30" s="199" t="s">
        <v>110</v>
      </c>
      <c r="E30" s="507" t="s">
        <v>111</v>
      </c>
      <c r="F30" s="401" t="s">
        <v>112</v>
      </c>
      <c r="G30" s="182" t="s">
        <v>62</v>
      </c>
      <c r="H30" s="202"/>
      <c r="I30" s="42"/>
      <c r="J30" s="43"/>
      <c r="K30" s="44"/>
    </row>
    <row r="31" ht="12.75" customHeight="1" outlineLevel="1">
      <c r="A31" s="385">
        <v>21</v>
      </c>
      <c r="B31" s="198" t="s">
        <v>83</v>
      </c>
      <c r="C31" s="198" t="s">
        <v>109</v>
      </c>
      <c r="D31" s="199" t="s">
        <v>113</v>
      </c>
      <c r="E31" s="507" t="s">
        <v>114</v>
      </c>
      <c r="F31" s="401" t="s">
        <v>115</v>
      </c>
      <c r="G31" s="182" t="s">
        <v>62</v>
      </c>
      <c r="H31" s="202"/>
      <c r="I31" s="42"/>
      <c r="J31" s="43"/>
      <c r="K31" s="44"/>
    </row>
    <row r="32" ht="12.75" customHeight="1" outlineLevel="1">
      <c r="A32" s="385">
        <v>22</v>
      </c>
      <c r="B32" s="209" t="s">
        <v>83</v>
      </c>
      <c r="C32" s="198" t="s">
        <v>109</v>
      </c>
      <c r="D32" s="199" t="s">
        <v>116</v>
      </c>
      <c r="E32" s="507" t="s">
        <v>117</v>
      </c>
      <c r="F32" s="401" t="s">
        <v>118</v>
      </c>
      <c r="G32" s="182" t="s">
        <v>62</v>
      </c>
      <c r="H32" s="202"/>
      <c r="I32" s="42"/>
      <c r="J32" s="43"/>
      <c r="K32" s="44"/>
    </row>
    <row r="33" ht="12.75" customHeight="1" outlineLevel="1">
      <c r="A33" s="385">
        <v>23</v>
      </c>
      <c r="B33" s="182" t="s">
        <v>83</v>
      </c>
      <c r="C33" s="182" t="s">
        <v>119</v>
      </c>
      <c r="D33" s="205" t="s">
        <v>120</v>
      </c>
      <c r="E33" s="508" t="s">
        <v>377</v>
      </c>
      <c r="F33" s="401" t="s">
        <v>122</v>
      </c>
      <c r="G33" s="182" t="s">
        <v>62</v>
      </c>
      <c r="H33" s="202"/>
      <c r="I33" s="42"/>
      <c r="J33" s="43"/>
      <c r="K33" s="44"/>
    </row>
    <row r="34" ht="12.75" customHeight="1" outlineLevel="1">
      <c r="A34" s="385">
        <v>24</v>
      </c>
      <c r="B34" s="209" t="s">
        <v>123</v>
      </c>
      <c r="C34" s="182" t="s">
        <v>124</v>
      </c>
      <c r="D34" s="205" t="s">
        <v>125</v>
      </c>
      <c r="E34" s="507" t="s">
        <v>126</v>
      </c>
      <c r="F34" s="401" t="s">
        <v>127</v>
      </c>
      <c r="G34" s="182" t="s">
        <v>62</v>
      </c>
      <c r="H34" s="202"/>
      <c r="I34" s="42"/>
      <c r="J34" s="43"/>
      <c r="K34" s="44"/>
    </row>
    <row r="35" ht="12.75" customHeight="1" outlineLevel="1">
      <c r="A35" s="385">
        <v>25</v>
      </c>
      <c r="B35" s="209" t="s">
        <v>128</v>
      </c>
      <c r="C35" s="182" t="s">
        <v>37</v>
      </c>
      <c r="D35" s="205" t="s">
        <v>129</v>
      </c>
      <c r="E35" s="507" t="s">
        <v>130</v>
      </c>
      <c r="F35" s="401" t="s">
        <v>131</v>
      </c>
      <c r="G35" s="182" t="s">
        <v>62</v>
      </c>
      <c r="H35" s="202"/>
      <c r="I35" s="42"/>
      <c r="J35" s="43"/>
      <c r="K35" s="44"/>
    </row>
    <row r="36" ht="12.75" customHeight="1" outlineLevel="1">
      <c r="A36" s="385">
        <v>26</v>
      </c>
      <c r="B36" s="182" t="s">
        <v>83</v>
      </c>
      <c r="C36" s="210" t="s">
        <v>132</v>
      </c>
      <c r="D36" s="509" t="s">
        <v>133</v>
      </c>
      <c r="E36" s="488" t="s">
        <v>134</v>
      </c>
      <c r="F36" s="489" t="s">
        <v>135</v>
      </c>
      <c r="G36" s="182" t="s">
        <v>62</v>
      </c>
      <c r="H36" s="202"/>
      <c r="I36" s="42"/>
      <c r="J36" s="43"/>
      <c r="K36" s="44"/>
    </row>
    <row r="37" ht="12.75" customHeight="1" outlineLevel="1">
      <c r="A37" s="385">
        <v>27</v>
      </c>
      <c r="B37" s="182" t="s">
        <v>83</v>
      </c>
      <c r="C37" s="190" t="s">
        <v>136</v>
      </c>
      <c r="D37" s="239" t="s">
        <v>137</v>
      </c>
      <c r="E37" s="510" t="s">
        <v>378</v>
      </c>
      <c r="F37" s="267" t="s">
        <v>139</v>
      </c>
      <c r="G37" s="182" t="s">
        <v>62</v>
      </c>
      <c r="H37" s="202"/>
      <c r="I37" s="42"/>
      <c r="J37" s="43"/>
      <c r="K37" s="44"/>
    </row>
    <row r="38" ht="12.75" customHeight="1" outlineLevel="1">
      <c r="A38" s="38">
        <v>28</v>
      </c>
      <c r="B38" s="215" t="s">
        <v>48</v>
      </c>
      <c r="C38" s="215" t="s">
        <v>49</v>
      </c>
      <c r="D38" s="34" t="s">
        <v>50</v>
      </c>
      <c r="E38" s="513" t="s">
        <v>140</v>
      </c>
      <c r="F38" s="407" t="s">
        <v>51</v>
      </c>
      <c r="G38" s="182" t="s">
        <v>62</v>
      </c>
      <c r="H38" s="202" t="s">
        <v>141</v>
      </c>
      <c r="I38" s="42"/>
      <c r="J38" s="43"/>
      <c r="K38" s="44"/>
    </row>
    <row r="39" ht="12.75" customHeight="1" outlineLevel="1">
      <c r="A39" s="38">
        <v>29</v>
      </c>
      <c r="B39" s="408" t="s">
        <v>48</v>
      </c>
      <c r="C39" s="33" t="s">
        <v>49</v>
      </c>
      <c r="D39" s="34" t="s">
        <v>50</v>
      </c>
      <c r="E39" s="513" t="s">
        <v>142</v>
      </c>
      <c r="F39" s="407" t="s">
        <v>51</v>
      </c>
      <c r="G39" s="514" t="s">
        <v>62</v>
      </c>
      <c r="H39" s="33"/>
      <c r="I39" s="42"/>
      <c r="J39" s="43"/>
      <c r="K39" s="44"/>
    </row>
    <row r="40" ht="12.75" customHeight="1" outlineLevel="1">
      <c r="A40" s="385">
        <v>30</v>
      </c>
      <c r="B40" s="204" t="s">
        <v>83</v>
      </c>
      <c r="C40" s="177" t="s">
        <v>143</v>
      </c>
      <c r="D40" s="39" t="s">
        <v>144</v>
      </c>
      <c r="E40" s="516" t="s">
        <v>145</v>
      </c>
      <c r="F40" s="410" t="s">
        <v>146</v>
      </c>
      <c r="G40" s="514" t="s">
        <v>62</v>
      </c>
      <c r="H40" s="94"/>
      <c r="I40" s="42"/>
      <c r="J40" s="43"/>
      <c r="K40" s="44"/>
    </row>
    <row r="41" ht="12.75" customHeight="1" outlineLevel="1">
      <c r="A41" s="385">
        <v>31</v>
      </c>
      <c r="B41" s="204" t="s">
        <v>83</v>
      </c>
      <c r="C41" s="518" t="s">
        <v>147</v>
      </c>
      <c r="D41" s="41" t="s">
        <v>148</v>
      </c>
      <c r="E41" s="516" t="s">
        <v>379</v>
      </c>
      <c r="F41" s="410" t="s">
        <v>150</v>
      </c>
      <c r="G41" s="514" t="s">
        <v>62</v>
      </c>
      <c r="H41" s="94"/>
      <c r="I41" s="42"/>
      <c r="J41" s="43"/>
      <c r="K41" s="44"/>
    </row>
    <row r="42" ht="12.75" customHeight="1" outlineLevel="1">
      <c r="A42" s="385">
        <v>32</v>
      </c>
      <c r="B42" s="204" t="s">
        <v>83</v>
      </c>
      <c r="C42" s="518" t="s">
        <v>147</v>
      </c>
      <c r="D42" s="39" t="s">
        <v>461</v>
      </c>
      <c r="E42" s="211" t="s">
        <v>462</v>
      </c>
      <c r="F42" s="41" t="s">
        <v>463</v>
      </c>
      <c r="G42" s="551"/>
      <c r="H42" s="42"/>
      <c r="I42" s="42"/>
      <c r="J42" s="43"/>
      <c r="K42" s="44"/>
    </row>
    <row r="43" ht="12.75" customHeight="1" outlineLevel="1">
      <c r="A43" s="385">
        <v>33</v>
      </c>
      <c r="B43" s="204" t="s">
        <v>83</v>
      </c>
      <c r="C43" s="518" t="s">
        <v>147</v>
      </c>
      <c r="D43" s="39" t="s">
        <v>464</v>
      </c>
      <c r="E43" s="211" t="s">
        <v>465</v>
      </c>
      <c r="F43" s="41" t="s">
        <v>466</v>
      </c>
      <c r="G43" s="39"/>
      <c r="H43" s="42"/>
      <c r="I43" s="42"/>
      <c r="J43" s="43"/>
      <c r="K43" s="44"/>
    </row>
    <row r="44" ht="12.75" customHeight="1" outlineLevel="1">
      <c r="A44" s="38">
        <v>34</v>
      </c>
      <c r="B44" s="551"/>
      <c r="C44" s="39"/>
      <c r="D44" s="39"/>
      <c r="E44" s="40"/>
      <c r="F44" s="41"/>
      <c r="G44" s="39"/>
      <c r="H44" s="42"/>
      <c r="I44" s="42"/>
      <c r="J44" s="43"/>
      <c r="K44" s="44"/>
    </row>
    <row r="45" ht="12.7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2.7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2.7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2.7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2.7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2.7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2.7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2.7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2.7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2.7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2.7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2.7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2.7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2.7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2.7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2.7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2.7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2.7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2.7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2.7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2.7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2.7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2.7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2.7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2.7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2.7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2.7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2.7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2.7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2.7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2.7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2.7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2.7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2.7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2.7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2.7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2.7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2.7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2.7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2.7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2.7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2.7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2.7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2.7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2.7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2.7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2.7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2.7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2.7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2.7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2.7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2.7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2.7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2.7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2.7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2.7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2.7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2.7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2.7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2.7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2.7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2.7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2.7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2.7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2.7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2.7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2.7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2.7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2.7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2.7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2.7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2.7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2.7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2.7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2.7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2.7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2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s="347" customFormat="1" ht="12.75" customHeight="1" outlineLevel="1">
      <c r="A122" s="348">
        <v>1</v>
      </c>
      <c r="B122" s="353" t="s">
        <v>209</v>
      </c>
      <c r="C122" s="353" t="s">
        <v>213</v>
      </c>
      <c r="D122" s="353" t="s">
        <v>467</v>
      </c>
      <c r="E122" s="661" t="s">
        <v>468</v>
      </c>
      <c r="F122" s="353" t="s">
        <v>469</v>
      </c>
      <c r="G122" s="662"/>
      <c r="H122" s="349"/>
      <c r="I122" s="107"/>
      <c r="J122" s="354"/>
      <c r="K122" s="355"/>
    </row>
    <row r="123" ht="12.75" customHeight="1" outlineLevel="1">
      <c r="A123" s="256">
        <v>2</v>
      </c>
      <c r="B123" s="249" t="s">
        <v>199</v>
      </c>
      <c r="C123" s="249" t="s">
        <v>200</v>
      </c>
      <c r="D123" s="249" t="s">
        <v>201</v>
      </c>
      <c r="E123" s="250" t="s">
        <v>202</v>
      </c>
      <c r="F123" s="330" t="s">
        <v>203</v>
      </c>
      <c r="G123" s="182" t="s">
        <v>62</v>
      </c>
      <c r="H123" s="245"/>
      <c r="I123" s="59"/>
      <c r="J123" s="57"/>
      <c r="K123" s="58"/>
    </row>
    <row r="124" ht="12.75" customHeight="1" outlineLevel="1">
      <c r="A124" s="68">
        <v>3</v>
      </c>
      <c r="B124" s="253" t="s">
        <v>204</v>
      </c>
      <c r="C124" s="253" t="s">
        <v>205</v>
      </c>
      <c r="D124" s="253" t="s">
        <v>206</v>
      </c>
      <c r="E124" s="552" t="s">
        <v>207</v>
      </c>
      <c r="F124" s="255" t="s">
        <v>208</v>
      </c>
      <c r="G124" s="182" t="s">
        <v>62</v>
      </c>
      <c r="H124" s="245"/>
      <c r="I124" s="59"/>
      <c r="J124" s="57"/>
      <c r="K124" s="58"/>
    </row>
    <row r="125" ht="12.75" customHeight="1" outlineLevel="1">
      <c r="A125" s="68">
        <v>4</v>
      </c>
      <c r="B125" s="553" t="s">
        <v>406</v>
      </c>
      <c r="C125" s="553" t="s">
        <v>407</v>
      </c>
      <c r="D125" s="553" t="s">
        <v>408</v>
      </c>
      <c r="E125" s="254" t="s">
        <v>409</v>
      </c>
      <c r="F125" s="558" t="s">
        <v>410</v>
      </c>
      <c r="G125" s="476"/>
      <c r="H125" s="245"/>
      <c r="I125" s="59"/>
      <c r="J125" s="57"/>
      <c r="K125" s="58"/>
    </row>
    <row r="126" ht="12.75" customHeight="1" outlineLevel="1">
      <c r="A126" s="256">
        <v>5</v>
      </c>
      <c r="B126" s="555" t="s">
        <v>406</v>
      </c>
      <c r="C126" s="555" t="s">
        <v>411</v>
      </c>
      <c r="D126" s="556" t="s">
        <v>412</v>
      </c>
      <c r="E126" s="663" t="s">
        <v>413</v>
      </c>
      <c r="F126" s="558" t="s">
        <v>410</v>
      </c>
      <c r="G126" s="476"/>
      <c r="H126" s="245"/>
      <c r="I126" s="59"/>
      <c r="J126" s="57"/>
      <c r="K126" s="58"/>
    </row>
    <row r="127" ht="12.75" customHeight="1" outlineLevel="1">
      <c r="A127" s="68">
        <v>6</v>
      </c>
      <c r="B127" s="59"/>
      <c r="C127" s="59"/>
      <c r="D127" s="59"/>
      <c r="E127" s="60"/>
      <c r="F127" s="101"/>
      <c r="G127" s="99"/>
      <c r="H127" s="59"/>
      <c r="I127" s="59"/>
      <c r="J127" s="57"/>
      <c r="K127" s="58"/>
    </row>
    <row r="128" ht="12.7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2.7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2.7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2.7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2.7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2.7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2.7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2.7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2.7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2.7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2.7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2.7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2.7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2.7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2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2.75" customHeight="1" outlineLevel="1">
      <c r="A143" s="62">
        <v>1</v>
      </c>
      <c r="B143" s="664" t="s">
        <v>153</v>
      </c>
      <c r="C143" s="664" t="s">
        <v>470</v>
      </c>
      <c r="D143" s="664" t="s">
        <v>471</v>
      </c>
      <c r="E143" s="234">
        <v>2700</v>
      </c>
      <c r="F143" s="665" t="s">
        <v>361</v>
      </c>
      <c r="G143" s="63"/>
      <c r="H143" s="63"/>
      <c r="I143" s="63"/>
      <c r="J143" s="66" t="s">
        <v>47</v>
      </c>
      <c r="K143" s="67"/>
    </row>
    <row r="144" ht="12.75" customHeight="1" outlineLevel="1">
      <c r="A144" s="68">
        <v>2</v>
      </c>
      <c r="B144" s="572" t="s">
        <v>153</v>
      </c>
      <c r="C144" s="276" t="s">
        <v>223</v>
      </c>
      <c r="D144" s="573" t="s">
        <v>227</v>
      </c>
      <c r="E144" s="574" t="s">
        <v>242</v>
      </c>
      <c r="F144" s="572" t="s">
        <v>228</v>
      </c>
      <c r="G144" s="575"/>
      <c r="H144" s="575"/>
      <c r="I144" s="575" t="s">
        <v>231</v>
      </c>
      <c r="J144" s="576"/>
      <c r="K144" s="577" t="s">
        <v>230</v>
      </c>
    </row>
    <row r="145" ht="12.75" customHeight="1" outlineLevel="1">
      <c r="A145" s="68">
        <v>3</v>
      </c>
      <c r="B145" s="76" t="s">
        <v>153</v>
      </c>
      <c r="C145" s="300" t="s">
        <v>243</v>
      </c>
      <c r="D145" s="61" t="s">
        <v>244</v>
      </c>
      <c r="E145" s="301" t="s">
        <v>245</v>
      </c>
      <c r="F145" s="61" t="s">
        <v>246</v>
      </c>
      <c r="G145" s="99"/>
      <c r="H145" s="99" t="s">
        <v>141</v>
      </c>
      <c r="I145" s="99"/>
      <c r="J145" s="302"/>
      <c r="K145" s="303"/>
    </row>
    <row r="146" ht="12.75" customHeight="1" outlineLevel="1">
      <c r="A146" s="68">
        <v>4</v>
      </c>
      <c r="B146" s="281" t="s">
        <v>153</v>
      </c>
      <c r="C146" s="286" t="s">
        <v>233</v>
      </c>
      <c r="D146" s="287" t="s">
        <v>247</v>
      </c>
      <c r="E146" s="301" t="s">
        <v>248</v>
      </c>
      <c r="F146" s="61" t="s">
        <v>249</v>
      </c>
      <c r="G146" s="59"/>
      <c r="H146" s="59" t="s">
        <v>141</v>
      </c>
      <c r="I146" s="59"/>
      <c r="J146" s="57"/>
      <c r="K146" s="58"/>
    </row>
    <row r="147" ht="12.75" customHeight="1" outlineLevel="1">
      <c r="A147" s="77">
        <v>5</v>
      </c>
      <c r="B147" s="76" t="s">
        <v>153</v>
      </c>
      <c r="C147" s="300" t="s">
        <v>243</v>
      </c>
      <c r="D147" s="666" t="s">
        <v>421</v>
      </c>
      <c r="E147" s="667">
        <v>3569.0100000000002</v>
      </c>
      <c r="F147" s="668" t="s">
        <v>423</v>
      </c>
      <c r="G147" s="669"/>
      <c r="H147" s="56" t="s">
        <v>141</v>
      </c>
      <c r="I147" s="56"/>
      <c r="J147" s="80" t="s">
        <v>47</v>
      </c>
      <c r="K147" s="81"/>
    </row>
    <row r="148" s="21" customFormat="1" ht="12.75" customHeight="1" outlineLevel="1">
      <c r="A148" s="22"/>
      <c r="B148" s="465" t="s">
        <v>20</v>
      </c>
      <c r="C148" s="585"/>
      <c r="D148" s="586"/>
      <c r="E148" s="587"/>
      <c r="F148" s="346"/>
      <c r="G148" s="172"/>
      <c r="H148" s="23"/>
      <c r="I148" s="23"/>
      <c r="J148" s="23"/>
      <c r="K148" s="27"/>
    </row>
    <row r="149" ht="12.75" customHeight="1" outlineLevel="1">
      <c r="A149" s="68">
        <v>1</v>
      </c>
      <c r="B149" s="588" t="s">
        <v>45</v>
      </c>
      <c r="C149" s="589" t="s">
        <v>256</v>
      </c>
      <c r="D149" s="589"/>
      <c r="E149" s="443" t="s">
        <v>424</v>
      </c>
      <c r="F149" s="590" t="s">
        <v>257</v>
      </c>
      <c r="G149" s="589"/>
      <c r="H149" s="63"/>
      <c r="I149" s="63"/>
      <c r="J149" s="66"/>
      <c r="K149" s="67"/>
    </row>
    <row r="150" ht="12.7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2.7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2.7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2.7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2.75" customHeight="1" outlineLevel="1">
      <c r="A154" s="77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12.75" customHeight="1">
      <c r="A155" s="82" t="s">
        <v>21</v>
      </c>
      <c r="B155" s="83"/>
      <c r="C155" s="83"/>
      <c r="D155" s="84"/>
      <c r="E155" s="85">
        <f>SUM(E10:E154)</f>
        <v>6269.0100000000002</v>
      </c>
      <c r="F155" s="21"/>
      <c r="G155" s="21"/>
      <c r="H155" s="21"/>
      <c r="I155" s="21"/>
      <c r="J155" s="21"/>
      <c r="K155" s="21"/>
    </row>
    <row r="156" s="21" customFormat="1" ht="12.75" customHeight="1">
      <c r="A156" s="82" t="s">
        <v>22</v>
      </c>
      <c r="B156" s="83"/>
      <c r="C156" s="83"/>
      <c r="D156" s="84"/>
      <c r="E156" s="85">
        <f>E4-E155</f>
        <v>14859.030000000001</v>
      </c>
      <c r="F156" s="86"/>
      <c r="G156" s="21"/>
      <c r="H156" s="21"/>
      <c r="I156" s="21"/>
      <c r="J156" s="21"/>
      <c r="K156" s="21"/>
    </row>
    <row r="157" ht="12.75" customHeight="1"/>
    <row r="158" ht="12.75" customHeight="1">
      <c r="A158" s="9" t="s">
        <v>23</v>
      </c>
      <c r="B158" s="10"/>
      <c r="C158" s="10"/>
      <c r="D158" s="11"/>
      <c r="E158" s="12">
        <f>SUM(E159:E160)</f>
        <v>472098.21999999997</v>
      </c>
      <c r="F158" s="163" t="s">
        <v>44</v>
      </c>
      <c r="G158" s="13"/>
      <c r="H158" s="13"/>
      <c r="I158" s="13"/>
    </row>
    <row r="159" ht="12.7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2.75" customHeight="1">
      <c r="A160" s="14" t="s">
        <v>24</v>
      </c>
      <c r="B160" s="15"/>
      <c r="C160" s="15"/>
      <c r="D160" s="16"/>
      <c r="E160" s="17">
        <v>472098.21999999997</v>
      </c>
      <c r="F160" s="13"/>
      <c r="G160" s="13"/>
      <c r="H160" s="13"/>
      <c r="I160" s="13"/>
    </row>
    <row r="161" ht="12.75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12.7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12.7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2.75" customHeight="1" outlineLevel="1">
      <c r="A164" s="62">
        <v>1</v>
      </c>
      <c r="B164" s="39" t="s">
        <v>259</v>
      </c>
      <c r="C164" s="39" t="s">
        <v>260</v>
      </c>
      <c r="D164" s="39" t="s">
        <v>261</v>
      </c>
      <c r="E164" s="211" t="s">
        <v>262</v>
      </c>
      <c r="F164" s="41" t="s">
        <v>263</v>
      </c>
      <c r="G164" s="39"/>
      <c r="H164" s="42"/>
      <c r="I164" s="59"/>
      <c r="J164" s="66"/>
      <c r="K164" s="67"/>
    </row>
    <row r="165" ht="12.75" customHeight="1" outlineLevel="1">
      <c r="A165" s="68">
        <v>2</v>
      </c>
      <c r="B165" s="39" t="s">
        <v>259</v>
      </c>
      <c r="C165" s="39" t="s">
        <v>260</v>
      </c>
      <c r="D165" s="39" t="s">
        <v>472</v>
      </c>
      <c r="E165" s="211" t="s">
        <v>473</v>
      </c>
      <c r="F165" s="41" t="s">
        <v>474</v>
      </c>
      <c r="G165" s="39"/>
      <c r="H165" s="42"/>
      <c r="I165" s="59"/>
      <c r="J165" s="57"/>
      <c r="K165" s="58"/>
    </row>
    <row r="166" ht="12.75" customHeight="1" outlineLevel="1">
      <c r="A166" s="68"/>
      <c r="B166" s="39" t="s">
        <v>259</v>
      </c>
      <c r="C166" s="39" t="s">
        <v>260</v>
      </c>
      <c r="D166" s="39" t="s">
        <v>264</v>
      </c>
      <c r="E166" s="211" t="s">
        <v>475</v>
      </c>
      <c r="F166" s="41" t="s">
        <v>266</v>
      </c>
      <c r="G166" s="39"/>
      <c r="H166" s="42"/>
      <c r="I166" s="59"/>
      <c r="J166" s="57"/>
      <c r="K166" s="58"/>
    </row>
    <row r="167" ht="12.75" customHeight="1" outlineLevel="1">
      <c r="A167" s="68">
        <v>3</v>
      </c>
      <c r="B167" s="39" t="s">
        <v>259</v>
      </c>
      <c r="C167" s="39" t="s">
        <v>267</v>
      </c>
      <c r="D167" s="39" t="s">
        <v>268</v>
      </c>
      <c r="E167" s="211" t="s">
        <v>476</v>
      </c>
      <c r="F167" s="41" t="s">
        <v>270</v>
      </c>
      <c r="G167" s="39"/>
      <c r="H167" s="42"/>
      <c r="I167" s="59"/>
      <c r="J167" s="57"/>
      <c r="K167" s="58"/>
    </row>
    <row r="168" ht="12.75" customHeight="1" outlineLevel="1">
      <c r="A168" s="68">
        <v>4</v>
      </c>
      <c r="B168" s="39" t="s">
        <v>259</v>
      </c>
      <c r="C168" s="39" t="s">
        <v>109</v>
      </c>
      <c r="D168" s="39" t="s">
        <v>271</v>
      </c>
      <c r="E168" s="314" t="s">
        <v>272</v>
      </c>
      <c r="F168" s="315" t="s">
        <v>273</v>
      </c>
      <c r="G168" s="177"/>
      <c r="H168" s="42"/>
      <c r="I168" s="59"/>
      <c r="J168" s="57"/>
      <c r="K168" s="58"/>
    </row>
    <row r="169" ht="12.75" customHeight="1" outlineLevel="1">
      <c r="A169" s="68">
        <v>5</v>
      </c>
      <c r="B169" s="185" t="s">
        <v>274</v>
      </c>
      <c r="C169" s="39" t="s">
        <v>275</v>
      </c>
      <c r="D169" s="185" t="s">
        <v>276</v>
      </c>
      <c r="E169" s="314" t="s">
        <v>277</v>
      </c>
      <c r="F169" s="316" t="s">
        <v>278</v>
      </c>
      <c r="G169" s="177"/>
      <c r="H169" s="42"/>
      <c r="I169" s="59"/>
      <c r="J169" s="57"/>
      <c r="K169" s="58"/>
    </row>
    <row r="170" ht="12.75" customHeight="1" outlineLevel="1">
      <c r="A170" s="256">
        <v>6</v>
      </c>
      <c r="B170" s="317" t="s">
        <v>279</v>
      </c>
      <c r="C170" s="318" t="s">
        <v>136</v>
      </c>
      <c r="D170" s="319" t="s">
        <v>280</v>
      </c>
      <c r="E170" s="320" t="s">
        <v>281</v>
      </c>
      <c r="F170" s="319" t="s">
        <v>282</v>
      </c>
      <c r="G170" s="177"/>
      <c r="H170" s="42"/>
      <c r="I170" s="59"/>
      <c r="J170" s="57"/>
      <c r="K170" s="58"/>
    </row>
    <row r="171" ht="12.75" customHeight="1" outlineLevel="1">
      <c r="A171" s="256">
        <v>7</v>
      </c>
      <c r="B171" s="321" t="s">
        <v>283</v>
      </c>
      <c r="C171" s="318" t="s">
        <v>284</v>
      </c>
      <c r="D171" s="322" t="s">
        <v>285</v>
      </c>
      <c r="E171" s="320" t="s">
        <v>286</v>
      </c>
      <c r="F171" s="322" t="s">
        <v>287</v>
      </c>
      <c r="G171" s="177"/>
      <c r="H171" s="42"/>
      <c r="I171" s="59"/>
      <c r="J171" s="57"/>
      <c r="K171" s="58"/>
    </row>
    <row r="172" ht="12.75" customHeight="1" outlineLevel="1">
      <c r="A172" s="68">
        <v>8</v>
      </c>
      <c r="B172" s="185" t="s">
        <v>259</v>
      </c>
      <c r="C172" s="185" t="s">
        <v>288</v>
      </c>
      <c r="D172" s="323" t="s">
        <v>289</v>
      </c>
      <c r="E172" s="324" t="s">
        <v>277</v>
      </c>
      <c r="F172" s="316" t="s">
        <v>290</v>
      </c>
      <c r="G172" s="177"/>
      <c r="H172" s="42"/>
      <c r="I172" s="59"/>
      <c r="J172" s="57"/>
      <c r="K172" s="58"/>
    </row>
    <row r="173" ht="12.75" customHeight="1" outlineLevel="1">
      <c r="A173" s="256">
        <v>9</v>
      </c>
      <c r="B173" s="210" t="s">
        <v>259</v>
      </c>
      <c r="C173" s="210" t="s">
        <v>288</v>
      </c>
      <c r="D173" s="210" t="s">
        <v>291</v>
      </c>
      <c r="E173" s="325" t="s">
        <v>277</v>
      </c>
      <c r="F173" s="228" t="s">
        <v>292</v>
      </c>
      <c r="G173" s="177"/>
      <c r="H173" s="42"/>
      <c r="I173" s="59"/>
      <c r="J173" s="57"/>
      <c r="K173" s="58"/>
    </row>
    <row r="174" ht="12.75" customHeight="1" outlineLevel="1">
      <c r="A174" s="256">
        <v>10</v>
      </c>
      <c r="B174" s="210" t="s">
        <v>259</v>
      </c>
      <c r="C174" s="210" t="s">
        <v>288</v>
      </c>
      <c r="D174" s="228" t="s">
        <v>293</v>
      </c>
      <c r="E174" s="326" t="s">
        <v>277</v>
      </c>
      <c r="F174" s="228" t="s">
        <v>294</v>
      </c>
      <c r="G174" s="177"/>
      <c r="H174" s="42"/>
      <c r="I174" s="59"/>
      <c r="J174" s="57"/>
      <c r="K174" s="58"/>
    </row>
    <row r="175" ht="12.75" customHeight="1" outlineLevel="1">
      <c r="A175" s="256">
        <v>11</v>
      </c>
      <c r="B175" s="210" t="s">
        <v>259</v>
      </c>
      <c r="C175" s="210" t="s">
        <v>288</v>
      </c>
      <c r="D175" s="228" t="s">
        <v>295</v>
      </c>
      <c r="E175" s="326" t="s">
        <v>277</v>
      </c>
      <c r="F175" s="228" t="s">
        <v>296</v>
      </c>
      <c r="G175" s="177"/>
      <c r="H175" s="42"/>
      <c r="I175" s="59"/>
      <c r="J175" s="57"/>
      <c r="K175" s="58"/>
    </row>
    <row r="176" ht="12.75" customHeight="1" outlineLevel="1">
      <c r="A176" s="256">
        <v>12</v>
      </c>
      <c r="B176" s="327" t="s">
        <v>259</v>
      </c>
      <c r="C176" s="210" t="s">
        <v>288</v>
      </c>
      <c r="D176" s="228" t="s">
        <v>297</v>
      </c>
      <c r="E176" s="326" t="s">
        <v>277</v>
      </c>
      <c r="F176" s="228" t="s">
        <v>298</v>
      </c>
      <c r="G176" s="177"/>
      <c r="H176" s="42"/>
      <c r="I176" s="59"/>
      <c r="J176" s="57"/>
      <c r="K176" s="58"/>
    </row>
    <row r="177" ht="12.75" customHeight="1" outlineLevel="1">
      <c r="A177" s="256">
        <v>13</v>
      </c>
      <c r="B177" s="328" t="s">
        <v>259</v>
      </c>
      <c r="C177" s="329" t="s">
        <v>275</v>
      </c>
      <c r="D177" s="330" t="s">
        <v>299</v>
      </c>
      <c r="E177" s="331" t="s">
        <v>277</v>
      </c>
      <c r="F177" s="330" t="s">
        <v>300</v>
      </c>
      <c r="G177" s="177"/>
      <c r="H177" s="42"/>
      <c r="I177" s="59"/>
      <c r="J177" s="57"/>
      <c r="K177" s="58"/>
    </row>
    <row r="178" ht="12.75" customHeight="1" outlineLevel="1">
      <c r="A178" s="68">
        <v>14</v>
      </c>
      <c r="B178" s="39" t="s">
        <v>259</v>
      </c>
      <c r="C178" s="42" t="s">
        <v>275</v>
      </c>
      <c r="D178" s="94" t="s">
        <v>301</v>
      </c>
      <c r="E178" s="332" t="s">
        <v>277</v>
      </c>
      <c r="F178" s="333" t="s">
        <v>302</v>
      </c>
      <c r="G178" s="177"/>
      <c r="H178" s="42"/>
      <c r="I178" s="59"/>
      <c r="J178" s="57"/>
      <c r="K178" s="58"/>
    </row>
    <row r="179" ht="12.75" customHeight="1" outlineLevel="1">
      <c r="A179" s="68">
        <v>15</v>
      </c>
      <c r="B179" s="39" t="s">
        <v>259</v>
      </c>
      <c r="C179" s="39" t="s">
        <v>303</v>
      </c>
      <c r="D179" s="39" t="s">
        <v>304</v>
      </c>
      <c r="E179" s="314" t="s">
        <v>477</v>
      </c>
      <c r="F179" s="315" t="s">
        <v>306</v>
      </c>
      <c r="G179" s="177"/>
      <c r="H179" s="42"/>
      <c r="I179" s="59"/>
      <c r="J179" s="57"/>
      <c r="K179" s="58"/>
    </row>
    <row r="180" ht="12.75" customHeight="1" outlineLevel="1">
      <c r="A180" s="68">
        <v>16</v>
      </c>
      <c r="B180" s="39" t="s">
        <v>279</v>
      </c>
      <c r="C180" s="334" t="s">
        <v>136</v>
      </c>
      <c r="D180" s="335" t="s">
        <v>311</v>
      </c>
      <c r="E180" s="324" t="s">
        <v>312</v>
      </c>
      <c r="F180" s="336" t="s">
        <v>313</v>
      </c>
      <c r="G180" s="177"/>
      <c r="H180" s="42"/>
      <c r="I180" s="59"/>
      <c r="J180" s="57"/>
      <c r="K180" s="58"/>
    </row>
    <row r="181" ht="12.75" customHeight="1" outlineLevel="1">
      <c r="A181" s="68">
        <v>18</v>
      </c>
      <c r="B181" s="42" t="s">
        <v>259</v>
      </c>
      <c r="C181" s="42" t="s">
        <v>267</v>
      </c>
      <c r="D181" s="94" t="s">
        <v>317</v>
      </c>
      <c r="E181" s="332" t="s">
        <v>388</v>
      </c>
      <c r="F181" s="333" t="s">
        <v>319</v>
      </c>
      <c r="G181" s="216"/>
      <c r="H181" s="42"/>
      <c r="I181" s="59"/>
      <c r="J181" s="57"/>
      <c r="K181" s="58"/>
    </row>
    <row r="182" ht="12.75" customHeight="1" outlineLevel="1">
      <c r="A182" s="68">
        <v>19</v>
      </c>
      <c r="B182" s="99" t="s">
        <v>259</v>
      </c>
      <c r="C182" s="99" t="s">
        <v>325</v>
      </c>
      <c r="D182" s="101" t="s">
        <v>326</v>
      </c>
      <c r="E182" s="332" t="s">
        <v>327</v>
      </c>
      <c r="F182" s="337" t="s">
        <v>328</v>
      </c>
      <c r="G182" s="216"/>
      <c r="H182" s="95"/>
      <c r="I182" s="98"/>
      <c r="J182" s="57"/>
      <c r="K182" s="58"/>
    </row>
    <row r="183" ht="12.75" customHeight="1" outlineLevel="1">
      <c r="A183" s="68">
        <v>20</v>
      </c>
      <c r="B183" s="551" t="s">
        <v>259</v>
      </c>
      <c r="C183" s="551" t="s">
        <v>329</v>
      </c>
      <c r="D183" s="594" t="s">
        <v>330</v>
      </c>
      <c r="E183" s="595" t="s">
        <v>331</v>
      </c>
      <c r="F183" s="48" t="s">
        <v>332</v>
      </c>
      <c r="G183" s="42"/>
      <c r="H183" s="95"/>
      <c r="I183" s="98"/>
      <c r="J183" s="57"/>
      <c r="K183" s="58"/>
    </row>
    <row r="184" ht="12.75" customHeight="1" outlineLevel="1">
      <c r="A184" s="68">
        <v>21</v>
      </c>
      <c r="B184" s="551" t="s">
        <v>259</v>
      </c>
      <c r="C184" s="551" t="s">
        <v>329</v>
      </c>
      <c r="D184" s="594" t="s">
        <v>333</v>
      </c>
      <c r="E184" s="670" t="s">
        <v>334</v>
      </c>
      <c r="F184" s="228" t="s">
        <v>335</v>
      </c>
      <c r="G184" s="216"/>
      <c r="H184" s="95"/>
      <c r="I184" s="98"/>
      <c r="J184" s="57"/>
      <c r="K184" s="58"/>
    </row>
    <row r="185" ht="12.75" customHeight="1" outlineLevel="1">
      <c r="A185" s="68">
        <v>22</v>
      </c>
      <c r="B185" s="551" t="s">
        <v>283</v>
      </c>
      <c r="C185" s="551" t="s">
        <v>336</v>
      </c>
      <c r="D185" s="594" t="s">
        <v>308</v>
      </c>
      <c r="E185" s="670" t="s">
        <v>337</v>
      </c>
      <c r="F185" s="671" t="s">
        <v>338</v>
      </c>
      <c r="G185" s="216"/>
      <c r="H185" s="95"/>
      <c r="I185" s="98"/>
      <c r="J185" s="57"/>
      <c r="K185" s="58"/>
    </row>
    <row r="186" ht="12.75" customHeight="1" outlineLevel="1">
      <c r="A186" s="68">
        <v>23</v>
      </c>
      <c r="B186" s="551" t="s">
        <v>259</v>
      </c>
      <c r="C186" s="551" t="s">
        <v>329</v>
      </c>
      <c r="D186" s="594" t="s">
        <v>478</v>
      </c>
      <c r="E186" s="670" t="s">
        <v>479</v>
      </c>
      <c r="F186" s="228" t="s">
        <v>480</v>
      </c>
      <c r="G186" s="216"/>
      <c r="H186" s="95"/>
      <c r="I186" s="98"/>
      <c r="J186" s="57"/>
      <c r="K186" s="58"/>
    </row>
    <row r="187" ht="12.75" customHeight="1" outlineLevel="1">
      <c r="A187" s="68">
        <v>24</v>
      </c>
      <c r="B187" s="551" t="s">
        <v>259</v>
      </c>
      <c r="C187" s="551" t="s">
        <v>329</v>
      </c>
      <c r="D187" s="594" t="s">
        <v>481</v>
      </c>
      <c r="E187" s="670" t="s">
        <v>482</v>
      </c>
      <c r="F187" s="228" t="s">
        <v>483</v>
      </c>
      <c r="G187" s="216"/>
      <c r="H187" s="95"/>
      <c r="I187" s="98"/>
      <c r="J187" s="57"/>
      <c r="K187" s="58"/>
    </row>
    <row r="188" ht="12.75" customHeight="1" outlineLevel="1">
      <c r="A188" s="68">
        <v>25</v>
      </c>
      <c r="B188" s="95" t="s">
        <v>283</v>
      </c>
      <c r="C188" s="95" t="s">
        <v>336</v>
      </c>
      <c r="D188" s="97" t="s">
        <v>339</v>
      </c>
      <c r="E188" s="338" t="s">
        <v>337</v>
      </c>
      <c r="F188" s="599" t="s">
        <v>341</v>
      </c>
      <c r="G188" s="216"/>
      <c r="H188" s="95"/>
      <c r="I188" s="98"/>
      <c r="J188" s="57"/>
      <c r="K188" s="58"/>
    </row>
    <row r="189" ht="12.75" customHeight="1" outlineLevel="1">
      <c r="A189" s="68">
        <v>26</v>
      </c>
      <c r="B189" s="551" t="s">
        <v>259</v>
      </c>
      <c r="C189" s="551" t="s">
        <v>260</v>
      </c>
      <c r="D189" s="594" t="s">
        <v>484</v>
      </c>
      <c r="E189" s="670" t="s">
        <v>485</v>
      </c>
      <c r="F189" s="228" t="s">
        <v>486</v>
      </c>
      <c r="G189" s="216"/>
      <c r="H189" s="95"/>
      <c r="I189" s="98"/>
      <c r="J189" s="57"/>
      <c r="K189" s="58"/>
    </row>
    <row r="190" ht="12.75" customHeight="1" outlineLevel="1">
      <c r="A190" s="68">
        <v>27</v>
      </c>
      <c r="B190" s="551" t="s">
        <v>283</v>
      </c>
      <c r="C190" s="551" t="s">
        <v>307</v>
      </c>
      <c r="D190" s="594" t="s">
        <v>308</v>
      </c>
      <c r="E190" s="670" t="s">
        <v>487</v>
      </c>
      <c r="F190" s="228" t="s">
        <v>310</v>
      </c>
      <c r="G190" s="216"/>
      <c r="H190" s="95"/>
      <c r="I190" s="98"/>
      <c r="J190" s="57"/>
      <c r="K190" s="58"/>
    </row>
    <row r="191" ht="12.75" customHeight="1" outlineLevel="1">
      <c r="A191" s="672">
        <v>28</v>
      </c>
      <c r="B191" s="551" t="s">
        <v>259</v>
      </c>
      <c r="C191" s="551" t="s">
        <v>303</v>
      </c>
      <c r="D191" s="594" t="s">
        <v>304</v>
      </c>
      <c r="E191" s="470">
        <v>150000</v>
      </c>
      <c r="F191" s="210" t="s">
        <v>306</v>
      </c>
      <c r="G191" s="245" t="s">
        <v>488</v>
      </c>
      <c r="H191" s="99" t="s">
        <v>141</v>
      </c>
      <c r="I191" s="98"/>
      <c r="J191" s="57" t="s">
        <v>47</v>
      </c>
      <c r="K191" s="58"/>
    </row>
    <row r="192" ht="12.75" customHeight="1" outlineLevel="1">
      <c r="A192" s="672">
        <v>29</v>
      </c>
      <c r="B192" s="551" t="s">
        <v>320</v>
      </c>
      <c r="C192" s="551" t="s">
        <v>321</v>
      </c>
      <c r="D192" s="594" t="s">
        <v>322</v>
      </c>
      <c r="E192" s="470">
        <v>136659.67999999999</v>
      </c>
      <c r="F192" s="228" t="s">
        <v>324</v>
      </c>
      <c r="G192" s="245" t="s">
        <v>488</v>
      </c>
      <c r="H192" s="99" t="s">
        <v>141</v>
      </c>
      <c r="I192" s="98"/>
      <c r="J192" s="57" t="s">
        <v>47</v>
      </c>
      <c r="K192" s="58"/>
    </row>
    <row r="193" ht="12.75" customHeight="1" outlineLevel="1">
      <c r="A193" s="672">
        <v>30</v>
      </c>
      <c r="B193" s="551" t="s">
        <v>259</v>
      </c>
      <c r="C193" s="551" t="s">
        <v>260</v>
      </c>
      <c r="D193" s="594" t="s">
        <v>472</v>
      </c>
      <c r="E193" s="673">
        <v>50000</v>
      </c>
      <c r="F193" s="228" t="s">
        <v>474</v>
      </c>
      <c r="G193" s="245" t="s">
        <v>488</v>
      </c>
      <c r="H193" s="99" t="s">
        <v>141</v>
      </c>
      <c r="I193" s="98"/>
      <c r="J193" s="57" t="s">
        <v>47</v>
      </c>
      <c r="K193" s="58"/>
    </row>
    <row r="194" ht="12.75" customHeight="1" outlineLevel="1">
      <c r="A194" s="672">
        <v>31</v>
      </c>
      <c r="B194" s="551" t="s">
        <v>259</v>
      </c>
      <c r="C194" s="551" t="s">
        <v>267</v>
      </c>
      <c r="D194" s="594" t="s">
        <v>268</v>
      </c>
      <c r="E194" s="673">
        <v>70000</v>
      </c>
      <c r="F194" s="228" t="s">
        <v>270</v>
      </c>
      <c r="G194" s="245" t="s">
        <v>488</v>
      </c>
      <c r="H194" s="99" t="s">
        <v>141</v>
      </c>
      <c r="I194" s="98"/>
      <c r="J194" s="57" t="s">
        <v>47</v>
      </c>
      <c r="K194" s="58"/>
    </row>
    <row r="195" ht="12.75" customHeight="1" outlineLevel="1">
      <c r="A195" s="672">
        <v>32</v>
      </c>
      <c r="B195" s="551" t="s">
        <v>283</v>
      </c>
      <c r="C195" s="551" t="s">
        <v>307</v>
      </c>
      <c r="D195" s="594" t="s">
        <v>308</v>
      </c>
      <c r="E195" s="673">
        <v>50000</v>
      </c>
      <c r="F195" s="228" t="s">
        <v>310</v>
      </c>
      <c r="G195" s="245" t="s">
        <v>488</v>
      </c>
      <c r="H195" s="99" t="s">
        <v>141</v>
      </c>
      <c r="I195" s="98"/>
      <c r="J195" s="57" t="s">
        <v>47</v>
      </c>
      <c r="K195" s="58"/>
    </row>
    <row r="196" ht="12.75" customHeight="1" outlineLevel="1">
      <c r="A196" s="672">
        <v>33</v>
      </c>
      <c r="B196" s="551"/>
      <c r="C196" s="551"/>
      <c r="D196" s="594"/>
      <c r="E196" s="674"/>
      <c r="F196" s="228"/>
      <c r="G196" s="245"/>
      <c r="H196" s="99"/>
      <c r="I196" s="98"/>
      <c r="J196" s="57"/>
      <c r="K196" s="58"/>
    </row>
    <row r="197" ht="12.75" customHeight="1" outlineLevel="1">
      <c r="A197" s="672">
        <v>34</v>
      </c>
      <c r="B197" s="551"/>
      <c r="C197" s="551"/>
      <c r="D197" s="594"/>
      <c r="E197" s="675"/>
      <c r="F197" s="228"/>
      <c r="G197" s="245"/>
      <c r="H197" s="99"/>
      <c r="I197" s="98"/>
      <c r="J197" s="57"/>
      <c r="K197" s="58"/>
    </row>
    <row r="198" ht="12.75" customHeight="1" outlineLevel="1">
      <c r="A198" s="672">
        <v>35</v>
      </c>
      <c r="B198" s="551"/>
      <c r="C198" s="551"/>
      <c r="D198" s="594"/>
      <c r="E198" s="674"/>
      <c r="F198" s="228"/>
      <c r="G198" s="245"/>
      <c r="H198" s="99"/>
      <c r="I198" s="98"/>
      <c r="J198" s="57"/>
      <c r="K198" s="58"/>
    </row>
    <row r="199" ht="12.75" customHeight="1" outlineLevel="1">
      <c r="A199" s="672">
        <v>36</v>
      </c>
      <c r="B199" s="551"/>
      <c r="C199" s="551"/>
      <c r="D199" s="594"/>
      <c r="E199" s="674"/>
      <c r="F199" s="228"/>
      <c r="G199" s="245"/>
      <c r="H199" s="99"/>
      <c r="I199" s="98"/>
      <c r="J199" s="57"/>
      <c r="K199" s="58"/>
    </row>
    <row r="200" ht="12.75" customHeight="1" outlineLevel="1">
      <c r="A200" s="672">
        <v>37</v>
      </c>
      <c r="B200" s="551"/>
      <c r="C200" s="551"/>
      <c r="D200" s="594"/>
      <c r="E200" s="674"/>
      <c r="F200" s="228"/>
      <c r="G200" s="245"/>
      <c r="H200" s="99"/>
      <c r="I200" s="98"/>
      <c r="J200" s="57"/>
      <c r="K200" s="58"/>
    </row>
    <row r="201" ht="12.75" customHeight="1" outlineLevel="1">
      <c r="A201" s="672">
        <v>38</v>
      </c>
      <c r="B201" s="551"/>
      <c r="C201" s="551"/>
      <c r="D201" s="478"/>
      <c r="E201" s="676"/>
      <c r="F201" s="677"/>
      <c r="G201" s="245"/>
      <c r="H201" s="99"/>
      <c r="I201" s="98"/>
      <c r="J201" s="57"/>
      <c r="K201" s="58"/>
    </row>
    <row r="202" s="21" customFormat="1" ht="12.75" customHeight="1" outlineLevel="1">
      <c r="A202" s="22"/>
      <c r="B202" s="23" t="s">
        <v>26</v>
      </c>
      <c r="C202" s="24"/>
      <c r="D202" s="25"/>
      <c r="E202" s="26"/>
      <c r="F202" s="465"/>
      <c r="G202" s="172"/>
      <c r="H202" s="23"/>
      <c r="I202" s="23"/>
      <c r="J202" s="23"/>
      <c r="K202" s="27"/>
    </row>
    <row r="203" ht="12.75" customHeight="1" outlineLevel="1">
      <c r="A203" s="62">
        <v>1</v>
      </c>
      <c r="B203" s="63" t="s">
        <v>406</v>
      </c>
      <c r="C203" s="63" t="s">
        <v>489</v>
      </c>
      <c r="D203" s="63" t="s">
        <v>490</v>
      </c>
      <c r="E203" s="305">
        <v>4537.3900000000003</v>
      </c>
      <c r="F203" s="65" t="s">
        <v>410</v>
      </c>
      <c r="G203" s="59" t="s">
        <v>488</v>
      </c>
      <c r="H203" s="63" t="s">
        <v>428</v>
      </c>
      <c r="I203" s="102"/>
      <c r="J203" s="66" t="s">
        <v>47</v>
      </c>
      <c r="K203" s="67"/>
    </row>
    <row r="204" ht="12.75" customHeight="1" outlineLevel="1">
      <c r="A204" s="68">
        <v>2</v>
      </c>
      <c r="B204" s="99" t="s">
        <v>406</v>
      </c>
      <c r="C204" s="99" t="s">
        <v>491</v>
      </c>
      <c r="D204" s="99" t="s">
        <v>492</v>
      </c>
      <c r="E204" s="224">
        <v>6652</v>
      </c>
      <c r="F204" s="61" t="s">
        <v>493</v>
      </c>
      <c r="G204" s="59" t="s">
        <v>488</v>
      </c>
      <c r="H204" s="63" t="s">
        <v>428</v>
      </c>
      <c r="I204" s="59"/>
      <c r="J204" s="57" t="s">
        <v>47</v>
      </c>
      <c r="K204" s="58"/>
    </row>
    <row r="205" ht="12.75" customHeight="1" outlineLevel="1">
      <c r="A205" s="68">
        <v>3</v>
      </c>
      <c r="B205" s="56"/>
      <c r="C205" s="56"/>
      <c r="D205" s="56"/>
      <c r="E205" s="78"/>
      <c r="F205" s="79"/>
      <c r="G205" s="59"/>
      <c r="H205" s="59"/>
      <c r="I205" s="59"/>
      <c r="J205" s="57"/>
      <c r="K205" s="58"/>
    </row>
    <row r="206" ht="12.75" customHeight="1" outlineLevel="1">
      <c r="A206" s="68">
        <v>4</v>
      </c>
      <c r="B206" s="59"/>
      <c r="C206" s="59"/>
      <c r="D206" s="59"/>
      <c r="E206" s="60"/>
      <c r="F206" s="61"/>
      <c r="G206" s="59"/>
      <c r="H206" s="59"/>
      <c r="I206" s="59"/>
      <c r="J206" s="57"/>
      <c r="K206" s="58"/>
    </row>
    <row r="207" ht="12.75" customHeight="1" outlineLevel="1">
      <c r="A207" s="69">
        <v>5</v>
      </c>
      <c r="B207" s="70"/>
      <c r="C207" s="70"/>
      <c r="D207" s="70"/>
      <c r="E207" s="71"/>
      <c r="F207" s="72"/>
      <c r="G207" s="70"/>
      <c r="H207" s="70"/>
      <c r="I207" s="70"/>
      <c r="J207" s="73"/>
      <c r="K207" s="74"/>
    </row>
    <row r="208" s="21" customFormat="1" ht="12.75" customHeight="1" outlineLevel="1">
      <c r="A208" s="22"/>
      <c r="B208" s="23" t="s">
        <v>19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2.75" customHeight="1" outlineLevel="1">
      <c r="A209" s="62">
        <v>1</v>
      </c>
      <c r="B209" s="99"/>
      <c r="C209" s="99"/>
      <c r="D209" s="65"/>
      <c r="E209" s="64"/>
      <c r="F209" s="65"/>
      <c r="G209" s="63"/>
      <c r="H209" s="63"/>
      <c r="I209" s="59"/>
      <c r="J209" s="66"/>
      <c r="K209" s="67"/>
    </row>
    <row r="210" ht="12.75" customHeight="1" outlineLevel="1">
      <c r="A210" s="68">
        <v>2</v>
      </c>
      <c r="B210" s="99"/>
      <c r="C210" s="99"/>
      <c r="D210" s="99"/>
      <c r="E210" s="60"/>
      <c r="F210" s="61"/>
      <c r="G210" s="59"/>
      <c r="H210" s="59"/>
      <c r="I210" s="59"/>
      <c r="J210" s="57"/>
      <c r="K210" s="58"/>
    </row>
    <row r="211" ht="12.75" customHeight="1" outlineLevel="1">
      <c r="A211" s="68">
        <v>3</v>
      </c>
      <c r="B211" s="99"/>
      <c r="C211" s="99"/>
      <c r="D211" s="99"/>
      <c r="E211" s="60"/>
      <c r="F211" s="61"/>
      <c r="G211" s="59"/>
      <c r="H211" s="59"/>
      <c r="I211" s="59"/>
      <c r="J211" s="57"/>
      <c r="K211" s="58"/>
    </row>
    <row r="212" ht="12.7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2.75" customHeight="1" outlineLevel="1">
      <c r="A213" s="69">
        <v>5</v>
      </c>
      <c r="B213" s="70"/>
      <c r="C213" s="70"/>
      <c r="D213" s="70"/>
      <c r="E213" s="71"/>
      <c r="F213" s="72"/>
      <c r="G213" s="70"/>
      <c r="H213" s="70"/>
      <c r="I213" s="70"/>
      <c r="J213" s="73"/>
      <c r="K213" s="74"/>
    </row>
    <row r="214" s="21" customFormat="1" ht="12.75" customHeight="1">
      <c r="A214" s="82" t="s">
        <v>27</v>
      </c>
      <c r="B214" s="83"/>
      <c r="C214" s="83"/>
      <c r="D214" s="103"/>
      <c r="E214" s="104">
        <f>SUM(E163:E213)</f>
        <v>467849.07000000001</v>
      </c>
    </row>
    <row r="215" s="21" customFormat="1" ht="12.75" customHeight="1">
      <c r="A215" s="82" t="s">
        <v>22</v>
      </c>
      <c r="B215" s="83"/>
      <c r="C215" s="83"/>
      <c r="D215" s="103"/>
      <c r="E215" s="104">
        <f>E158-E214</f>
        <v>4249.1499999999651</v>
      </c>
      <c r="F215" s="86"/>
    </row>
    <row r="216" ht="12.75" customHeight="1">
      <c r="E216" s="1"/>
    </row>
    <row r="217" ht="12.75" customHeight="1">
      <c r="A217" s="9" t="s">
        <v>28</v>
      </c>
      <c r="B217" s="10"/>
      <c r="C217" s="10"/>
      <c r="D217" s="11"/>
      <c r="E217" s="12">
        <f>SUM(E218:E218)</f>
        <v>5242</v>
      </c>
      <c r="F217" s="163" t="s">
        <v>44</v>
      </c>
      <c r="G217" s="13"/>
      <c r="H217" s="13"/>
      <c r="I217" s="13"/>
    </row>
    <row r="218" ht="12.75" customHeight="1">
      <c r="A218" s="105" t="s">
        <v>29</v>
      </c>
      <c r="B218" s="15"/>
      <c r="C218" s="15"/>
      <c r="D218" s="16"/>
      <c r="E218" s="17">
        <v>5242</v>
      </c>
      <c r="F218" s="13"/>
      <c r="G218" s="13"/>
      <c r="H218" s="13"/>
      <c r="I218" s="13"/>
    </row>
    <row r="219" ht="12.75" customHeight="1">
      <c r="A219" s="13"/>
      <c r="B219" s="13"/>
      <c r="C219" s="13"/>
      <c r="D219" s="13"/>
      <c r="E219" s="13"/>
      <c r="F219" s="13"/>
      <c r="G219" s="13"/>
      <c r="H219" s="13"/>
      <c r="I219" s="13"/>
    </row>
    <row r="220" ht="12.75" customHeight="1" outlineLevel="1">
      <c r="A220" s="87" t="s">
        <v>6</v>
      </c>
      <c r="B220" s="87" t="s">
        <v>7</v>
      </c>
      <c r="C220" s="87" t="s">
        <v>8</v>
      </c>
      <c r="D220" s="87" t="s">
        <v>9</v>
      </c>
      <c r="E220" s="88" t="s">
        <v>10</v>
      </c>
      <c r="F220" s="87" t="s">
        <v>11</v>
      </c>
      <c r="G220" s="87" t="s">
        <v>12</v>
      </c>
      <c r="H220" s="89" t="s">
        <v>13</v>
      </c>
      <c r="I220" s="87" t="s">
        <v>14</v>
      </c>
      <c r="J220" s="87" t="s">
        <v>15</v>
      </c>
      <c r="K220" s="87" t="s">
        <v>16</v>
      </c>
    </row>
    <row r="221" s="21" customFormat="1" ht="12.75" customHeight="1" outlineLevel="1">
      <c r="A221" s="22"/>
      <c r="B221" s="23" t="s">
        <v>30</v>
      </c>
      <c r="C221" s="24"/>
      <c r="D221" s="25"/>
      <c r="E221" s="26"/>
      <c r="F221" s="23"/>
      <c r="G221" s="23"/>
      <c r="H221" s="23"/>
      <c r="I221" s="23"/>
      <c r="J221" s="23"/>
      <c r="K221" s="27"/>
    </row>
    <row r="222" ht="12.75" customHeight="1" outlineLevel="1">
      <c r="A222" s="62">
        <v>1</v>
      </c>
      <c r="B222" s="63"/>
      <c r="C222" s="63"/>
      <c r="D222" s="63"/>
      <c r="E222" s="64"/>
      <c r="F222" s="65"/>
      <c r="G222" s="63"/>
      <c r="H222" s="63"/>
      <c r="I222" s="63"/>
      <c r="J222" s="66"/>
      <c r="K222" s="67"/>
    </row>
    <row r="223" ht="12.75" customHeight="1" outlineLevel="1">
      <c r="A223" s="68">
        <v>2</v>
      </c>
      <c r="B223" s="59"/>
      <c r="C223" s="59"/>
      <c r="D223" s="59"/>
      <c r="E223" s="60"/>
      <c r="F223" s="61"/>
      <c r="G223" s="59"/>
      <c r="H223" s="59"/>
      <c r="I223" s="59"/>
      <c r="J223" s="57"/>
      <c r="K223" s="58"/>
    </row>
    <row r="224" ht="12.75" customHeight="1" outlineLevel="1">
      <c r="A224" s="68">
        <v>3</v>
      </c>
      <c r="B224" s="59"/>
      <c r="C224" s="59"/>
      <c r="D224" s="59"/>
      <c r="E224" s="60"/>
      <c r="F224" s="61"/>
      <c r="G224" s="59"/>
      <c r="H224" s="59"/>
      <c r="I224" s="59"/>
      <c r="J224" s="57"/>
      <c r="K224" s="58"/>
    </row>
    <row r="225" ht="12.75" customHeight="1" outlineLevel="1">
      <c r="A225" s="68">
        <v>4</v>
      </c>
      <c r="B225" s="59"/>
      <c r="C225" s="59"/>
      <c r="D225" s="59"/>
      <c r="E225" s="60"/>
      <c r="F225" s="61"/>
      <c r="G225" s="59"/>
      <c r="H225" s="59"/>
      <c r="I225" s="59"/>
      <c r="J225" s="57"/>
      <c r="K225" s="58"/>
    </row>
    <row r="226" ht="12.75" customHeight="1" outlineLevel="1">
      <c r="A226" s="68">
        <v>5</v>
      </c>
      <c r="B226" s="59"/>
      <c r="C226" s="59"/>
      <c r="D226" s="59"/>
      <c r="E226" s="60"/>
      <c r="F226" s="61"/>
      <c r="G226" s="59"/>
      <c r="H226" s="59"/>
      <c r="I226" s="59"/>
      <c r="J226" s="57"/>
      <c r="K226" s="58"/>
    </row>
    <row r="227" ht="12.75" customHeight="1" outlineLevel="1">
      <c r="A227" s="68">
        <v>6</v>
      </c>
      <c r="B227" s="59"/>
      <c r="C227" s="59"/>
      <c r="D227" s="59"/>
      <c r="E227" s="60"/>
      <c r="F227" s="61"/>
      <c r="G227" s="59"/>
      <c r="H227" s="59"/>
      <c r="I227" s="59"/>
      <c r="J227" s="57"/>
      <c r="K227" s="58"/>
    </row>
    <row r="228" ht="12.75" customHeight="1" outlineLevel="1">
      <c r="A228" s="68">
        <v>7</v>
      </c>
      <c r="B228" s="59"/>
      <c r="C228" s="59"/>
      <c r="D228" s="59"/>
      <c r="E228" s="60"/>
      <c r="F228" s="61"/>
      <c r="G228" s="59"/>
      <c r="H228" s="59"/>
      <c r="I228" s="59"/>
      <c r="J228" s="57"/>
      <c r="K228" s="58"/>
    </row>
    <row r="229" ht="12.75" customHeight="1" outlineLevel="1">
      <c r="A229" s="68">
        <v>8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2.75" customHeight="1" outlineLevel="1">
      <c r="A230" s="68">
        <v>9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2.75" customHeight="1" outlineLevel="1">
      <c r="A231" s="68">
        <v>10</v>
      </c>
      <c r="B231" s="59"/>
      <c r="C231" s="59"/>
      <c r="D231" s="59"/>
      <c r="E231" s="60"/>
      <c r="F231" s="61"/>
      <c r="G231" s="59"/>
      <c r="H231" s="59"/>
      <c r="I231" s="59"/>
      <c r="J231" s="57"/>
      <c r="K231" s="58"/>
    </row>
    <row r="232" ht="12.75" customHeight="1" outlineLevel="1">
      <c r="A232" s="68">
        <v>11</v>
      </c>
      <c r="B232" s="59"/>
      <c r="C232" s="59"/>
      <c r="D232" s="59"/>
      <c r="E232" s="60"/>
      <c r="F232" s="61"/>
      <c r="G232" s="59"/>
      <c r="H232" s="59"/>
      <c r="I232" s="59"/>
      <c r="J232" s="57"/>
      <c r="K232" s="58"/>
    </row>
    <row r="233" ht="12.75" customHeight="1" outlineLevel="1">
      <c r="A233" s="68">
        <v>12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2.75" customHeight="1" outlineLevel="1">
      <c r="A234" s="68">
        <v>13</v>
      </c>
      <c r="B234" s="59"/>
      <c r="C234" s="59"/>
      <c r="D234" s="59"/>
      <c r="E234" s="60"/>
      <c r="F234" s="61"/>
      <c r="G234" s="59"/>
      <c r="H234" s="59"/>
      <c r="I234" s="59"/>
      <c r="J234" s="57"/>
      <c r="K234" s="58"/>
    </row>
    <row r="235" ht="12.75" customHeight="1" outlineLevel="1">
      <c r="A235" s="68">
        <v>14</v>
      </c>
      <c r="B235" s="59"/>
      <c r="C235" s="59"/>
      <c r="D235" s="59"/>
      <c r="E235" s="60"/>
      <c r="F235" s="61"/>
      <c r="G235" s="59"/>
      <c r="H235" s="59"/>
      <c r="I235" s="59"/>
      <c r="J235" s="57"/>
      <c r="K235" s="58"/>
    </row>
    <row r="236" ht="12.75" customHeight="1" outlineLevel="1">
      <c r="A236" s="69">
        <v>15</v>
      </c>
      <c r="B236" s="70"/>
      <c r="C236" s="70"/>
      <c r="D236" s="70"/>
      <c r="E236" s="71"/>
      <c r="F236" s="72"/>
      <c r="G236" s="70"/>
      <c r="H236" s="70"/>
      <c r="I236" s="70"/>
      <c r="J236" s="73"/>
      <c r="K236" s="74"/>
    </row>
    <row r="237" s="21" customFormat="1" ht="12.75" customHeight="1">
      <c r="A237" s="82" t="s">
        <v>31</v>
      </c>
      <c r="B237" s="83"/>
      <c r="C237" s="83"/>
      <c r="D237" s="103"/>
      <c r="E237" s="104">
        <f>SUM(E221:E236)</f>
        <v>0</v>
      </c>
    </row>
    <row r="238" s="21" customFormat="1" ht="12.75" customHeight="1">
      <c r="A238" s="82" t="s">
        <v>22</v>
      </c>
      <c r="B238" s="83"/>
      <c r="C238" s="83"/>
      <c r="D238" s="103"/>
      <c r="E238" s="104">
        <f>E217-E237</f>
        <v>5242</v>
      </c>
      <c r="F238" s="86"/>
    </row>
    <row r="239" ht="12.75" customHeight="1">
      <c r="E239" s="1"/>
    </row>
    <row r="240" ht="12.75" customHeight="1">
      <c r="A240" s="9" t="s">
        <v>32</v>
      </c>
      <c r="B240" s="10"/>
      <c r="C240" s="10"/>
      <c r="D240" s="11"/>
      <c r="E240" s="12">
        <f>SUM(E241:E242)</f>
        <v>3945.25</v>
      </c>
      <c r="F240" s="163" t="s">
        <v>44</v>
      </c>
      <c r="G240" s="13"/>
      <c r="H240" s="13"/>
      <c r="I240" s="13"/>
    </row>
    <row r="241" ht="12.75" customHeight="1">
      <c r="A241" s="14" t="s">
        <v>33</v>
      </c>
      <c r="B241" s="15"/>
      <c r="C241" s="15"/>
      <c r="D241" s="16"/>
      <c r="E241" s="17">
        <v>3132.9499999999998</v>
      </c>
      <c r="F241" s="13"/>
      <c r="G241" s="13"/>
      <c r="H241" s="13"/>
      <c r="I241" s="13"/>
    </row>
    <row r="242" ht="12.75" customHeight="1">
      <c r="A242" s="14" t="s">
        <v>34</v>
      </c>
      <c r="B242" s="15"/>
      <c r="C242" s="15"/>
      <c r="D242" s="16"/>
      <c r="E242" s="17">
        <v>812.29999999999995</v>
      </c>
      <c r="F242" s="13"/>
      <c r="G242" s="13"/>
      <c r="H242" s="13"/>
      <c r="I242" s="13"/>
    </row>
    <row r="243" ht="12.75" customHeight="1">
      <c r="A243" s="13"/>
      <c r="B243" s="13"/>
      <c r="C243" s="13"/>
      <c r="D243" s="13"/>
      <c r="E243" s="13"/>
      <c r="F243" s="13"/>
      <c r="G243" s="13"/>
      <c r="H243" s="13"/>
      <c r="I243" s="13"/>
    </row>
    <row r="244" ht="12.75" customHeight="1">
      <c r="A244" s="87" t="s">
        <v>6</v>
      </c>
      <c r="B244" s="87" t="s">
        <v>7</v>
      </c>
      <c r="C244" s="87" t="s">
        <v>8</v>
      </c>
      <c r="D244" s="87" t="s">
        <v>9</v>
      </c>
      <c r="E244" s="88" t="s">
        <v>10</v>
      </c>
      <c r="F244" s="87" t="s">
        <v>11</v>
      </c>
      <c r="G244" s="87" t="s">
        <v>12</v>
      </c>
      <c r="H244" s="89" t="s">
        <v>13</v>
      </c>
      <c r="I244" s="87" t="s">
        <v>14</v>
      </c>
      <c r="J244" s="87" t="s">
        <v>15</v>
      </c>
      <c r="K244" s="87" t="s">
        <v>16</v>
      </c>
    </row>
    <row r="245" ht="12.75" customHeight="1">
      <c r="A245" s="22"/>
      <c r="B245" s="23" t="s">
        <v>25</v>
      </c>
      <c r="C245" s="24"/>
      <c r="D245" s="25"/>
      <c r="E245" s="26"/>
      <c r="F245" s="23"/>
      <c r="G245" s="23"/>
      <c r="H245" s="23"/>
      <c r="I245" s="23"/>
      <c r="J245" s="23"/>
      <c r="K245" s="27"/>
    </row>
    <row r="246" ht="12.75" customHeight="1">
      <c r="A246" s="68">
        <v>1</v>
      </c>
      <c r="B246" s="106"/>
      <c r="C246" s="106"/>
      <c r="D246" s="107"/>
      <c r="E246" s="92"/>
      <c r="F246" s="107"/>
      <c r="G246" s="42"/>
      <c r="H246" s="42"/>
      <c r="I246" s="42" t="s">
        <v>35</v>
      </c>
      <c r="J246" s="57"/>
      <c r="K246" s="58"/>
    </row>
    <row r="247" ht="12.75" customHeight="1">
      <c r="A247" s="68">
        <v>2</v>
      </c>
      <c r="B247" s="106"/>
      <c r="C247" s="106"/>
      <c r="D247" s="107"/>
      <c r="E247" s="93"/>
      <c r="F247" s="107"/>
      <c r="G247" s="59"/>
      <c r="H247" s="59"/>
      <c r="I247" s="42"/>
      <c r="J247" s="57"/>
      <c r="K247" s="58"/>
    </row>
    <row r="248" ht="12.75" customHeight="1">
      <c r="A248" s="68">
        <v>3</v>
      </c>
      <c r="B248" s="108"/>
      <c r="C248" s="109"/>
      <c r="D248" s="110"/>
      <c r="E248" s="111"/>
      <c r="F248" s="110"/>
      <c r="G248" s="112"/>
      <c r="H248" s="113"/>
      <c r="I248" s="35"/>
      <c r="J248" s="114"/>
      <c r="K248" s="115"/>
    </row>
    <row r="249" ht="12.75" customHeight="1">
      <c r="A249" s="68">
        <v>4</v>
      </c>
      <c r="B249" s="108"/>
      <c r="C249" s="109"/>
      <c r="D249" s="110"/>
      <c r="E249" s="111"/>
      <c r="F249" s="110"/>
      <c r="G249" s="112"/>
      <c r="H249" s="113"/>
      <c r="I249" s="35"/>
      <c r="J249" s="114"/>
      <c r="K249" s="116"/>
    </row>
    <row r="250" ht="12.75" customHeight="1">
      <c r="A250" s="68">
        <v>5</v>
      </c>
      <c r="B250" s="42"/>
      <c r="C250" s="42"/>
      <c r="D250" s="42"/>
      <c r="E250" s="93"/>
      <c r="F250" s="94"/>
      <c r="G250" s="42"/>
      <c r="H250" s="42"/>
      <c r="I250" s="42"/>
      <c r="J250" s="43"/>
      <c r="K250" s="44"/>
    </row>
    <row r="251" ht="12.75" customHeight="1">
      <c r="A251" s="68">
        <v>6</v>
      </c>
      <c r="B251" s="43"/>
      <c r="C251" s="43"/>
      <c r="D251" s="43"/>
      <c r="E251" s="43"/>
      <c r="F251" s="43"/>
      <c r="G251" s="43"/>
      <c r="H251" s="42"/>
      <c r="I251" s="42"/>
      <c r="J251" s="43"/>
      <c r="K251" s="44"/>
    </row>
    <row r="252" ht="12.75" customHeight="1">
      <c r="A252" s="68">
        <v>7</v>
      </c>
      <c r="B252" s="43"/>
      <c r="C252" s="43"/>
      <c r="D252" s="43"/>
      <c r="E252" s="43"/>
      <c r="F252" s="43"/>
      <c r="G252" s="43"/>
      <c r="H252" s="42"/>
      <c r="I252" s="42"/>
      <c r="J252" s="43"/>
      <c r="K252" s="44"/>
    </row>
    <row r="253" ht="12.75" customHeight="1">
      <c r="A253" s="68">
        <v>8</v>
      </c>
      <c r="B253" s="42"/>
      <c r="C253" s="94"/>
      <c r="D253" s="94"/>
      <c r="E253" s="93"/>
      <c r="F253" s="94"/>
      <c r="G253" s="42"/>
      <c r="H253" s="42"/>
      <c r="I253" s="42"/>
      <c r="J253" s="43"/>
      <c r="K253" s="44"/>
    </row>
    <row r="254" ht="12.75" customHeight="1">
      <c r="A254" s="68">
        <v>9</v>
      </c>
      <c r="B254" s="42"/>
      <c r="C254" s="94"/>
      <c r="D254" s="94"/>
      <c r="E254" s="93"/>
      <c r="F254" s="94"/>
      <c r="G254" s="42"/>
      <c r="H254" s="42"/>
      <c r="I254" s="42"/>
      <c r="J254" s="43"/>
      <c r="K254" s="44"/>
    </row>
    <row r="255" ht="12.75" customHeight="1">
      <c r="A255" s="68">
        <v>10</v>
      </c>
      <c r="B255" s="42"/>
      <c r="C255" s="94"/>
      <c r="D255" s="94"/>
      <c r="E255" s="93"/>
      <c r="F255" s="94"/>
      <c r="G255" s="42"/>
      <c r="H255" s="42"/>
      <c r="I255" s="42"/>
      <c r="J255" s="43"/>
      <c r="K255" s="44"/>
    </row>
    <row r="256" ht="12.75" customHeight="1">
      <c r="A256" s="68">
        <v>11</v>
      </c>
      <c r="B256" s="42"/>
      <c r="C256" s="94"/>
      <c r="D256" s="94"/>
      <c r="E256" s="93"/>
      <c r="F256" s="94"/>
      <c r="G256" s="42"/>
      <c r="H256" s="42"/>
      <c r="I256" s="42"/>
      <c r="J256" s="43"/>
      <c r="K256" s="44"/>
    </row>
    <row r="257" ht="12.75" customHeight="1">
      <c r="A257" s="68">
        <v>12</v>
      </c>
      <c r="B257" s="59"/>
      <c r="C257" s="61"/>
      <c r="D257" s="61"/>
      <c r="E257" s="93"/>
      <c r="F257" s="61"/>
      <c r="G257" s="59"/>
      <c r="H257" s="59"/>
      <c r="I257" s="42"/>
      <c r="J257" s="57"/>
      <c r="K257" s="58"/>
    </row>
    <row r="258" ht="12.75" customHeight="1">
      <c r="A258" s="68">
        <v>13</v>
      </c>
      <c r="B258" s="59"/>
      <c r="C258" s="61"/>
      <c r="D258" s="61"/>
      <c r="E258" s="93"/>
      <c r="F258" s="61"/>
      <c r="G258" s="59"/>
      <c r="H258" s="59"/>
      <c r="I258" s="42"/>
      <c r="J258" s="57"/>
      <c r="K258" s="58"/>
    </row>
    <row r="259" ht="12.75" customHeight="1">
      <c r="A259" s="68">
        <v>14</v>
      </c>
      <c r="B259" s="59"/>
      <c r="C259" s="61"/>
      <c r="D259" s="61"/>
      <c r="E259" s="93"/>
      <c r="F259" s="61"/>
      <c r="G259" s="59"/>
      <c r="H259" s="59"/>
      <c r="I259" s="42"/>
      <c r="J259" s="57"/>
      <c r="K259" s="58"/>
    </row>
    <row r="260" ht="12.75" customHeight="1">
      <c r="A260" s="68">
        <v>15</v>
      </c>
      <c r="B260" s="59"/>
      <c r="C260" s="61"/>
      <c r="D260" s="61"/>
      <c r="E260" s="93"/>
      <c r="F260" s="61"/>
      <c r="G260" s="59"/>
      <c r="H260" s="59"/>
      <c r="I260" s="42"/>
      <c r="J260" s="57"/>
      <c r="K260" s="58"/>
    </row>
    <row r="261" ht="12.75" customHeight="1">
      <c r="A261" s="22"/>
      <c r="B261" s="23" t="s">
        <v>26</v>
      </c>
      <c r="C261" s="24"/>
      <c r="D261" s="25"/>
      <c r="E261" s="26"/>
      <c r="F261" s="23"/>
      <c r="G261" s="23"/>
      <c r="H261" s="23"/>
      <c r="I261" s="23"/>
      <c r="J261" s="23"/>
      <c r="K261" s="27"/>
    </row>
    <row r="262" ht="12.75" customHeight="1">
      <c r="A262" s="62">
        <v>1</v>
      </c>
      <c r="B262" s="63"/>
      <c r="C262" s="63"/>
      <c r="D262" s="63"/>
      <c r="E262" s="64"/>
      <c r="F262" s="65"/>
      <c r="G262" s="63"/>
      <c r="H262" s="63"/>
      <c r="I262" s="63"/>
      <c r="J262" s="66"/>
      <c r="K262" s="67"/>
    </row>
    <row r="263" ht="12.75" customHeight="1">
      <c r="A263" s="68">
        <v>2</v>
      </c>
      <c r="B263" s="59"/>
      <c r="C263" s="59"/>
      <c r="D263" s="59"/>
      <c r="E263" s="60"/>
      <c r="F263" s="61"/>
      <c r="G263" s="59"/>
      <c r="H263" s="59"/>
      <c r="I263" s="59"/>
      <c r="J263" s="57"/>
      <c r="K263" s="58"/>
    </row>
    <row r="264" ht="12.75" customHeight="1">
      <c r="A264" s="68">
        <v>3</v>
      </c>
      <c r="B264" s="59"/>
      <c r="C264" s="59"/>
      <c r="D264" s="59"/>
      <c r="E264" s="60"/>
      <c r="F264" s="61"/>
      <c r="G264" s="59"/>
      <c r="H264" s="59"/>
      <c r="I264" s="59"/>
      <c r="J264" s="57"/>
      <c r="K264" s="58"/>
    </row>
    <row r="265" ht="12.75" customHeight="1">
      <c r="A265" s="68">
        <v>4</v>
      </c>
      <c r="B265" s="59"/>
      <c r="C265" s="59"/>
      <c r="D265" s="59"/>
      <c r="E265" s="60"/>
      <c r="F265" s="61"/>
      <c r="G265" s="59"/>
      <c r="H265" s="59"/>
      <c r="I265" s="59"/>
      <c r="J265" s="57"/>
      <c r="K265" s="58"/>
    </row>
    <row r="266" ht="12.75" customHeight="1">
      <c r="A266" s="69">
        <v>5</v>
      </c>
      <c r="B266" s="70"/>
      <c r="C266" s="70"/>
      <c r="D266" s="70"/>
      <c r="E266" s="71"/>
      <c r="F266" s="72"/>
      <c r="G266" s="70"/>
      <c r="H266" s="70"/>
      <c r="I266" s="70"/>
      <c r="J266" s="73"/>
      <c r="K266" s="74"/>
    </row>
    <row r="267" ht="12.75" customHeight="1">
      <c r="A267" s="22"/>
      <c r="B267" s="23" t="s">
        <v>19</v>
      </c>
      <c r="C267" s="24"/>
      <c r="D267" s="25"/>
      <c r="E267" s="26"/>
      <c r="F267" s="23"/>
      <c r="G267" s="23"/>
      <c r="H267" s="23"/>
      <c r="I267" s="23"/>
      <c r="J267" s="23"/>
      <c r="K267" s="27"/>
    </row>
    <row r="268" ht="12.75" customHeight="1">
      <c r="A268" s="62">
        <v>1</v>
      </c>
      <c r="B268" s="39"/>
      <c r="C268" s="56"/>
      <c r="D268" s="59"/>
      <c r="E268" s="60"/>
      <c r="F268" s="101"/>
      <c r="G268" s="63"/>
      <c r="H268" s="63"/>
      <c r="I268" s="63"/>
      <c r="J268" s="66"/>
      <c r="K268" s="67"/>
    </row>
    <row r="269" ht="12.75" customHeight="1">
      <c r="A269" s="68">
        <v>2</v>
      </c>
      <c r="B269" s="117"/>
      <c r="C269" s="117"/>
      <c r="D269" s="118"/>
      <c r="E269" s="60"/>
      <c r="F269" s="119"/>
      <c r="G269" s="59"/>
      <c r="H269" s="59"/>
      <c r="I269" s="59"/>
      <c r="J269" s="57"/>
      <c r="K269" s="58"/>
    </row>
    <row r="270" ht="12.75" customHeight="1">
      <c r="A270" s="68">
        <v>3</v>
      </c>
      <c r="B270" s="59"/>
      <c r="C270" s="59"/>
      <c r="D270" s="59"/>
      <c r="E270" s="60"/>
      <c r="F270" s="61"/>
      <c r="G270" s="59"/>
      <c r="H270" s="59"/>
      <c r="I270" s="59"/>
      <c r="J270" s="57"/>
      <c r="K270" s="58"/>
    </row>
    <row r="271" ht="12.75" customHeight="1">
      <c r="A271" s="68">
        <v>4</v>
      </c>
      <c r="B271" s="59"/>
      <c r="C271" s="59"/>
      <c r="D271" s="59"/>
      <c r="E271" s="60"/>
      <c r="F271" s="61"/>
      <c r="G271" s="59"/>
      <c r="H271" s="59"/>
      <c r="I271" s="59"/>
      <c r="J271" s="57"/>
      <c r="K271" s="58"/>
    </row>
    <row r="272" ht="12.75" customHeight="1">
      <c r="A272" s="69">
        <v>5</v>
      </c>
      <c r="B272" s="70"/>
      <c r="C272" s="70"/>
      <c r="D272" s="70"/>
      <c r="E272" s="71"/>
      <c r="F272" s="72"/>
      <c r="G272" s="70"/>
      <c r="H272" s="70"/>
      <c r="I272" s="70"/>
      <c r="J272" s="73"/>
      <c r="K272" s="74"/>
    </row>
    <row r="273" s="21" customFormat="1" ht="12.75" customHeight="1">
      <c r="A273" s="82" t="s">
        <v>36</v>
      </c>
      <c r="B273" s="83"/>
      <c r="C273" s="83"/>
      <c r="D273" s="103"/>
      <c r="E273" s="104">
        <f>SUM(E246:E272)</f>
        <v>0</v>
      </c>
    </row>
    <row r="274" s="21" customFormat="1" ht="12.75" customHeight="1">
      <c r="A274" s="82" t="s">
        <v>22</v>
      </c>
      <c r="B274" s="83"/>
      <c r="C274" s="83"/>
      <c r="D274" s="103"/>
      <c r="E274" s="104">
        <f>E240-E273</f>
        <v>3945.25</v>
      </c>
      <c r="F274" s="86"/>
    </row>
    <row r="275" ht="12.75" customHeight="1">
      <c r="E275" s="1"/>
    </row>
    <row r="276" ht="12.75" customHeight="1">
      <c r="E276" s="1"/>
    </row>
    <row r="277" ht="12.75" customHeight="1">
      <c r="A277" s="120" t="s">
        <v>37</v>
      </c>
      <c r="B277" s="120"/>
      <c r="C277" s="120"/>
      <c r="D277" s="120"/>
      <c r="E277" s="121">
        <f>E278+E279</f>
        <v>2715</v>
      </c>
      <c r="F277" s="163" t="s">
        <v>44</v>
      </c>
      <c r="G277" s="123"/>
      <c r="H277" s="123"/>
      <c r="I277" s="123"/>
      <c r="J277" s="124"/>
      <c r="K277" s="124"/>
    </row>
    <row r="278" ht="12.75" customHeight="1">
      <c r="A278" s="125" t="s">
        <v>38</v>
      </c>
      <c r="B278" s="125"/>
      <c r="C278" s="125"/>
      <c r="D278" s="125"/>
      <c r="E278" s="126">
        <v>0</v>
      </c>
      <c r="F278" s="123"/>
      <c r="G278" s="123"/>
      <c r="H278" s="123"/>
      <c r="I278" s="123"/>
      <c r="J278" s="124"/>
      <c r="K278" s="124"/>
    </row>
    <row r="279" ht="12.75" customHeight="1">
      <c r="A279" s="125" t="s">
        <v>39</v>
      </c>
      <c r="B279" s="125"/>
      <c r="C279" s="125"/>
      <c r="D279" s="125"/>
      <c r="E279" s="126">
        <v>2715</v>
      </c>
      <c r="F279" s="123"/>
      <c r="G279" s="123"/>
      <c r="H279" s="123"/>
      <c r="I279" s="123"/>
      <c r="J279" s="124"/>
      <c r="K279" s="124"/>
    </row>
    <row r="280" ht="12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4"/>
      <c r="K280" s="124"/>
    </row>
    <row r="281" ht="12.75" customHeight="1">
      <c r="A281" s="127" t="s">
        <v>6</v>
      </c>
      <c r="B281" s="127" t="s">
        <v>7</v>
      </c>
      <c r="C281" s="127" t="s">
        <v>8</v>
      </c>
      <c r="D281" s="127" t="s">
        <v>9</v>
      </c>
      <c r="E281" s="127" t="s">
        <v>40</v>
      </c>
      <c r="F281" s="127" t="s">
        <v>11</v>
      </c>
      <c r="G281" s="127" t="s">
        <v>12</v>
      </c>
      <c r="H281" s="128" t="s">
        <v>13</v>
      </c>
      <c r="I281" s="127" t="s">
        <v>14</v>
      </c>
      <c r="J281" s="127" t="s">
        <v>15</v>
      </c>
      <c r="K281" s="127" t="s">
        <v>16</v>
      </c>
    </row>
    <row r="282" ht="12.75" customHeight="1">
      <c r="A282" s="129" t="s">
        <v>41</v>
      </c>
      <c r="B282" s="130"/>
      <c r="C282" s="130"/>
      <c r="D282" s="130"/>
      <c r="E282" s="130"/>
      <c r="F282" s="130"/>
      <c r="G282" s="130"/>
      <c r="H282" s="130"/>
      <c r="I282" s="130"/>
      <c r="J282" s="130"/>
      <c r="K282" s="131"/>
    </row>
    <row r="283" ht="12.75" customHeight="1">
      <c r="A283" s="132">
        <v>1</v>
      </c>
      <c r="B283" s="133"/>
      <c r="C283" s="133"/>
      <c r="D283" s="134"/>
      <c r="E283" s="135"/>
      <c r="F283" s="134"/>
      <c r="G283" s="136"/>
      <c r="H283" s="136"/>
      <c r="I283" s="136"/>
      <c r="J283" s="137"/>
      <c r="K283" s="138"/>
    </row>
    <row r="284" ht="12.75" customHeight="1">
      <c r="A284" s="139">
        <v>2</v>
      </c>
      <c r="B284" s="140"/>
      <c r="C284" s="140"/>
      <c r="D284" s="141"/>
      <c r="E284" s="142"/>
      <c r="F284" s="141"/>
      <c r="G284" s="143"/>
      <c r="H284" s="143"/>
      <c r="I284" s="142"/>
      <c r="J284" s="144"/>
      <c r="K284" s="145"/>
    </row>
    <row r="285" ht="12.75" customHeight="1">
      <c r="A285" s="139">
        <v>3</v>
      </c>
      <c r="B285" s="143"/>
      <c r="C285" s="143"/>
      <c r="D285" s="143"/>
      <c r="E285" s="142"/>
      <c r="F285" s="146"/>
      <c r="G285" s="143"/>
      <c r="H285" s="143"/>
      <c r="I285" s="142"/>
      <c r="J285" s="144"/>
      <c r="K285" s="145"/>
    </row>
    <row r="286" ht="12.75" customHeight="1">
      <c r="A286" s="139">
        <v>4</v>
      </c>
      <c r="B286" s="143"/>
      <c r="C286" s="146"/>
      <c r="D286" s="146"/>
      <c r="E286" s="142"/>
      <c r="F286" s="146"/>
      <c r="G286" s="143"/>
      <c r="H286" s="143"/>
      <c r="I286" s="142"/>
      <c r="J286" s="144"/>
      <c r="K286" s="145"/>
    </row>
    <row r="287" ht="12.75" customHeight="1">
      <c r="A287" s="139">
        <v>5</v>
      </c>
      <c r="B287" s="143"/>
      <c r="C287" s="143"/>
      <c r="D287" s="143"/>
      <c r="E287" s="143"/>
      <c r="F287" s="146"/>
      <c r="G287" s="143"/>
      <c r="H287" s="143"/>
      <c r="I287" s="142"/>
      <c r="J287" s="144"/>
      <c r="K287" s="145"/>
    </row>
    <row r="288" ht="12.75" customHeight="1">
      <c r="A288" s="139">
        <v>6</v>
      </c>
      <c r="B288" s="144"/>
      <c r="C288" s="144"/>
      <c r="D288" s="144"/>
      <c r="E288" s="144"/>
      <c r="F288" s="144"/>
      <c r="G288" s="144"/>
      <c r="H288" s="143"/>
      <c r="I288" s="142"/>
      <c r="J288" s="144"/>
      <c r="K288" s="145"/>
    </row>
    <row r="289" ht="12.75" customHeight="1">
      <c r="A289" s="139">
        <v>7</v>
      </c>
      <c r="B289" s="144"/>
      <c r="C289" s="144"/>
      <c r="D289" s="144"/>
      <c r="E289" s="144"/>
      <c r="F289" s="144"/>
      <c r="G289" s="144"/>
      <c r="H289" s="143"/>
      <c r="I289" s="143"/>
      <c r="J289" s="144"/>
      <c r="K289" s="145"/>
    </row>
    <row r="290" ht="12.75" customHeight="1">
      <c r="A290" s="139">
        <v>8</v>
      </c>
      <c r="B290" s="143"/>
      <c r="C290" s="146"/>
      <c r="D290" s="146"/>
      <c r="E290" s="142"/>
      <c r="F290" s="146"/>
      <c r="G290" s="143"/>
      <c r="H290" s="143"/>
      <c r="I290" s="142"/>
      <c r="J290" s="144"/>
      <c r="K290" s="145"/>
    </row>
    <row r="291" ht="12.75" customHeight="1">
      <c r="A291" s="139">
        <v>9</v>
      </c>
      <c r="B291" s="143"/>
      <c r="C291" s="146"/>
      <c r="D291" s="146"/>
      <c r="E291" s="142"/>
      <c r="F291" s="146"/>
      <c r="G291" s="143"/>
      <c r="H291" s="143"/>
      <c r="I291" s="142"/>
      <c r="J291" s="144"/>
      <c r="K291" s="145"/>
    </row>
    <row r="292" ht="12.75" customHeight="1">
      <c r="A292" s="139">
        <v>10</v>
      </c>
      <c r="B292" s="143"/>
      <c r="C292" s="146"/>
      <c r="D292" s="146"/>
      <c r="E292" s="142"/>
      <c r="F292" s="146"/>
      <c r="G292" s="143"/>
      <c r="H292" s="143"/>
      <c r="I292" s="142"/>
      <c r="J292" s="144"/>
      <c r="K292" s="145"/>
    </row>
    <row r="293" ht="12.75" customHeight="1">
      <c r="A293" s="139">
        <v>11</v>
      </c>
      <c r="B293" s="143"/>
      <c r="C293" s="146"/>
      <c r="D293" s="146"/>
      <c r="E293" s="142"/>
      <c r="F293" s="146"/>
      <c r="G293" s="143"/>
      <c r="H293" s="143"/>
      <c r="I293" s="142"/>
      <c r="J293" s="144"/>
      <c r="K293" s="145"/>
    </row>
    <row r="294" ht="12.75" customHeight="1">
      <c r="A294" s="139">
        <v>12</v>
      </c>
      <c r="B294" s="143"/>
      <c r="C294" s="146"/>
      <c r="D294" s="146"/>
      <c r="E294" s="142"/>
      <c r="F294" s="146"/>
      <c r="G294" s="143"/>
      <c r="H294" s="143"/>
      <c r="I294" s="142"/>
      <c r="J294" s="144"/>
      <c r="K294" s="145"/>
    </row>
    <row r="295" ht="12.75" customHeight="1">
      <c r="A295" s="139">
        <v>13</v>
      </c>
      <c r="B295" s="143"/>
      <c r="C295" s="146"/>
      <c r="D295" s="146"/>
      <c r="E295" s="142"/>
      <c r="F295" s="146"/>
      <c r="G295" s="143"/>
      <c r="H295" s="143"/>
      <c r="I295" s="142"/>
      <c r="J295" s="144"/>
      <c r="K295" s="145"/>
    </row>
    <row r="296" ht="12.75" customHeight="1">
      <c r="A296" s="139">
        <v>14</v>
      </c>
      <c r="B296" s="143"/>
      <c r="C296" s="146"/>
      <c r="D296" s="146"/>
      <c r="E296" s="142"/>
      <c r="F296" s="146"/>
      <c r="G296" s="143"/>
      <c r="H296" s="143"/>
      <c r="I296" s="142"/>
      <c r="J296" s="144"/>
      <c r="K296" s="145"/>
    </row>
    <row r="297" ht="12.75" customHeight="1">
      <c r="A297" s="147">
        <v>15</v>
      </c>
      <c r="B297" s="148"/>
      <c r="C297" s="149"/>
      <c r="D297" s="149"/>
      <c r="E297" s="150"/>
      <c r="F297" s="149"/>
      <c r="G297" s="148"/>
      <c r="H297" s="148"/>
      <c r="I297" s="150"/>
      <c r="J297" s="151"/>
      <c r="K297" s="152"/>
    </row>
    <row r="298" ht="12.75" customHeight="1">
      <c r="A298" s="22"/>
      <c r="B298" s="23" t="s">
        <v>26</v>
      </c>
      <c r="C298" s="24"/>
      <c r="D298" s="25"/>
      <c r="E298" s="26"/>
      <c r="F298" s="23"/>
      <c r="G298" s="23"/>
      <c r="H298" s="23"/>
      <c r="I298" s="23"/>
      <c r="J298" s="23"/>
      <c r="K298" s="27"/>
    </row>
    <row r="299">
      <c r="A299" s="132">
        <v>1</v>
      </c>
      <c r="B299" s="153"/>
      <c r="C299" s="153"/>
      <c r="D299" s="153"/>
      <c r="E299" s="153"/>
      <c r="F299" s="154"/>
      <c r="G299" s="153"/>
      <c r="H299" s="153"/>
      <c r="I299" s="153"/>
      <c r="J299" s="137"/>
      <c r="K299" s="138"/>
    </row>
    <row r="300">
      <c r="A300" s="139">
        <v>2</v>
      </c>
      <c r="B300" s="143"/>
      <c r="C300" s="143"/>
      <c r="D300" s="143"/>
      <c r="E300" s="143"/>
      <c r="F300" s="146"/>
      <c r="G300" s="143"/>
      <c r="H300" s="143"/>
      <c r="I300" s="143"/>
      <c r="J300" s="144"/>
      <c r="K300" s="145"/>
    </row>
    <row r="301">
      <c r="A301" s="139">
        <v>3</v>
      </c>
      <c r="B301" s="143"/>
      <c r="C301" s="143"/>
      <c r="D301" s="143"/>
      <c r="E301" s="143"/>
      <c r="F301" s="146"/>
      <c r="G301" s="143"/>
      <c r="H301" s="143"/>
      <c r="I301" s="143"/>
      <c r="J301" s="144"/>
      <c r="K301" s="145"/>
    </row>
    <row r="302">
      <c r="A302" s="139">
        <v>4</v>
      </c>
      <c r="B302" s="143"/>
      <c r="C302" s="143"/>
      <c r="D302" s="143"/>
      <c r="E302" s="143"/>
      <c r="F302" s="146"/>
      <c r="G302" s="143"/>
      <c r="H302" s="143"/>
      <c r="I302" s="143"/>
      <c r="J302" s="144"/>
      <c r="K302" s="145"/>
    </row>
    <row r="303" ht="15.75">
      <c r="A303" s="147">
        <v>5</v>
      </c>
      <c r="B303" s="148"/>
      <c r="C303" s="148"/>
      <c r="D303" s="148"/>
      <c r="E303" s="148"/>
      <c r="F303" s="149"/>
      <c r="G303" s="148"/>
      <c r="H303" s="148"/>
      <c r="I303" s="148"/>
      <c r="J303" s="151"/>
      <c r="K303" s="152"/>
    </row>
    <row r="304" ht="15.75">
      <c r="A304" s="22"/>
      <c r="B304" s="23" t="s">
        <v>19</v>
      </c>
      <c r="C304" s="24"/>
      <c r="D304" s="25"/>
      <c r="E304" s="26"/>
      <c r="F304" s="23"/>
      <c r="G304" s="23"/>
      <c r="H304" s="23"/>
      <c r="I304" s="23"/>
      <c r="J304" s="23"/>
      <c r="K304" s="27"/>
    </row>
    <row r="305">
      <c r="A305" s="132">
        <v>1</v>
      </c>
      <c r="B305" s="136"/>
      <c r="C305" s="153"/>
      <c r="D305" s="153"/>
      <c r="E305" s="153"/>
      <c r="F305" s="154"/>
      <c r="G305" s="153"/>
      <c r="H305" s="153"/>
      <c r="I305" s="153"/>
      <c r="J305" s="137"/>
      <c r="K305" s="138"/>
    </row>
    <row r="306">
      <c r="A306" s="139">
        <v>2</v>
      </c>
      <c r="B306" s="155"/>
      <c r="C306" s="155"/>
      <c r="D306" s="156"/>
      <c r="E306" s="143"/>
      <c r="F306" s="157"/>
      <c r="G306" s="143"/>
      <c r="H306" s="143"/>
      <c r="I306" s="143"/>
      <c r="J306" s="144"/>
      <c r="K306" s="145"/>
    </row>
    <row r="307">
      <c r="A307" s="139">
        <v>3</v>
      </c>
      <c r="B307" s="143"/>
      <c r="C307" s="143"/>
      <c r="D307" s="143"/>
      <c r="E307" s="143"/>
      <c r="F307" s="146"/>
      <c r="G307" s="143"/>
      <c r="H307" s="143"/>
      <c r="I307" s="143"/>
      <c r="J307" s="144"/>
      <c r="K307" s="145"/>
    </row>
    <row r="308">
      <c r="A308" s="139">
        <v>4</v>
      </c>
      <c r="B308" s="143"/>
      <c r="C308" s="143"/>
      <c r="D308" s="143"/>
      <c r="E308" s="143"/>
      <c r="F308" s="146"/>
      <c r="G308" s="143"/>
      <c r="H308" s="143"/>
      <c r="I308" s="143"/>
      <c r="J308" s="144"/>
      <c r="K308" s="145"/>
    </row>
    <row r="309" ht="15.75">
      <c r="A309" s="147">
        <v>5</v>
      </c>
      <c r="B309" s="148"/>
      <c r="C309" s="148"/>
      <c r="D309" s="148"/>
      <c r="E309" s="148"/>
      <c r="F309" s="149"/>
      <c r="G309" s="148"/>
      <c r="H309" s="148"/>
      <c r="I309" s="148"/>
      <c r="J309" s="151"/>
      <c r="K309" s="152"/>
    </row>
    <row r="310" ht="27.75" customHeight="1">
      <c r="A310" s="158" t="s">
        <v>42</v>
      </c>
      <c r="B310" s="158"/>
      <c r="C310" s="158"/>
      <c r="D310" s="158"/>
      <c r="E310" s="159">
        <f>SUM(E283:E309)</f>
        <v>0</v>
      </c>
      <c r="F310" s="160"/>
      <c r="G310" s="160"/>
      <c r="H310" s="160"/>
      <c r="I310" s="160"/>
      <c r="J310" s="160"/>
      <c r="K310" s="160"/>
    </row>
    <row r="311" ht="27.75" customHeight="1">
      <c r="A311" s="158" t="s">
        <v>43</v>
      </c>
      <c r="B311" s="158"/>
      <c r="C311" s="158"/>
      <c r="D311" s="158"/>
      <c r="E311" s="161">
        <f>E277-E310</f>
        <v>2715</v>
      </c>
      <c r="F311" s="162"/>
      <c r="G311" s="160"/>
      <c r="H311" s="160"/>
      <c r="I311" s="160"/>
      <c r="J311" s="160"/>
      <c r="K311" s="160"/>
    </row>
    <row r="312" ht="14.25">
      <c r="E312" s="1"/>
    </row>
    <row r="313" ht="14.25">
      <c r="E313" s="1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14:D214"/>
    <mergeCell ref="A215:D215"/>
    <mergeCell ref="A217:D217"/>
    <mergeCell ref="A218:D218"/>
    <mergeCell ref="A237:D237"/>
    <mergeCell ref="A238:D238"/>
    <mergeCell ref="A240:D240"/>
    <mergeCell ref="A241:D241"/>
    <mergeCell ref="A242:D242"/>
    <mergeCell ref="A273:D273"/>
    <mergeCell ref="A274:D274"/>
    <mergeCell ref="A277:D277"/>
    <mergeCell ref="A278:D278"/>
    <mergeCell ref="A279:D279"/>
    <mergeCell ref="A282:K282"/>
    <mergeCell ref="A310:D310"/>
    <mergeCell ref="A311:D311"/>
  </mergeCells>
  <printOptions headings="0" gridLines="0"/>
  <pageMargins left="0.69999999999999996" right="0.69999999999999996" top="0.75" bottom="0.75" header="0.29999999999999999" footer="0.29999999999999999"/>
  <pageSetup paperSize="9" scale="58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7F003C-0089-42C3-947C-004800570049}" type="list" allowBlank="1" errorStyle="stop" imeMode="noControl" operator="between" showDropDown="0" showErrorMessage="1" showInputMessage="1">
          <x14:formula1>
            <xm:f>ДаНет</xm:f>
          </x14:formula1>
          <xm:sqref>H122:H141 H143 H149:H154 H109:H120 H42:H80</xm:sqref>
        </x14:dataValidation>
        <x14:dataValidation xr:uid="{008C008F-0004-49C4-A05C-003300EB00D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H81:H108</xm:sqref>
        </x14:dataValidation>
        <x14:dataValidation xr:uid="{00C200FC-00C1-46F1-8145-00B100BB000F}" type="list" allowBlank="1" errorStyle="stop" imeMode="noControl" operator="between" showDropDown="0" showErrorMessage="1" showInputMessage="1">
          <x14:formula1>
            <xm:f>ДаНет</xm:f>
          </x14:formula1>
          <xm:sqref>H39:H40</xm:sqref>
        </x14:dataValidation>
        <x14:dataValidation xr:uid="{007D00B6-003A-4634-B522-000200BF0028}" type="list" allowBlank="1" errorStyle="stop" imeMode="noControl" operator="between" showDropDown="0" showErrorMessage="1" showInputMessage="1">
          <x14:formula1>
            <xm:f>ДаНет</xm:f>
          </x14:formula1>
          <xm:sqref>H145</xm:sqref>
        </x14:dataValidation>
        <x14:dataValidation xr:uid="{005900D5-00CA-4D88-B79B-008E00FF0092}" type="list" allowBlank="1" errorStyle="stop" imeMode="noControl" operator="between" showDropDown="0" showErrorMessage="1" showInputMessage="1">
          <x14:formula1>
            <xm:f>ДаНет</xm:f>
          </x14:formula1>
          <xm:sqref>H144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tabColor theme="3"/>
    <outlinePr applyStyles="0" summaryBelow="1" summaryRight="1" showOutlineSymbols="1"/>
    <pageSetUpPr autoPageBreaks="1" fitToPage="0"/>
  </sheetPr>
  <sheetViews>
    <sheetView showGridLines="0" showRuler="1" topLeftCell="A245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'12'!C2+1</f>
        <v>46094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102971.07000000001</v>
      </c>
      <c r="F4" s="640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100990.38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31.5" customHeight="1" outlineLevel="1">
      <c r="A143" s="62">
        <v>1</v>
      </c>
      <c r="B143" s="678" t="s">
        <v>222</v>
      </c>
      <c r="C143" s="292" t="s">
        <v>223</v>
      </c>
      <c r="D143" s="292" t="s">
        <v>227</v>
      </c>
      <c r="E143" s="679" t="s">
        <v>494</v>
      </c>
      <c r="F143" s="292" t="s">
        <v>460</v>
      </c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102971.07000000001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275236.27000000002</v>
      </c>
      <c r="F158" s="640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275236.27000000002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275236.27000000002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640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13945.25</v>
      </c>
      <c r="F227" s="640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10812.299999999999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13945.25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640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B0007-00F1-460C-936F-0061000800B6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A20060-005A-4C7A-8EB2-005E00B800A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'13'!C2+1</f>
        <v>46095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F00CB-00F0-469D-87C8-003A00620019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DA00D1-0059-4824-981D-0084005900E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'14'!C2+1</f>
        <v>46096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00089-005B-4C23-AA35-005400320061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5A0030-00CE-4741-9D82-006E00E70014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tabColor theme="3"/>
    <outlinePr applyStyles="0" summaryBelow="1" summaryRight="1" showOutlineSymbols="1"/>
    <pageSetUpPr autoPageBreaks="1" fitToPage="0"/>
  </sheetPr>
  <sheetViews>
    <sheetView showGridLines="0" showRuler="1" topLeftCell="A237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'15'!C2+1</f>
        <v>46097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102971.07000000001</v>
      </c>
      <c r="F4" s="640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100990.38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102971.07000000001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638987</v>
      </c>
      <c r="F158" s="640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638987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638987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640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13945.25</v>
      </c>
      <c r="F227" s="640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10812.299999999999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13945.25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640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A00FD-0073-485B-8A84-00A8006A0031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3C00CA-0093-48DB-9875-00C2008100CC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7">
    <outlinePr applyStyles="0" summaryBelow="1" summaryRight="1" showOutlineSymbols="1"/>
    <pageSetUpPr autoPageBreaks="1" fitToPage="1"/>
  </sheetPr>
  <sheetViews>
    <sheetView showGridLines="0" showRuler="1" topLeftCell="A16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9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'16'!C2+1</f>
        <v>46098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922681.06999999995</v>
      </c>
      <c r="F4" s="640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920700.38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87" t="s">
        <v>6</v>
      </c>
      <c r="B9" s="87" t="s">
        <v>7</v>
      </c>
      <c r="C9" s="87" t="s">
        <v>8</v>
      </c>
      <c r="D9" s="87" t="s">
        <v>9</v>
      </c>
      <c r="E9" s="88" t="s">
        <v>10</v>
      </c>
      <c r="F9" s="87" t="s">
        <v>11</v>
      </c>
      <c r="G9" s="87" t="s">
        <v>12</v>
      </c>
      <c r="H9" s="89" t="s">
        <v>13</v>
      </c>
      <c r="I9" s="87" t="s">
        <v>14</v>
      </c>
      <c r="J9" s="87" t="s">
        <v>15</v>
      </c>
      <c r="K9" s="87" t="s">
        <v>16</v>
      </c>
    </row>
    <row r="10" s="21" customFormat="1" ht="18.75" customHeight="1" outlineLevel="1">
      <c r="A10" s="445"/>
      <c r="B10" s="446" t="s">
        <v>17</v>
      </c>
      <c r="C10" s="447"/>
      <c r="D10" s="448"/>
      <c r="E10" s="449"/>
      <c r="F10" s="446"/>
      <c r="G10" s="446"/>
      <c r="H10" s="446"/>
      <c r="I10" s="446"/>
      <c r="J10" s="446"/>
      <c r="K10" s="450"/>
    </row>
    <row r="11" ht="14.25" customHeight="1" outlineLevel="1">
      <c r="A11" s="176">
        <v>3</v>
      </c>
      <c r="B11" s="480" t="s">
        <v>57</v>
      </c>
      <c r="C11" s="481" t="s">
        <v>58</v>
      </c>
      <c r="D11" s="481" t="s">
        <v>59</v>
      </c>
      <c r="E11" s="482" t="s">
        <v>60</v>
      </c>
      <c r="F11" s="483" t="s">
        <v>61</v>
      </c>
      <c r="G11" s="182" t="s">
        <v>62</v>
      </c>
      <c r="H11" s="484"/>
      <c r="I11" s="35"/>
      <c r="J11" s="680"/>
      <c r="K11" s="37"/>
    </row>
    <row r="12" ht="14.25" customHeight="1" outlineLevel="1">
      <c r="A12" s="176">
        <v>4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489" t="s">
        <v>66</v>
      </c>
      <c r="G12" s="182" t="s">
        <v>62</v>
      </c>
      <c r="H12" s="490"/>
      <c r="I12" s="42"/>
      <c r="J12" s="655"/>
      <c r="K12" s="44"/>
    </row>
    <row r="13" ht="14.25" customHeight="1" outlineLevel="1">
      <c r="A13" s="176">
        <v>5</v>
      </c>
      <c r="B13" s="390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216"/>
      <c r="J13" s="655"/>
      <c r="K13" s="44"/>
    </row>
    <row r="14" ht="14.25" customHeight="1" outlineLevel="1">
      <c r="A14" s="176">
        <v>6</v>
      </c>
      <c r="B14" s="190" t="s">
        <v>57</v>
      </c>
      <c r="C14" s="190" t="s">
        <v>72</v>
      </c>
      <c r="D14" s="191" t="s">
        <v>73</v>
      </c>
      <c r="E14" s="492" t="s">
        <v>74</v>
      </c>
      <c r="F14" s="190" t="s">
        <v>75</v>
      </c>
      <c r="G14" s="182"/>
      <c r="H14" s="193"/>
      <c r="I14" s="216"/>
      <c r="J14" s="655"/>
      <c r="K14" s="44"/>
    </row>
    <row r="15" ht="14.25" customHeight="1" outlineLevel="1">
      <c r="A15" s="176">
        <v>7</v>
      </c>
      <c r="B15" s="190" t="s">
        <v>57</v>
      </c>
      <c r="C15" s="190" t="s">
        <v>72</v>
      </c>
      <c r="D15" s="190" t="s">
        <v>76</v>
      </c>
      <c r="E15" s="492" t="s">
        <v>77</v>
      </c>
      <c r="F15" s="190" t="s">
        <v>78</v>
      </c>
      <c r="G15" s="182"/>
      <c r="H15" s="193"/>
      <c r="I15" s="216"/>
      <c r="J15" s="655"/>
      <c r="K15" s="44"/>
    </row>
    <row r="16" ht="14.25" customHeight="1" outlineLevel="1">
      <c r="A16" s="176">
        <v>8</v>
      </c>
      <c r="B16" s="190" t="s">
        <v>57</v>
      </c>
      <c r="C16" s="190" t="s">
        <v>79</v>
      </c>
      <c r="D16" s="239" t="s">
        <v>80</v>
      </c>
      <c r="E16" s="495" t="s">
        <v>81</v>
      </c>
      <c r="F16" s="190" t="s">
        <v>82</v>
      </c>
      <c r="G16" s="182" t="s">
        <v>62</v>
      </c>
      <c r="H16" s="193"/>
      <c r="I16" s="216"/>
      <c r="J16" s="655"/>
      <c r="K16" s="44"/>
    </row>
    <row r="17" ht="14.25" customHeight="1" outlineLevel="1">
      <c r="A17" s="176">
        <v>9</v>
      </c>
      <c r="B17" s="190" t="s">
        <v>57</v>
      </c>
      <c r="C17" s="190" t="s">
        <v>79</v>
      </c>
      <c r="D17" s="287" t="s">
        <v>370</v>
      </c>
      <c r="E17" s="497" t="s">
        <v>371</v>
      </c>
      <c r="F17" s="190" t="s">
        <v>372</v>
      </c>
      <c r="G17" s="182"/>
      <c r="H17" s="193"/>
      <c r="I17" s="216"/>
      <c r="J17" s="655"/>
      <c r="K17" s="44"/>
    </row>
    <row r="18" ht="14.25" customHeight="1" outlineLevel="1">
      <c r="A18" s="176">
        <v>10</v>
      </c>
      <c r="B18" s="190" t="s">
        <v>57</v>
      </c>
      <c r="C18" s="190" t="s">
        <v>373</v>
      </c>
      <c r="D18" s="337" t="s">
        <v>374</v>
      </c>
      <c r="E18" s="499" t="s">
        <v>375</v>
      </c>
      <c r="F18" s="190" t="s">
        <v>376</v>
      </c>
      <c r="G18" s="182"/>
      <c r="H18" s="193"/>
      <c r="I18" s="216"/>
      <c r="J18" s="655"/>
      <c r="K18" s="44"/>
    </row>
    <row r="19" ht="14.25" customHeight="1" outlineLevel="1">
      <c r="A19" s="176">
        <v>11</v>
      </c>
      <c r="B19" s="198" t="s">
        <v>83</v>
      </c>
      <c r="C19" s="209" t="s">
        <v>84</v>
      </c>
      <c r="D19" s="657" t="s">
        <v>85</v>
      </c>
      <c r="E19" s="501" t="s">
        <v>86</v>
      </c>
      <c r="F19" s="182" t="s">
        <v>87</v>
      </c>
      <c r="G19" s="182" t="s">
        <v>62</v>
      </c>
      <c r="H19" s="193"/>
      <c r="I19" s="216"/>
      <c r="J19" s="655"/>
      <c r="K19" s="44"/>
    </row>
    <row r="20" ht="14.25" customHeight="1" outlineLevel="1">
      <c r="A20" s="176">
        <v>12</v>
      </c>
      <c r="B20" s="209" t="s">
        <v>83</v>
      </c>
      <c r="C20" s="209" t="s">
        <v>84</v>
      </c>
      <c r="D20" s="657" t="s">
        <v>88</v>
      </c>
      <c r="E20" s="501" t="s">
        <v>89</v>
      </c>
      <c r="F20" s="182" t="s">
        <v>90</v>
      </c>
      <c r="G20" s="182" t="s">
        <v>62</v>
      </c>
      <c r="H20" s="193"/>
      <c r="I20" s="216"/>
      <c r="J20" s="655"/>
      <c r="K20" s="44"/>
    </row>
    <row r="21" ht="14.25" customHeight="1" outlineLevel="1">
      <c r="A21" s="176">
        <v>13</v>
      </c>
      <c r="B21" s="209" t="s">
        <v>83</v>
      </c>
      <c r="C21" s="209" t="s">
        <v>84</v>
      </c>
      <c r="D21" s="657" t="s">
        <v>404</v>
      </c>
      <c r="E21" s="501" t="s">
        <v>89</v>
      </c>
      <c r="F21" s="182" t="s">
        <v>405</v>
      </c>
      <c r="G21" s="182"/>
      <c r="H21" s="193"/>
      <c r="I21" s="216"/>
      <c r="J21" s="655"/>
      <c r="K21" s="44"/>
    </row>
    <row r="22" ht="14.25" customHeight="1" outlineLevel="1">
      <c r="A22" s="176">
        <v>14</v>
      </c>
      <c r="B22" s="209" t="s">
        <v>83</v>
      </c>
      <c r="C22" s="182" t="s">
        <v>91</v>
      </c>
      <c r="D22" s="658" t="s">
        <v>92</v>
      </c>
      <c r="E22" s="659" t="s">
        <v>93</v>
      </c>
      <c r="F22" s="182" t="s">
        <v>94</v>
      </c>
      <c r="G22" s="182" t="s">
        <v>62</v>
      </c>
      <c r="H22" s="193"/>
      <c r="I22" s="216"/>
      <c r="J22" s="655"/>
      <c r="K22" s="44"/>
    </row>
    <row r="23" ht="14.25" customHeight="1" outlineLevel="1">
      <c r="A23" s="176">
        <v>15</v>
      </c>
      <c r="B23" s="198" t="s">
        <v>83</v>
      </c>
      <c r="C23" s="204" t="s">
        <v>91</v>
      </c>
      <c r="D23" s="205" t="s">
        <v>95</v>
      </c>
      <c r="E23" s="505" t="s">
        <v>96</v>
      </c>
      <c r="F23" s="660" t="s">
        <v>94</v>
      </c>
      <c r="G23" s="182" t="s">
        <v>62</v>
      </c>
      <c r="H23" s="400"/>
      <c r="I23" s="42"/>
      <c r="J23" s="655"/>
      <c r="K23" s="44"/>
    </row>
    <row r="24" ht="14.25" customHeight="1" outlineLevel="1">
      <c r="A24" s="176">
        <v>16</v>
      </c>
      <c r="B24" s="198" t="s">
        <v>83</v>
      </c>
      <c r="C24" s="204" t="s">
        <v>91</v>
      </c>
      <c r="D24" s="205" t="s">
        <v>97</v>
      </c>
      <c r="E24" s="505" t="s">
        <v>98</v>
      </c>
      <c r="F24" s="401" t="s">
        <v>94</v>
      </c>
      <c r="G24" s="182" t="s">
        <v>62</v>
      </c>
      <c r="H24" s="202"/>
      <c r="I24" s="42"/>
      <c r="J24" s="655"/>
      <c r="K24" s="44"/>
    </row>
    <row r="25" ht="14.25" customHeight="1" outlineLevel="1">
      <c r="A25" s="176">
        <v>17</v>
      </c>
      <c r="B25" s="198" t="s">
        <v>83</v>
      </c>
      <c r="C25" s="204" t="s">
        <v>91</v>
      </c>
      <c r="D25" s="205" t="s">
        <v>99</v>
      </c>
      <c r="E25" s="505" t="s">
        <v>100</v>
      </c>
      <c r="F25" s="401" t="s">
        <v>94</v>
      </c>
      <c r="G25" s="182" t="s">
        <v>62</v>
      </c>
      <c r="H25" s="202"/>
      <c r="I25" s="42"/>
      <c r="J25" s="655"/>
      <c r="K25" s="44"/>
    </row>
    <row r="26" ht="14.25" customHeight="1" outlineLevel="1">
      <c r="A26" s="176">
        <v>18</v>
      </c>
      <c r="B26" s="198" t="s">
        <v>83</v>
      </c>
      <c r="C26" s="204" t="s">
        <v>91</v>
      </c>
      <c r="D26" s="205" t="s">
        <v>101</v>
      </c>
      <c r="E26" s="505" t="s">
        <v>102</v>
      </c>
      <c r="F26" s="401" t="s">
        <v>94</v>
      </c>
      <c r="G26" s="182" t="s">
        <v>62</v>
      </c>
      <c r="H26" s="202"/>
      <c r="I26" s="42"/>
      <c r="J26" s="655"/>
      <c r="K26" s="44"/>
    </row>
    <row r="27" ht="14.25" customHeight="1" outlineLevel="1">
      <c r="A27" s="176">
        <v>19</v>
      </c>
      <c r="B27" s="198" t="s">
        <v>83</v>
      </c>
      <c r="C27" s="204" t="s">
        <v>91</v>
      </c>
      <c r="D27" s="205" t="s">
        <v>103</v>
      </c>
      <c r="E27" s="505" t="s">
        <v>104</v>
      </c>
      <c r="F27" s="401" t="s">
        <v>94</v>
      </c>
      <c r="G27" s="182" t="s">
        <v>62</v>
      </c>
      <c r="H27" s="202"/>
      <c r="I27" s="42"/>
      <c r="J27" s="655"/>
      <c r="K27" s="44"/>
    </row>
    <row r="28" ht="14.25" customHeight="1" outlineLevel="1">
      <c r="A28" s="176">
        <v>20</v>
      </c>
      <c r="B28" s="198" t="s">
        <v>83</v>
      </c>
      <c r="C28" s="204" t="s">
        <v>91</v>
      </c>
      <c r="D28" s="205" t="s">
        <v>105</v>
      </c>
      <c r="E28" s="505" t="s">
        <v>106</v>
      </c>
      <c r="F28" s="401" t="s">
        <v>94</v>
      </c>
      <c r="G28" s="182" t="s">
        <v>62</v>
      </c>
      <c r="H28" s="202"/>
      <c r="I28" s="42"/>
      <c r="J28" s="655"/>
      <c r="K28" s="44"/>
    </row>
    <row r="29" ht="14.25" customHeight="1" outlineLevel="1">
      <c r="A29" s="176">
        <v>21</v>
      </c>
      <c r="B29" s="198" t="s">
        <v>83</v>
      </c>
      <c r="C29" s="204" t="s">
        <v>91</v>
      </c>
      <c r="D29" s="205" t="s">
        <v>107</v>
      </c>
      <c r="E29" s="505" t="s">
        <v>108</v>
      </c>
      <c r="F29" s="401" t="s">
        <v>94</v>
      </c>
      <c r="G29" s="182" t="s">
        <v>62</v>
      </c>
      <c r="H29" s="202"/>
      <c r="I29" s="42"/>
      <c r="J29" s="43"/>
      <c r="K29" s="44"/>
    </row>
    <row r="30" ht="14.25" customHeight="1" outlineLevel="1">
      <c r="A30" s="176">
        <v>22</v>
      </c>
      <c r="B30" s="198" t="s">
        <v>83</v>
      </c>
      <c r="C30" s="198" t="s">
        <v>109</v>
      </c>
      <c r="D30" s="199" t="s">
        <v>110</v>
      </c>
      <c r="E30" s="507" t="s">
        <v>111</v>
      </c>
      <c r="F30" s="401" t="s">
        <v>112</v>
      </c>
      <c r="G30" s="182" t="s">
        <v>62</v>
      </c>
      <c r="H30" s="202"/>
      <c r="I30" s="42"/>
      <c r="J30" s="43"/>
      <c r="K30" s="44"/>
    </row>
    <row r="31" ht="14.25" customHeight="1" outlineLevel="1">
      <c r="A31" s="176">
        <v>23</v>
      </c>
      <c r="B31" s="198" t="s">
        <v>83</v>
      </c>
      <c r="C31" s="198" t="s">
        <v>109</v>
      </c>
      <c r="D31" s="199" t="s">
        <v>113</v>
      </c>
      <c r="E31" s="507" t="s">
        <v>114</v>
      </c>
      <c r="F31" s="401" t="s">
        <v>115</v>
      </c>
      <c r="G31" s="182" t="s">
        <v>62</v>
      </c>
      <c r="H31" s="202"/>
      <c r="I31" s="42"/>
      <c r="J31" s="43"/>
      <c r="K31" s="44"/>
    </row>
    <row r="32" ht="14.25" customHeight="1" outlineLevel="1">
      <c r="A32" s="176">
        <v>24</v>
      </c>
      <c r="B32" s="209" t="s">
        <v>83</v>
      </c>
      <c r="C32" s="198" t="s">
        <v>109</v>
      </c>
      <c r="D32" s="199" t="s">
        <v>116</v>
      </c>
      <c r="E32" s="507" t="s">
        <v>117</v>
      </c>
      <c r="F32" s="401" t="s">
        <v>118</v>
      </c>
      <c r="G32" s="182" t="s">
        <v>62</v>
      </c>
      <c r="H32" s="202"/>
      <c r="I32" s="42"/>
      <c r="J32" s="43"/>
      <c r="K32" s="44"/>
    </row>
    <row r="33" ht="14.25" customHeight="1" outlineLevel="1">
      <c r="A33" s="176">
        <v>25</v>
      </c>
      <c r="B33" s="182" t="s">
        <v>83</v>
      </c>
      <c r="C33" s="182" t="s">
        <v>119</v>
      </c>
      <c r="D33" s="205" t="s">
        <v>120</v>
      </c>
      <c r="E33" s="508" t="s">
        <v>377</v>
      </c>
      <c r="F33" s="401" t="s">
        <v>122</v>
      </c>
      <c r="G33" s="182" t="s">
        <v>62</v>
      </c>
      <c r="H33" s="202"/>
      <c r="I33" s="42"/>
      <c r="J33" s="43"/>
      <c r="K33" s="44"/>
    </row>
    <row r="34" ht="14.25" customHeight="1" outlineLevel="1">
      <c r="A34" s="176">
        <v>26</v>
      </c>
      <c r="B34" s="209" t="s">
        <v>123</v>
      </c>
      <c r="C34" s="182" t="s">
        <v>124</v>
      </c>
      <c r="D34" s="205" t="s">
        <v>125</v>
      </c>
      <c r="E34" s="507" t="s">
        <v>126</v>
      </c>
      <c r="F34" s="401" t="s">
        <v>127</v>
      </c>
      <c r="G34" s="182" t="s">
        <v>62</v>
      </c>
      <c r="H34" s="202"/>
      <c r="I34" s="42"/>
      <c r="J34" s="43"/>
      <c r="K34" s="44"/>
    </row>
    <row r="35" ht="14.25" customHeight="1" outlineLevel="1">
      <c r="A35" s="176">
        <v>27</v>
      </c>
      <c r="B35" s="209" t="s">
        <v>128</v>
      </c>
      <c r="C35" s="182" t="s">
        <v>37</v>
      </c>
      <c r="D35" s="205" t="s">
        <v>129</v>
      </c>
      <c r="E35" s="507" t="s">
        <v>130</v>
      </c>
      <c r="F35" s="401" t="s">
        <v>131</v>
      </c>
      <c r="G35" s="182" t="s">
        <v>62</v>
      </c>
      <c r="H35" s="202"/>
      <c r="I35" s="42"/>
      <c r="J35" s="43"/>
      <c r="K35" s="44"/>
    </row>
    <row r="36" ht="14.25" customHeight="1" outlineLevel="1">
      <c r="A36" s="176">
        <v>28</v>
      </c>
      <c r="B36" s="182" t="s">
        <v>83</v>
      </c>
      <c r="C36" s="210" t="s">
        <v>132</v>
      </c>
      <c r="D36" s="509" t="s">
        <v>133</v>
      </c>
      <c r="E36" s="488" t="s">
        <v>134</v>
      </c>
      <c r="F36" s="489" t="s">
        <v>135</v>
      </c>
      <c r="G36" s="182" t="s">
        <v>62</v>
      </c>
      <c r="H36" s="202"/>
      <c r="I36" s="42"/>
      <c r="J36" s="43"/>
      <c r="K36" s="44"/>
    </row>
    <row r="37" ht="14.25" customHeight="1" outlineLevel="1">
      <c r="A37" s="176">
        <v>29</v>
      </c>
      <c r="B37" s="182" t="s">
        <v>83</v>
      </c>
      <c r="C37" s="190" t="s">
        <v>136</v>
      </c>
      <c r="D37" s="239" t="s">
        <v>137</v>
      </c>
      <c r="E37" s="510" t="s">
        <v>378</v>
      </c>
      <c r="F37" s="267" t="s">
        <v>139</v>
      </c>
      <c r="G37" s="182" t="s">
        <v>62</v>
      </c>
      <c r="H37" s="202"/>
      <c r="I37" s="42"/>
      <c r="J37" s="43"/>
      <c r="K37" s="44"/>
    </row>
    <row r="38" ht="14.25" customHeight="1" outlineLevel="1">
      <c r="A38" s="176">
        <v>30</v>
      </c>
      <c r="B38" s="381" t="s">
        <v>48</v>
      </c>
      <c r="C38" s="215" t="s">
        <v>49</v>
      </c>
      <c r="D38" s="34" t="s">
        <v>50</v>
      </c>
      <c r="E38" s="513" t="s">
        <v>140</v>
      </c>
      <c r="F38" s="407" t="s">
        <v>51</v>
      </c>
      <c r="G38" s="182" t="s">
        <v>62</v>
      </c>
      <c r="H38" s="202" t="s">
        <v>141</v>
      </c>
      <c r="I38" s="42"/>
      <c r="J38" s="43"/>
      <c r="K38" s="44"/>
    </row>
    <row r="39" ht="14.25" customHeight="1" outlineLevel="1">
      <c r="A39" s="176">
        <v>31</v>
      </c>
      <c r="B39" s="217" t="s">
        <v>48</v>
      </c>
      <c r="C39" s="33" t="s">
        <v>49</v>
      </c>
      <c r="D39" s="34" t="s">
        <v>50</v>
      </c>
      <c r="E39" s="513" t="s">
        <v>142</v>
      </c>
      <c r="F39" s="407" t="s">
        <v>51</v>
      </c>
      <c r="G39" s="514" t="s">
        <v>62</v>
      </c>
      <c r="H39" s="33"/>
      <c r="I39" s="42"/>
      <c r="J39" s="43"/>
      <c r="K39" s="44"/>
    </row>
    <row r="40" ht="14.25" customHeight="1" outlineLevel="1">
      <c r="A40" s="176">
        <v>32</v>
      </c>
      <c r="B40" s="204" t="s">
        <v>83</v>
      </c>
      <c r="C40" s="177" t="s">
        <v>143</v>
      </c>
      <c r="D40" s="39" t="s">
        <v>144</v>
      </c>
      <c r="E40" s="516" t="s">
        <v>145</v>
      </c>
      <c r="F40" s="410" t="s">
        <v>146</v>
      </c>
      <c r="G40" s="514" t="s">
        <v>62</v>
      </c>
      <c r="H40" s="94"/>
      <c r="I40" s="42"/>
      <c r="J40" s="43"/>
      <c r="K40" s="44"/>
    </row>
    <row r="41" ht="14.25" customHeight="1" outlineLevel="1">
      <c r="A41" s="176">
        <v>33</v>
      </c>
      <c r="B41" s="204" t="s">
        <v>83</v>
      </c>
      <c r="C41" s="518" t="s">
        <v>147</v>
      </c>
      <c r="D41" s="41" t="s">
        <v>148</v>
      </c>
      <c r="E41" s="516" t="s">
        <v>379</v>
      </c>
      <c r="F41" s="410" t="s">
        <v>150</v>
      </c>
      <c r="G41" s="514" t="s">
        <v>62</v>
      </c>
      <c r="H41" s="94"/>
      <c r="I41" s="42"/>
      <c r="J41" s="43"/>
      <c r="K41" s="44"/>
    </row>
    <row r="42" ht="14.25" customHeight="1" outlineLevel="1">
      <c r="A42" s="176">
        <v>34</v>
      </c>
      <c r="B42" s="204" t="s">
        <v>83</v>
      </c>
      <c r="C42" s="518" t="s">
        <v>147</v>
      </c>
      <c r="D42" s="39" t="s">
        <v>461</v>
      </c>
      <c r="E42" s="211" t="s">
        <v>462</v>
      </c>
      <c r="F42" s="41" t="s">
        <v>463</v>
      </c>
      <c r="G42" s="514" t="s">
        <v>62</v>
      </c>
      <c r="H42" s="42"/>
      <c r="I42" s="42"/>
      <c r="J42" s="43"/>
      <c r="K42" s="44"/>
    </row>
    <row r="43" ht="14.25" customHeight="1" outlineLevel="1">
      <c r="A43" s="176">
        <v>35</v>
      </c>
      <c r="B43" s="204" t="s">
        <v>83</v>
      </c>
      <c r="C43" s="518" t="s">
        <v>147</v>
      </c>
      <c r="D43" s="39" t="s">
        <v>464</v>
      </c>
      <c r="E43" s="211" t="s">
        <v>465</v>
      </c>
      <c r="F43" s="41" t="s">
        <v>466</v>
      </c>
      <c r="G43" s="514" t="s">
        <v>62</v>
      </c>
      <c r="H43" s="42"/>
      <c r="I43" s="42"/>
      <c r="J43" s="43"/>
      <c r="K43" s="44"/>
    </row>
    <row r="44" ht="14.25" customHeight="1" outlineLevel="1">
      <c r="A44" s="176">
        <v>36</v>
      </c>
      <c r="B44" s="681" t="s">
        <v>495</v>
      </c>
      <c r="C44" s="39" t="s">
        <v>496</v>
      </c>
      <c r="D44" s="39" t="s">
        <v>497</v>
      </c>
      <c r="E44" s="178">
        <v>1000</v>
      </c>
      <c r="F44" s="41" t="s">
        <v>498</v>
      </c>
      <c r="G44" s="514" t="s">
        <v>62</v>
      </c>
      <c r="H44" s="42" t="s">
        <v>141</v>
      </c>
      <c r="I44" s="42"/>
      <c r="J44" s="43" t="s">
        <v>47</v>
      </c>
      <c r="K44" s="44"/>
    </row>
    <row r="45" ht="14.25" customHeight="1" outlineLevel="1">
      <c r="A45" s="176">
        <v>37</v>
      </c>
      <c r="B45" s="682" t="s">
        <v>57</v>
      </c>
      <c r="C45" s="683" t="s">
        <v>171</v>
      </c>
      <c r="D45" s="684" t="s">
        <v>499</v>
      </c>
      <c r="E45" s="685">
        <v>33385</v>
      </c>
      <c r="F45" s="686" t="s">
        <v>500</v>
      </c>
      <c r="G45" s="514" t="s">
        <v>62</v>
      </c>
      <c r="H45" s="687" t="s">
        <v>141</v>
      </c>
      <c r="I45" s="688" t="s">
        <v>501</v>
      </c>
      <c r="J45" s="689" t="s">
        <v>47</v>
      </c>
      <c r="K45" s="44"/>
    </row>
    <row r="46" ht="14.25" customHeight="1" outlineLevel="1">
      <c r="A46" s="176">
        <v>38</v>
      </c>
      <c r="B46" s="690" t="s">
        <v>57</v>
      </c>
      <c r="C46" s="691" t="s">
        <v>171</v>
      </c>
      <c r="D46" s="692" t="s">
        <v>502</v>
      </c>
      <c r="E46" s="693">
        <v>53550</v>
      </c>
      <c r="F46" s="694" t="s">
        <v>503</v>
      </c>
      <c r="G46" s="514" t="s">
        <v>62</v>
      </c>
      <c r="H46" s="512" t="s">
        <v>141</v>
      </c>
      <c r="I46" s="695" t="s">
        <v>501</v>
      </c>
      <c r="J46" s="36" t="s">
        <v>47</v>
      </c>
      <c r="K46" s="44"/>
    </row>
    <row r="47" ht="14.25" customHeight="1" outlineLevel="1">
      <c r="A47" s="176">
        <v>39</v>
      </c>
      <c r="B47" s="177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176">
        <v>40</v>
      </c>
      <c r="B48" s="177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176">
        <v>41</v>
      </c>
      <c r="B49" s="177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176">
        <v>42</v>
      </c>
      <c r="B50" s="177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176">
        <v>43</v>
      </c>
      <c r="B51" s="177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176">
        <v>44</v>
      </c>
      <c r="B52" s="177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176">
        <v>45</v>
      </c>
      <c r="B53" s="177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176">
        <v>46</v>
      </c>
      <c r="B54" s="177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176">
        <v>47</v>
      </c>
      <c r="B55" s="177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176">
        <v>48</v>
      </c>
      <c r="B56" s="177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176">
        <v>49</v>
      </c>
      <c r="B57" s="177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176">
        <v>50</v>
      </c>
      <c r="B58" s="177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176">
        <v>51</v>
      </c>
      <c r="B59" s="177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176">
        <v>52</v>
      </c>
      <c r="B60" s="245"/>
      <c r="C60" s="59"/>
      <c r="D60" s="59"/>
      <c r="E60" s="60"/>
      <c r="F60" s="61"/>
      <c r="G60" s="61"/>
      <c r="H60" s="59"/>
      <c r="I60" s="59"/>
      <c r="J60" s="57"/>
      <c r="K60" s="58"/>
    </row>
    <row r="61" s="21" customFormat="1" ht="18.75" customHeight="1" outlineLevel="1">
      <c r="A61" s="246"/>
      <c r="B61" s="23" t="s">
        <v>18</v>
      </c>
      <c r="C61" s="24"/>
      <c r="D61" s="25"/>
      <c r="E61" s="26"/>
      <c r="F61" s="23"/>
      <c r="G61" s="172"/>
      <c r="H61" s="23"/>
      <c r="I61" s="23"/>
      <c r="J61" s="23"/>
      <c r="K61" s="27"/>
    </row>
    <row r="62" ht="14.25" customHeight="1" outlineLevel="1">
      <c r="A62" s="62">
        <v>1</v>
      </c>
      <c r="B62" s="696" t="s">
        <v>209</v>
      </c>
      <c r="C62" s="696" t="s">
        <v>213</v>
      </c>
      <c r="D62" s="696" t="s">
        <v>467</v>
      </c>
      <c r="E62" s="697" t="s">
        <v>468</v>
      </c>
      <c r="F62" s="696" t="s">
        <v>469</v>
      </c>
      <c r="G62" s="698"/>
      <c r="H62" s="349"/>
      <c r="I62" s="107"/>
      <c r="J62" s="354"/>
      <c r="K62" s="355"/>
    </row>
    <row r="63" ht="14.25" customHeight="1" outlineLevel="1">
      <c r="A63" s="256">
        <v>2</v>
      </c>
      <c r="B63" s="249" t="s">
        <v>199</v>
      </c>
      <c r="C63" s="249" t="s">
        <v>200</v>
      </c>
      <c r="D63" s="249" t="s">
        <v>201</v>
      </c>
      <c r="E63" s="250" t="s">
        <v>202</v>
      </c>
      <c r="F63" s="330" t="s">
        <v>203</v>
      </c>
      <c r="G63" s="182" t="s">
        <v>62</v>
      </c>
      <c r="H63" s="245"/>
      <c r="I63" s="59"/>
      <c r="J63" s="57"/>
      <c r="K63" s="58"/>
    </row>
    <row r="64" ht="14.25" customHeight="1" outlineLevel="1">
      <c r="A64" s="68">
        <v>3</v>
      </c>
      <c r="B64" s="253" t="s">
        <v>204</v>
      </c>
      <c r="C64" s="253" t="s">
        <v>205</v>
      </c>
      <c r="D64" s="253" t="s">
        <v>206</v>
      </c>
      <c r="E64" s="552" t="s">
        <v>207</v>
      </c>
      <c r="F64" s="255" t="s">
        <v>208</v>
      </c>
      <c r="G64" s="182" t="s">
        <v>62</v>
      </c>
      <c r="H64" s="245"/>
      <c r="I64" s="59"/>
      <c r="J64" s="57"/>
      <c r="K64" s="58"/>
    </row>
    <row r="65" ht="14.25" customHeight="1" outlineLevel="1">
      <c r="A65" s="68">
        <v>4</v>
      </c>
      <c r="B65" s="553" t="s">
        <v>406</v>
      </c>
      <c r="C65" s="553" t="s">
        <v>407</v>
      </c>
      <c r="D65" s="553" t="s">
        <v>408</v>
      </c>
      <c r="E65" s="254" t="s">
        <v>409</v>
      </c>
      <c r="F65" s="558" t="s">
        <v>410</v>
      </c>
      <c r="G65" s="476"/>
      <c r="H65" s="245"/>
      <c r="I65" s="59"/>
      <c r="J65" s="57"/>
      <c r="K65" s="58"/>
    </row>
    <row r="66" ht="14.25" customHeight="1" outlineLevel="1">
      <c r="A66" s="256">
        <v>5</v>
      </c>
      <c r="B66" s="555" t="s">
        <v>406</v>
      </c>
      <c r="C66" s="555" t="s">
        <v>411</v>
      </c>
      <c r="D66" s="556" t="s">
        <v>412</v>
      </c>
      <c r="E66" s="663" t="s">
        <v>413</v>
      </c>
      <c r="F66" s="558" t="s">
        <v>410</v>
      </c>
      <c r="G66" s="476"/>
      <c r="H66" s="245"/>
      <c r="I66" s="59"/>
      <c r="J66" s="57"/>
      <c r="K66" s="58"/>
    </row>
    <row r="67" s="347" customFormat="1" ht="85.5" outlineLevel="1">
      <c r="A67" s="425">
        <v>6</v>
      </c>
      <c r="B67" s="107" t="s">
        <v>209</v>
      </c>
      <c r="C67" s="107" t="s">
        <v>382</v>
      </c>
      <c r="D67" s="107" t="s">
        <v>504</v>
      </c>
      <c r="E67" s="699">
        <v>250000</v>
      </c>
      <c r="F67" s="700" t="s">
        <v>505</v>
      </c>
      <c r="G67" s="182" t="s">
        <v>62</v>
      </c>
      <c r="H67" s="701" t="s">
        <v>141</v>
      </c>
      <c r="I67" s="107"/>
      <c r="J67" s="428" t="s">
        <v>47</v>
      </c>
      <c r="K67" s="429"/>
    </row>
    <row r="68" ht="14.25" customHeight="1" outlineLevel="1">
      <c r="A68" s="68">
        <v>7</v>
      </c>
      <c r="B68" s="59" t="s">
        <v>506</v>
      </c>
      <c r="C68" s="59" t="s">
        <v>507</v>
      </c>
      <c r="D68" s="59"/>
      <c r="E68" s="224">
        <v>66000</v>
      </c>
      <c r="F68" s="702" t="s">
        <v>508</v>
      </c>
      <c r="G68" s="182" t="s">
        <v>62</v>
      </c>
      <c r="H68" s="245"/>
      <c r="I68" s="59" t="s">
        <v>509</v>
      </c>
      <c r="J68" s="57" t="s">
        <v>47</v>
      </c>
      <c r="K68" s="58"/>
    </row>
    <row r="69" ht="14.25" customHeight="1" outlineLevel="1">
      <c r="A69" s="68">
        <v>8</v>
      </c>
      <c r="B69" s="59"/>
      <c r="C69" s="59"/>
      <c r="D69" s="59"/>
      <c r="E69" s="60"/>
      <c r="F69" s="61"/>
      <c r="G69" s="99"/>
      <c r="H69" s="59"/>
      <c r="I69" s="59"/>
      <c r="J69" s="57"/>
      <c r="K69" s="58"/>
    </row>
    <row r="70" ht="14.25" customHeight="1" outlineLevel="1">
      <c r="A70" s="68">
        <v>9</v>
      </c>
      <c r="B70" s="59"/>
      <c r="C70" s="59"/>
      <c r="D70" s="59"/>
      <c r="E70" s="60"/>
      <c r="F70" s="61"/>
      <c r="G70" s="59"/>
      <c r="H70" s="59"/>
      <c r="I70" s="59"/>
      <c r="J70" s="57"/>
      <c r="K70" s="58"/>
    </row>
    <row r="71" ht="14.25" customHeight="1" outlineLevel="1">
      <c r="A71" s="68">
        <v>10</v>
      </c>
      <c r="B71" s="59"/>
      <c r="C71" s="59"/>
      <c r="D71" s="59"/>
      <c r="E71" s="60"/>
      <c r="F71" s="61"/>
      <c r="G71" s="59"/>
      <c r="H71" s="59"/>
      <c r="I71" s="59"/>
      <c r="J71" s="57"/>
      <c r="K71" s="58"/>
    </row>
    <row r="72" ht="14.25" customHeight="1" outlineLevel="1">
      <c r="A72" s="68">
        <v>11</v>
      </c>
      <c r="B72" s="59"/>
      <c r="C72" s="59"/>
      <c r="D72" s="59"/>
      <c r="E72" s="60"/>
      <c r="F72" s="61"/>
      <c r="G72" s="59"/>
      <c r="H72" s="59"/>
      <c r="I72" s="59"/>
      <c r="J72" s="57"/>
      <c r="K72" s="58"/>
    </row>
    <row r="73" ht="14.25" customHeight="1" outlineLevel="1">
      <c r="A73" s="68">
        <v>12</v>
      </c>
      <c r="B73" s="59"/>
      <c r="C73" s="59"/>
      <c r="D73" s="59"/>
      <c r="E73" s="60"/>
      <c r="F73" s="61"/>
      <c r="G73" s="59"/>
      <c r="H73" s="59"/>
      <c r="I73" s="59"/>
      <c r="J73" s="57"/>
      <c r="K73" s="58"/>
    </row>
    <row r="74" ht="14.25" customHeight="1" outlineLevel="1">
      <c r="A74" s="68">
        <v>13</v>
      </c>
      <c r="B74" s="59"/>
      <c r="C74" s="59"/>
      <c r="D74" s="59"/>
      <c r="E74" s="60"/>
      <c r="F74" s="61"/>
      <c r="G74" s="59"/>
      <c r="H74" s="59"/>
      <c r="I74" s="59"/>
      <c r="J74" s="57"/>
      <c r="K74" s="58"/>
    </row>
    <row r="75" ht="14.25" customHeight="1" outlineLevel="1">
      <c r="A75" s="68">
        <v>14</v>
      </c>
      <c r="B75" s="59"/>
      <c r="C75" s="59"/>
      <c r="D75" s="59"/>
      <c r="E75" s="60"/>
      <c r="F75" s="61"/>
      <c r="G75" s="59"/>
      <c r="H75" s="59"/>
      <c r="I75" s="59"/>
      <c r="J75" s="57"/>
      <c r="K75" s="58"/>
    </row>
    <row r="76" ht="14.25" customHeight="1" outlineLevel="1">
      <c r="A76" s="68">
        <v>15</v>
      </c>
      <c r="B76" s="59"/>
      <c r="C76" s="59"/>
      <c r="D76" s="59"/>
      <c r="E76" s="60"/>
      <c r="F76" s="61"/>
      <c r="G76" s="59"/>
      <c r="H76" s="59"/>
      <c r="I76" s="59"/>
      <c r="J76" s="57"/>
      <c r="K76" s="58"/>
    </row>
    <row r="77" ht="14.25" customHeight="1" outlineLevel="1">
      <c r="A77" s="68">
        <v>16</v>
      </c>
      <c r="B77" s="59"/>
      <c r="C77" s="59"/>
      <c r="D77" s="59"/>
      <c r="E77" s="60"/>
      <c r="F77" s="61"/>
      <c r="G77" s="59"/>
      <c r="H77" s="59"/>
      <c r="I77" s="59"/>
      <c r="J77" s="57"/>
      <c r="K77" s="58"/>
    </row>
    <row r="78" ht="14.25" customHeight="1" outlineLevel="1">
      <c r="A78" s="68">
        <v>17</v>
      </c>
      <c r="B78" s="59"/>
      <c r="C78" s="59"/>
      <c r="D78" s="59"/>
      <c r="E78" s="60"/>
      <c r="F78" s="61"/>
      <c r="G78" s="59"/>
      <c r="H78" s="59"/>
      <c r="I78" s="59"/>
      <c r="J78" s="57"/>
      <c r="K78" s="58"/>
    </row>
    <row r="79" ht="14.25" customHeight="1" outlineLevel="1">
      <c r="A79" s="68">
        <v>18</v>
      </c>
      <c r="B79" s="59"/>
      <c r="C79" s="59"/>
      <c r="D79" s="59"/>
      <c r="E79" s="60"/>
      <c r="F79" s="61"/>
      <c r="G79" s="59"/>
      <c r="H79" s="59"/>
      <c r="I79" s="59"/>
      <c r="J79" s="57"/>
      <c r="K79" s="58"/>
    </row>
    <row r="80" ht="14.25" customHeight="1" outlineLevel="1">
      <c r="A80" s="68">
        <v>19</v>
      </c>
      <c r="B80" s="59"/>
      <c r="C80" s="59"/>
      <c r="D80" s="59"/>
      <c r="E80" s="60"/>
      <c r="F80" s="61"/>
      <c r="G80" s="59"/>
      <c r="H80" s="59"/>
      <c r="I80" s="59"/>
      <c r="J80" s="57"/>
      <c r="K80" s="58"/>
    </row>
    <row r="81" ht="14.25" customHeight="1" outlineLevel="1">
      <c r="A81" s="69">
        <v>20</v>
      </c>
      <c r="B81" s="70"/>
      <c r="C81" s="70"/>
      <c r="D81" s="70"/>
      <c r="E81" s="71"/>
      <c r="F81" s="72"/>
      <c r="G81" s="70"/>
      <c r="H81" s="70"/>
      <c r="I81" s="70"/>
      <c r="J81" s="73"/>
      <c r="K81" s="74"/>
    </row>
    <row r="82" s="21" customFormat="1" ht="18.75" customHeight="1" outlineLevel="1">
      <c r="A82" s="22"/>
      <c r="B82" s="23" t="s">
        <v>19</v>
      </c>
      <c r="C82" s="24"/>
      <c r="D82" s="25"/>
      <c r="E82" s="26"/>
      <c r="F82" s="23"/>
      <c r="G82" s="23"/>
      <c r="H82" s="23"/>
      <c r="I82" s="23"/>
      <c r="J82" s="23"/>
      <c r="K82" s="27"/>
    </row>
    <row r="83" ht="14.25" customHeight="1" outlineLevel="1">
      <c r="A83" s="62">
        <v>1</v>
      </c>
      <c r="B83" s="703" t="s">
        <v>222</v>
      </c>
      <c r="C83" s="704" t="s">
        <v>223</v>
      </c>
      <c r="D83" s="704" t="s">
        <v>227</v>
      </c>
      <c r="E83" s="705" t="s">
        <v>494</v>
      </c>
      <c r="F83" s="704" t="s">
        <v>460</v>
      </c>
      <c r="G83" s="63"/>
      <c r="H83" s="63"/>
      <c r="I83" s="63"/>
      <c r="J83" s="66"/>
      <c r="K83" s="67"/>
    </row>
    <row r="84" ht="14.25" customHeight="1" outlineLevel="1">
      <c r="A84" s="68">
        <v>2</v>
      </c>
      <c r="B84" s="572" t="s">
        <v>153</v>
      </c>
      <c r="C84" s="276" t="s">
        <v>223</v>
      </c>
      <c r="D84" s="573" t="s">
        <v>227</v>
      </c>
      <c r="E84" s="706" t="s">
        <v>242</v>
      </c>
      <c r="F84" s="572" t="s">
        <v>228</v>
      </c>
      <c r="G84" s="575"/>
      <c r="H84" s="575"/>
      <c r="I84" s="575" t="s">
        <v>231</v>
      </c>
      <c r="J84" s="576"/>
      <c r="K84" s="577" t="s">
        <v>230</v>
      </c>
    </row>
    <row r="85" ht="14.25" customHeight="1" outlineLevel="1">
      <c r="A85" s="68">
        <v>3</v>
      </c>
      <c r="B85" s="76" t="s">
        <v>153</v>
      </c>
      <c r="C85" s="300" t="s">
        <v>243</v>
      </c>
      <c r="D85" s="61" t="s">
        <v>244</v>
      </c>
      <c r="E85" s="706" t="s">
        <v>245</v>
      </c>
      <c r="F85" s="61" t="s">
        <v>246</v>
      </c>
      <c r="G85" s="99"/>
      <c r="H85" s="99" t="s">
        <v>141</v>
      </c>
      <c r="I85" s="99"/>
      <c r="J85" s="302"/>
      <c r="K85" s="303"/>
    </row>
    <row r="86" ht="14.25" customHeight="1" outlineLevel="1">
      <c r="A86" s="68"/>
      <c r="B86" s="281" t="s">
        <v>153</v>
      </c>
      <c r="C86" s="286" t="s">
        <v>233</v>
      </c>
      <c r="D86" s="56" t="s">
        <v>510</v>
      </c>
      <c r="E86" s="706" t="s">
        <v>511</v>
      </c>
      <c r="F86" s="79" t="s">
        <v>512</v>
      </c>
      <c r="G86" s="56"/>
      <c r="H86" s="56"/>
      <c r="I86" s="99"/>
      <c r="J86" s="302"/>
      <c r="K86" s="303"/>
    </row>
    <row r="87" ht="14.25" customHeight="1" outlineLevel="1">
      <c r="A87" s="68">
        <v>4</v>
      </c>
      <c r="B87" s="281" t="s">
        <v>153</v>
      </c>
      <c r="C87" s="286" t="s">
        <v>233</v>
      </c>
      <c r="D87" s="287" t="s">
        <v>513</v>
      </c>
      <c r="E87" s="288">
        <v>56255</v>
      </c>
      <c r="F87" s="702" t="s">
        <v>249</v>
      </c>
      <c r="G87" s="182" t="s">
        <v>62</v>
      </c>
      <c r="H87" s="245" t="s">
        <v>141</v>
      </c>
      <c r="I87" s="59"/>
      <c r="J87" s="57" t="s">
        <v>47</v>
      </c>
      <c r="K87" s="58"/>
    </row>
    <row r="88" s="21" customFormat="1" ht="18.75" customHeight="1" outlineLevel="1">
      <c r="A88" s="171"/>
      <c r="B88" s="172" t="s">
        <v>20</v>
      </c>
      <c r="C88" s="173"/>
      <c r="D88" s="174"/>
      <c r="E88" s="175"/>
      <c r="F88" s="172"/>
      <c r="G88" s="346"/>
      <c r="H88" s="172"/>
      <c r="I88" s="172"/>
      <c r="J88" s="172"/>
      <c r="K88" s="247"/>
    </row>
    <row r="89" ht="14.25" customHeight="1" outlineLevel="1">
      <c r="A89" s="191">
        <v>1</v>
      </c>
      <c r="B89" s="707" t="s">
        <v>45</v>
      </c>
      <c r="C89" s="707" t="s">
        <v>256</v>
      </c>
      <c r="D89" s="707"/>
      <c r="E89" s="250" t="s">
        <v>424</v>
      </c>
      <c r="F89" s="708" t="s">
        <v>257</v>
      </c>
      <c r="G89" s="707"/>
      <c r="H89" s="191"/>
      <c r="I89" s="191"/>
      <c r="J89" s="277"/>
      <c r="K89" s="277"/>
    </row>
    <row r="90" ht="14.25" customHeight="1" outlineLevel="1">
      <c r="A90" s="191">
        <v>3</v>
      </c>
      <c r="B90" s="191"/>
      <c r="C90" s="191"/>
      <c r="D90" s="191"/>
      <c r="E90" s="709"/>
      <c r="F90" s="190"/>
      <c r="G90" s="191"/>
      <c r="H90" s="191"/>
      <c r="I90" s="191"/>
      <c r="J90" s="277"/>
      <c r="K90" s="277"/>
    </row>
    <row r="91" ht="14.25" customHeight="1" outlineLevel="1">
      <c r="A91" s="191">
        <v>4</v>
      </c>
      <c r="B91" s="191"/>
      <c r="C91" s="191"/>
      <c r="D91" s="191"/>
      <c r="E91" s="709"/>
      <c r="F91" s="190"/>
      <c r="G91" s="191"/>
      <c r="H91" s="191"/>
      <c r="I91" s="191"/>
      <c r="J91" s="277"/>
      <c r="K91" s="277"/>
    </row>
    <row r="92" ht="14.25" customHeight="1" outlineLevel="1">
      <c r="A92" s="430">
        <v>5</v>
      </c>
      <c r="B92" s="579"/>
      <c r="C92" s="579"/>
      <c r="D92" s="579"/>
      <c r="E92" s="358"/>
      <c r="F92" s="710"/>
      <c r="G92" s="579"/>
      <c r="H92" s="579"/>
      <c r="I92" s="579"/>
      <c r="J92" s="580"/>
      <c r="K92" s="581"/>
    </row>
    <row r="93" ht="14.25" customHeight="1" outlineLevel="1">
      <c r="A93" s="68">
        <v>6</v>
      </c>
      <c r="B93" s="70"/>
      <c r="C93" s="70"/>
      <c r="D93" s="70"/>
      <c r="E93" s="71"/>
      <c r="F93" s="72"/>
      <c r="G93" s="70"/>
      <c r="H93" s="70"/>
      <c r="I93" s="70"/>
      <c r="J93" s="73"/>
      <c r="K93" s="74"/>
    </row>
    <row r="94" s="21" customFormat="1" ht="23.25" customHeight="1">
      <c r="A94" s="82" t="s">
        <v>21</v>
      </c>
      <c r="B94" s="83"/>
      <c r="C94" s="83"/>
      <c r="D94" s="84"/>
      <c r="E94" s="85">
        <f>SUM(E10:E93)</f>
        <v>460190</v>
      </c>
      <c r="F94" s="21"/>
      <c r="G94" s="21"/>
      <c r="H94" s="21"/>
      <c r="I94" s="21"/>
      <c r="J94" s="21"/>
      <c r="K94" s="21"/>
    </row>
    <row r="95" s="21" customFormat="1" ht="23.25" customHeight="1">
      <c r="A95" s="82" t="s">
        <v>22</v>
      </c>
      <c r="B95" s="83"/>
      <c r="C95" s="83"/>
      <c r="D95" s="84"/>
      <c r="E95" s="85">
        <f>E4-E94</f>
        <v>462491.06999999995</v>
      </c>
      <c r="F95" s="86"/>
      <c r="G95" s="21"/>
      <c r="H95" s="21"/>
      <c r="I95" s="21"/>
      <c r="J95" s="21"/>
      <c r="K95" s="2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29.25" customHeight="1">
      <c r="A97" s="9" t="s">
        <v>23</v>
      </c>
      <c r="B97" s="10"/>
      <c r="C97" s="10"/>
      <c r="D97" s="11"/>
      <c r="E97" s="12">
        <f>SUM(E98:E99)</f>
        <v>690319.07999999996</v>
      </c>
      <c r="F97" s="640" t="s">
        <v>44</v>
      </c>
      <c r="G97" s="13"/>
      <c r="H97" s="13"/>
      <c r="I97" s="13"/>
      <c r="J97" s="1"/>
      <c r="K97" s="1"/>
    </row>
    <row r="98" ht="15" customHeight="1">
      <c r="A98" s="14"/>
      <c r="B98" s="15"/>
      <c r="C98" s="15"/>
      <c r="D98" s="16"/>
      <c r="E98" s="17"/>
      <c r="F98" s="13"/>
      <c r="G98" s="13"/>
      <c r="H98" s="13"/>
      <c r="I98" s="13"/>
      <c r="J98" s="1"/>
      <c r="K98" s="1"/>
    </row>
    <row r="99" ht="15" customHeight="1">
      <c r="A99" s="14" t="s">
        <v>24</v>
      </c>
      <c r="B99" s="15"/>
      <c r="C99" s="15"/>
      <c r="D99" s="16"/>
      <c r="E99" s="17">
        <v>690319.07999999996</v>
      </c>
      <c r="F99" s="13"/>
      <c r="G99" s="13"/>
      <c r="H99" s="13"/>
      <c r="I99" s="13"/>
      <c r="J99" s="1"/>
      <c r="K99" s="1"/>
    </row>
    <row r="100" ht="6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"/>
      <c r="K100" s="1"/>
    </row>
    <row r="101" ht="26.25" customHeight="1" outlineLevel="1">
      <c r="A101" s="87" t="s">
        <v>6</v>
      </c>
      <c r="B101" s="87" t="s">
        <v>7</v>
      </c>
      <c r="C101" s="87" t="s">
        <v>8</v>
      </c>
      <c r="D101" s="87" t="s">
        <v>9</v>
      </c>
      <c r="E101" s="88" t="s">
        <v>10</v>
      </c>
      <c r="F101" s="87" t="s">
        <v>11</v>
      </c>
      <c r="G101" s="87" t="s">
        <v>12</v>
      </c>
      <c r="H101" s="89" t="s">
        <v>13</v>
      </c>
      <c r="I101" s="87" t="s">
        <v>14</v>
      </c>
      <c r="J101" s="87" t="s">
        <v>15</v>
      </c>
      <c r="K101" s="87" t="s">
        <v>16</v>
      </c>
    </row>
    <row r="102" s="21" customFormat="1" ht="20.25" customHeight="1" outlineLevel="1">
      <c r="A102" s="171"/>
      <c r="B102" s="23" t="s">
        <v>25</v>
      </c>
      <c r="C102" s="24"/>
      <c r="D102" s="25"/>
      <c r="E102" s="26"/>
      <c r="F102" s="23"/>
      <c r="G102" s="23"/>
      <c r="H102" s="23"/>
      <c r="I102" s="23"/>
      <c r="J102" s="23"/>
      <c r="K102" s="27"/>
    </row>
    <row r="103" ht="14.25" customHeight="1" outlineLevel="1">
      <c r="A103" s="191">
        <v>1</v>
      </c>
      <c r="B103" s="177" t="s">
        <v>259</v>
      </c>
      <c r="C103" s="39" t="s">
        <v>260</v>
      </c>
      <c r="D103" s="39" t="s">
        <v>261</v>
      </c>
      <c r="E103" s="211" t="s">
        <v>262</v>
      </c>
      <c r="F103" s="41" t="s">
        <v>263</v>
      </c>
      <c r="G103" s="39"/>
      <c r="H103" s="42"/>
      <c r="I103" s="59"/>
      <c r="J103" s="66"/>
      <c r="K103" s="67"/>
    </row>
    <row r="104" ht="14.25" customHeight="1" outlineLevel="1">
      <c r="A104" s="191">
        <v>2</v>
      </c>
      <c r="B104" s="177" t="s">
        <v>259</v>
      </c>
      <c r="C104" s="39" t="s">
        <v>260</v>
      </c>
      <c r="D104" s="39" t="s">
        <v>264</v>
      </c>
      <c r="E104" s="211" t="s">
        <v>475</v>
      </c>
      <c r="F104" s="48" t="s">
        <v>266</v>
      </c>
      <c r="G104" s="39"/>
      <c r="H104" s="42"/>
      <c r="I104" s="59"/>
      <c r="J104" s="57"/>
      <c r="K104" s="58"/>
    </row>
    <row r="105" ht="14.25" customHeight="1" outlineLevel="1">
      <c r="A105" s="191">
        <v>3</v>
      </c>
      <c r="B105" s="241" t="s">
        <v>259</v>
      </c>
      <c r="C105" s="46" t="s">
        <v>260</v>
      </c>
      <c r="D105" s="48" t="s">
        <v>484</v>
      </c>
      <c r="E105" s="711" t="s">
        <v>514</v>
      </c>
      <c r="F105" s="228" t="s">
        <v>486</v>
      </c>
      <c r="G105" s="177"/>
      <c r="H105" s="42"/>
      <c r="I105" s="59"/>
      <c r="J105" s="57"/>
      <c r="K105" s="58"/>
    </row>
    <row r="106" ht="14.25" customHeight="1" outlineLevel="1">
      <c r="A106" s="191">
        <v>4</v>
      </c>
      <c r="B106" s="210" t="s">
        <v>259</v>
      </c>
      <c r="C106" s="249" t="s">
        <v>267</v>
      </c>
      <c r="D106" s="228" t="s">
        <v>515</v>
      </c>
      <c r="E106" s="213" t="s">
        <v>516</v>
      </c>
      <c r="F106" s="228" t="s">
        <v>517</v>
      </c>
      <c r="G106" s="177"/>
      <c r="H106" s="42"/>
      <c r="I106" s="59"/>
      <c r="J106" s="57"/>
      <c r="K106" s="58"/>
    </row>
    <row r="107" ht="14.25" customHeight="1" outlineLevel="1">
      <c r="A107" s="191">
        <v>5</v>
      </c>
      <c r="B107" s="681" t="s">
        <v>259</v>
      </c>
      <c r="C107" s="551" t="s">
        <v>267</v>
      </c>
      <c r="D107" s="551" t="s">
        <v>268</v>
      </c>
      <c r="E107" s="595" t="s">
        <v>518</v>
      </c>
      <c r="F107" s="594" t="s">
        <v>270</v>
      </c>
      <c r="G107" s="39"/>
      <c r="H107" s="42"/>
      <c r="I107" s="59"/>
      <c r="J107" s="57"/>
      <c r="K107" s="58"/>
    </row>
    <row r="108" ht="14.25" customHeight="1" outlineLevel="1">
      <c r="A108" s="191">
        <v>6</v>
      </c>
      <c r="B108" s="177" t="s">
        <v>259</v>
      </c>
      <c r="C108" s="39" t="s">
        <v>109</v>
      </c>
      <c r="D108" s="39" t="s">
        <v>271</v>
      </c>
      <c r="E108" s="314" t="s">
        <v>272</v>
      </c>
      <c r="F108" s="315" t="s">
        <v>273</v>
      </c>
      <c r="G108" s="177"/>
      <c r="H108" s="42"/>
      <c r="I108" s="59"/>
      <c r="J108" s="57"/>
      <c r="K108" s="58"/>
    </row>
    <row r="109" ht="14.25" customHeight="1" outlineLevel="1">
      <c r="A109" s="191">
        <v>7</v>
      </c>
      <c r="B109" s="712" t="s">
        <v>274</v>
      </c>
      <c r="C109" s="39" t="s">
        <v>275</v>
      </c>
      <c r="D109" s="185" t="s">
        <v>276</v>
      </c>
      <c r="E109" s="314" t="s">
        <v>277</v>
      </c>
      <c r="F109" s="316" t="s">
        <v>278</v>
      </c>
      <c r="G109" s="177"/>
      <c r="H109" s="42"/>
      <c r="I109" s="59"/>
      <c r="J109" s="57"/>
      <c r="K109" s="58"/>
    </row>
    <row r="110" ht="14.25" customHeight="1" outlineLevel="1">
      <c r="A110" s="191">
        <v>8</v>
      </c>
      <c r="B110" s="713" t="s">
        <v>279</v>
      </c>
      <c r="C110" s="714" t="s">
        <v>136</v>
      </c>
      <c r="D110" s="715" t="s">
        <v>280</v>
      </c>
      <c r="E110" s="716" t="s">
        <v>281</v>
      </c>
      <c r="F110" s="715" t="s">
        <v>282</v>
      </c>
      <c r="G110" s="177"/>
      <c r="H110" s="42"/>
      <c r="I110" s="59"/>
      <c r="J110" s="57"/>
      <c r="K110" s="58"/>
    </row>
    <row r="111" ht="14.25" customHeight="1" outlineLevel="1">
      <c r="A111" s="191">
        <v>9</v>
      </c>
      <c r="B111" s="244" t="s">
        <v>259</v>
      </c>
      <c r="C111" s="79" t="s">
        <v>325</v>
      </c>
      <c r="D111" s="79" t="s">
        <v>326</v>
      </c>
      <c r="E111" s="717" t="s">
        <v>519</v>
      </c>
      <c r="F111" s="718" t="s">
        <v>328</v>
      </c>
      <c r="G111" s="177"/>
      <c r="H111" s="42"/>
      <c r="I111" s="59"/>
      <c r="J111" s="57"/>
      <c r="K111" s="58"/>
    </row>
    <row r="112" ht="14.25" customHeight="1" outlineLevel="1">
      <c r="A112" s="191">
        <v>10</v>
      </c>
      <c r="B112" s="317" t="s">
        <v>283</v>
      </c>
      <c r="C112" s="319" t="s">
        <v>284</v>
      </c>
      <c r="D112" s="319" t="s">
        <v>285</v>
      </c>
      <c r="E112" s="719" t="s">
        <v>286</v>
      </c>
      <c r="F112" s="319" t="s">
        <v>287</v>
      </c>
      <c r="G112" s="177"/>
      <c r="H112" s="42"/>
      <c r="I112" s="59"/>
      <c r="J112" s="57"/>
      <c r="K112" s="58"/>
    </row>
    <row r="113" ht="14.25" customHeight="1" outlineLevel="1">
      <c r="A113" s="191">
        <v>11</v>
      </c>
      <c r="B113" s="210" t="s">
        <v>259</v>
      </c>
      <c r="C113" s="228" t="s">
        <v>275</v>
      </c>
      <c r="D113" s="228" t="s">
        <v>520</v>
      </c>
      <c r="E113" s="720" t="s">
        <v>277</v>
      </c>
      <c r="F113" s="228" t="s">
        <v>521</v>
      </c>
      <c r="G113" s="177"/>
      <c r="H113" s="42"/>
      <c r="I113" s="59"/>
      <c r="J113" s="57"/>
      <c r="K113" s="58"/>
    </row>
    <row r="114" ht="14.25" customHeight="1" outlineLevel="1">
      <c r="A114" s="191">
        <v>12</v>
      </c>
      <c r="B114" s="210" t="s">
        <v>259</v>
      </c>
      <c r="C114" s="721" t="s">
        <v>275</v>
      </c>
      <c r="D114" s="210" t="s">
        <v>291</v>
      </c>
      <c r="E114" s="722" t="s">
        <v>277</v>
      </c>
      <c r="F114" s="228" t="s">
        <v>292</v>
      </c>
      <c r="G114" s="177"/>
      <c r="H114" s="42"/>
      <c r="I114" s="59"/>
      <c r="J114" s="57"/>
      <c r="K114" s="58"/>
    </row>
    <row r="115" ht="14.25" customHeight="1" outlineLevel="1">
      <c r="A115" s="191">
        <v>13</v>
      </c>
      <c r="B115" s="210" t="s">
        <v>259</v>
      </c>
      <c r="C115" s="721" t="s">
        <v>275</v>
      </c>
      <c r="D115" s="228" t="s">
        <v>293</v>
      </c>
      <c r="E115" s="326" t="s">
        <v>277</v>
      </c>
      <c r="F115" s="228" t="s">
        <v>294</v>
      </c>
      <c r="G115" s="177"/>
      <c r="H115" s="42"/>
      <c r="I115" s="59"/>
      <c r="J115" s="57"/>
      <c r="K115" s="58"/>
    </row>
    <row r="116" ht="14.25" customHeight="1" outlineLevel="1">
      <c r="A116" s="191">
        <v>14</v>
      </c>
      <c r="B116" s="210" t="s">
        <v>259</v>
      </c>
      <c r="C116" s="721" t="s">
        <v>275</v>
      </c>
      <c r="D116" s="228" t="s">
        <v>295</v>
      </c>
      <c r="E116" s="326" t="s">
        <v>277</v>
      </c>
      <c r="F116" s="228" t="s">
        <v>296</v>
      </c>
      <c r="G116" s="177"/>
      <c r="H116" s="42"/>
      <c r="I116" s="59"/>
      <c r="J116" s="57"/>
      <c r="K116" s="58"/>
    </row>
    <row r="117" ht="14.25" customHeight="1" outlineLevel="1">
      <c r="A117" s="191">
        <v>15</v>
      </c>
      <c r="B117" s="723" t="s">
        <v>259</v>
      </c>
      <c r="C117" s="721" t="s">
        <v>275</v>
      </c>
      <c r="D117" s="228" t="s">
        <v>297</v>
      </c>
      <c r="E117" s="326" t="s">
        <v>277</v>
      </c>
      <c r="F117" s="228" t="s">
        <v>298</v>
      </c>
      <c r="G117" s="177"/>
      <c r="H117" s="42"/>
      <c r="I117" s="59"/>
      <c r="J117" s="57"/>
      <c r="K117" s="58"/>
    </row>
    <row r="118" ht="14.25" customHeight="1" outlineLevel="1">
      <c r="A118" s="191">
        <v>16</v>
      </c>
      <c r="B118" s="210" t="s">
        <v>259</v>
      </c>
      <c r="C118" s="249" t="s">
        <v>275</v>
      </c>
      <c r="D118" s="671" t="s">
        <v>289</v>
      </c>
      <c r="E118" s="405" t="s">
        <v>277</v>
      </c>
      <c r="F118" s="671" t="s">
        <v>290</v>
      </c>
      <c r="G118" s="177"/>
      <c r="H118" s="42"/>
      <c r="I118" s="59"/>
      <c r="J118" s="57"/>
      <c r="K118" s="58"/>
    </row>
    <row r="119" ht="14.25" customHeight="1" outlineLevel="1">
      <c r="A119" s="191">
        <v>17</v>
      </c>
      <c r="B119" s="724" t="s">
        <v>259</v>
      </c>
      <c r="C119" s="725" t="s">
        <v>275</v>
      </c>
      <c r="D119" s="330" t="s">
        <v>299</v>
      </c>
      <c r="E119" s="331" t="s">
        <v>277</v>
      </c>
      <c r="F119" s="330" t="s">
        <v>300</v>
      </c>
      <c r="G119" s="177"/>
      <c r="H119" s="42"/>
      <c r="I119" s="59"/>
      <c r="J119" s="57"/>
      <c r="K119" s="58"/>
    </row>
    <row r="120" ht="14.25" customHeight="1" outlineLevel="1">
      <c r="A120" s="191">
        <v>18</v>
      </c>
      <c r="B120" s="177" t="s">
        <v>259</v>
      </c>
      <c r="C120" s="42" t="s">
        <v>275</v>
      </c>
      <c r="D120" s="94" t="s">
        <v>301</v>
      </c>
      <c r="E120" s="332" t="s">
        <v>277</v>
      </c>
      <c r="F120" s="333" t="s">
        <v>302</v>
      </c>
      <c r="G120" s="177"/>
      <c r="H120" s="42"/>
      <c r="I120" s="59"/>
      <c r="J120" s="57"/>
      <c r="K120" s="58"/>
    </row>
    <row r="121" ht="14.25" customHeight="1" outlineLevel="1">
      <c r="A121" s="191">
        <v>19</v>
      </c>
      <c r="B121" s="177" t="s">
        <v>259</v>
      </c>
      <c r="C121" s="39" t="s">
        <v>303</v>
      </c>
      <c r="D121" s="39" t="s">
        <v>304</v>
      </c>
      <c r="E121" s="314" t="s">
        <v>522</v>
      </c>
      <c r="F121" s="315" t="s">
        <v>306</v>
      </c>
      <c r="G121" s="177"/>
      <c r="H121" s="42"/>
      <c r="I121" s="59"/>
      <c r="J121" s="57"/>
      <c r="K121" s="58"/>
    </row>
    <row r="122" ht="14.25" customHeight="1" outlineLevel="1">
      <c r="A122" s="191">
        <v>20</v>
      </c>
      <c r="B122" s="177" t="s">
        <v>279</v>
      </c>
      <c r="C122" s="334" t="s">
        <v>136</v>
      </c>
      <c r="D122" s="335" t="s">
        <v>311</v>
      </c>
      <c r="E122" s="324" t="s">
        <v>312</v>
      </c>
      <c r="F122" s="336" t="s">
        <v>313</v>
      </c>
      <c r="G122" s="177"/>
      <c r="H122" s="42"/>
      <c r="I122" s="59"/>
      <c r="J122" s="57"/>
      <c r="K122" s="58"/>
    </row>
    <row r="123" ht="14.25" customHeight="1" outlineLevel="1">
      <c r="A123" s="191">
        <v>21</v>
      </c>
      <c r="B123" s="243" t="s">
        <v>259</v>
      </c>
      <c r="C123" s="53" t="s">
        <v>267</v>
      </c>
      <c r="D123" s="55" t="s">
        <v>317</v>
      </c>
      <c r="E123" s="598" t="s">
        <v>388</v>
      </c>
      <c r="F123" s="726" t="s">
        <v>319</v>
      </c>
      <c r="G123" s="216"/>
      <c r="H123" s="42"/>
      <c r="I123" s="59"/>
      <c r="J123" s="57"/>
      <c r="K123" s="58"/>
    </row>
    <row r="124" ht="14.25" customHeight="1" outlineLevel="1">
      <c r="A124" s="191">
        <v>22</v>
      </c>
      <c r="B124" s="327" t="s">
        <v>259</v>
      </c>
      <c r="C124" s="329" t="s">
        <v>267</v>
      </c>
      <c r="D124" s="727" t="s">
        <v>523</v>
      </c>
      <c r="E124" s="728" t="s">
        <v>524</v>
      </c>
      <c r="F124" s="671" t="s">
        <v>525</v>
      </c>
      <c r="G124" s="216"/>
      <c r="H124" s="42"/>
      <c r="I124" s="59"/>
      <c r="J124" s="57"/>
      <c r="K124" s="58"/>
    </row>
    <row r="125" ht="14.25" customHeight="1" outlineLevel="1">
      <c r="A125" s="191">
        <v>23</v>
      </c>
      <c r="B125" s="177" t="s">
        <v>259</v>
      </c>
      <c r="C125" s="39" t="s">
        <v>329</v>
      </c>
      <c r="D125" s="41" t="s">
        <v>330</v>
      </c>
      <c r="E125" s="211" t="s">
        <v>331</v>
      </c>
      <c r="F125" s="323" t="s">
        <v>332</v>
      </c>
      <c r="G125" s="42"/>
      <c r="H125" s="42"/>
      <c r="I125" s="59"/>
      <c r="J125" s="57"/>
      <c r="K125" s="58"/>
    </row>
    <row r="126" ht="14.25" customHeight="1" outlineLevel="1">
      <c r="A126" s="191">
        <v>24</v>
      </c>
      <c r="B126" s="177" t="s">
        <v>259</v>
      </c>
      <c r="C126" s="39" t="s">
        <v>329</v>
      </c>
      <c r="D126" s="41" t="s">
        <v>333</v>
      </c>
      <c r="E126" s="314" t="s">
        <v>334</v>
      </c>
      <c r="F126" s="228" t="s">
        <v>335</v>
      </c>
      <c r="G126" s="216"/>
      <c r="H126" s="42"/>
      <c r="I126" s="59"/>
      <c r="J126" s="57"/>
      <c r="K126" s="58"/>
    </row>
    <row r="127" ht="14.25" customHeight="1" outlineLevel="1">
      <c r="A127" s="191">
        <v>25</v>
      </c>
      <c r="B127" s="177" t="s">
        <v>283</v>
      </c>
      <c r="C127" s="39" t="s">
        <v>336</v>
      </c>
      <c r="D127" s="41" t="s">
        <v>308</v>
      </c>
      <c r="E127" s="314" t="s">
        <v>337</v>
      </c>
      <c r="F127" s="671" t="s">
        <v>338</v>
      </c>
      <c r="G127" s="216"/>
      <c r="H127" s="42"/>
      <c r="I127" s="59"/>
      <c r="J127" s="57"/>
      <c r="K127" s="58"/>
    </row>
    <row r="128" ht="14.25" customHeight="1" outlineLevel="1">
      <c r="A128" s="191">
        <v>22</v>
      </c>
      <c r="B128" s="216" t="s">
        <v>283</v>
      </c>
      <c r="C128" s="42" t="s">
        <v>336</v>
      </c>
      <c r="D128" s="94" t="s">
        <v>339</v>
      </c>
      <c r="E128" s="332" t="s">
        <v>337</v>
      </c>
      <c r="F128" s="316" t="s">
        <v>341</v>
      </c>
      <c r="G128" s="216"/>
      <c r="H128" s="42"/>
      <c r="I128" s="59"/>
      <c r="J128" s="57"/>
      <c r="K128" s="58"/>
    </row>
    <row r="129" ht="14.25" customHeight="1" outlineLevel="1">
      <c r="A129" s="191">
        <v>23</v>
      </c>
      <c r="B129" s="177" t="s">
        <v>259</v>
      </c>
      <c r="C129" s="39" t="s">
        <v>329</v>
      </c>
      <c r="D129" s="41" t="s">
        <v>478</v>
      </c>
      <c r="E129" s="314" t="s">
        <v>479</v>
      </c>
      <c r="F129" s="228" t="s">
        <v>480</v>
      </c>
      <c r="G129" s="216"/>
      <c r="H129" s="42"/>
      <c r="I129" s="59"/>
      <c r="J129" s="57"/>
      <c r="K129" s="58"/>
    </row>
    <row r="130" ht="14.25" customHeight="1" outlineLevel="1">
      <c r="A130" s="191">
        <v>26</v>
      </c>
      <c r="B130" s="681" t="s">
        <v>259</v>
      </c>
      <c r="C130" s="551" t="s">
        <v>329</v>
      </c>
      <c r="D130" s="594" t="s">
        <v>481</v>
      </c>
      <c r="E130" s="314" t="s">
        <v>482</v>
      </c>
      <c r="F130" s="671" t="s">
        <v>483</v>
      </c>
      <c r="G130" s="216"/>
      <c r="H130" s="95"/>
      <c r="I130" s="98"/>
      <c r="J130" s="57"/>
      <c r="K130" s="58"/>
    </row>
    <row r="131" ht="14.25" customHeight="1" outlineLevel="1">
      <c r="A131" s="191">
        <v>27</v>
      </c>
      <c r="B131" s="729" t="s">
        <v>259</v>
      </c>
      <c r="C131" s="730" t="s">
        <v>260</v>
      </c>
      <c r="D131" s="731" t="s">
        <v>472</v>
      </c>
      <c r="E131" s="234">
        <v>125642.72</v>
      </c>
      <c r="F131" s="48" t="s">
        <v>474</v>
      </c>
      <c r="G131" s="245" t="s">
        <v>62</v>
      </c>
      <c r="H131" s="99" t="s">
        <v>141</v>
      </c>
      <c r="I131" s="98"/>
      <c r="J131" s="57" t="s">
        <v>47</v>
      </c>
      <c r="K131" s="58"/>
    </row>
    <row r="132" ht="14.25" customHeight="1" outlineLevel="1">
      <c r="A132" s="191">
        <v>28</v>
      </c>
      <c r="B132" s="210" t="s">
        <v>283</v>
      </c>
      <c r="C132" s="210" t="s">
        <v>307</v>
      </c>
      <c r="D132" s="228" t="s">
        <v>308</v>
      </c>
      <c r="E132" s="230">
        <v>50000</v>
      </c>
      <c r="F132" s="228" t="s">
        <v>310</v>
      </c>
      <c r="G132" s="252" t="s">
        <v>62</v>
      </c>
      <c r="H132" s="344" t="s">
        <v>141</v>
      </c>
      <c r="I132" s="98"/>
      <c r="J132" s="57" t="s">
        <v>47</v>
      </c>
      <c r="K132" s="58"/>
    </row>
    <row r="133" ht="14.25" customHeight="1" outlineLevel="1">
      <c r="A133" s="191">
        <v>29</v>
      </c>
      <c r="B133" s="191" t="s">
        <v>526</v>
      </c>
      <c r="C133" s="191" t="s">
        <v>527</v>
      </c>
      <c r="D133" s="190" t="s">
        <v>528</v>
      </c>
      <c r="E133" s="264">
        <v>20453</v>
      </c>
      <c r="F133" s="190" t="s">
        <v>529</v>
      </c>
      <c r="G133" s="252" t="s">
        <v>62</v>
      </c>
      <c r="H133" s="344" t="s">
        <v>428</v>
      </c>
      <c r="I133" s="98" t="s">
        <v>530</v>
      </c>
      <c r="J133" s="57" t="s">
        <v>47</v>
      </c>
      <c r="K133" s="58"/>
    </row>
    <row r="134" ht="14.25" customHeight="1" outlineLevel="1">
      <c r="A134" s="191">
        <v>30</v>
      </c>
      <c r="B134" s="210" t="s">
        <v>345</v>
      </c>
      <c r="C134" s="210" t="s">
        <v>346</v>
      </c>
      <c r="D134" s="228" t="s">
        <v>531</v>
      </c>
      <c r="E134" s="230">
        <v>4680</v>
      </c>
      <c r="F134" s="228" t="s">
        <v>532</v>
      </c>
      <c r="G134" s="252" t="s">
        <v>62</v>
      </c>
      <c r="H134" s="344" t="s">
        <v>141</v>
      </c>
      <c r="I134" s="98"/>
      <c r="J134" s="57" t="s">
        <v>47</v>
      </c>
      <c r="K134" s="58"/>
    </row>
    <row r="135" ht="14.25" customHeight="1" outlineLevel="1">
      <c r="A135" s="191">
        <v>31</v>
      </c>
      <c r="B135" s="210" t="s">
        <v>259</v>
      </c>
      <c r="C135" s="249" t="s">
        <v>533</v>
      </c>
      <c r="D135" s="228" t="s">
        <v>534</v>
      </c>
      <c r="E135" s="230">
        <v>32195.029999999999</v>
      </c>
      <c r="F135" s="228" t="s">
        <v>535</v>
      </c>
      <c r="G135" s="252" t="s">
        <v>62</v>
      </c>
      <c r="H135" s="344" t="s">
        <v>141</v>
      </c>
      <c r="I135" s="98"/>
      <c r="J135" s="57" t="s">
        <v>47</v>
      </c>
      <c r="K135" s="58"/>
    </row>
    <row r="136" ht="14.25" outlineLevel="1">
      <c r="A136" s="191">
        <v>32</v>
      </c>
      <c r="B136" s="177" t="s">
        <v>259</v>
      </c>
      <c r="C136" s="39" t="s">
        <v>303</v>
      </c>
      <c r="D136" s="41" t="s">
        <v>304</v>
      </c>
      <c r="E136" s="470">
        <v>60000</v>
      </c>
      <c r="F136" s="315" t="s">
        <v>306</v>
      </c>
      <c r="G136" s="245" t="s">
        <v>62</v>
      </c>
      <c r="H136" s="99" t="s">
        <v>141</v>
      </c>
      <c r="I136" s="98"/>
      <c r="J136" s="57" t="s">
        <v>47</v>
      </c>
      <c r="K136" s="58"/>
    </row>
    <row r="137" s="21" customFormat="1" ht="20.25" customHeight="1" outlineLevel="1">
      <c r="A137" s="246"/>
      <c r="B137" s="465" t="s">
        <v>26</v>
      </c>
      <c r="C137" s="466"/>
      <c r="D137" s="467"/>
      <c r="E137" s="468"/>
      <c r="F137" s="465"/>
      <c r="G137" s="465"/>
      <c r="H137" s="23"/>
      <c r="I137" s="23"/>
      <c r="J137" s="23"/>
      <c r="K137" s="27"/>
    </row>
    <row r="138" ht="14.25" customHeight="1" outlineLevel="1">
      <c r="A138" s="62">
        <v>1</v>
      </c>
      <c r="B138" s="63"/>
      <c r="C138" s="63"/>
      <c r="D138" s="63"/>
      <c r="E138" s="64"/>
      <c r="F138" s="65"/>
      <c r="G138" s="63"/>
      <c r="H138" s="63"/>
      <c r="I138" s="102"/>
      <c r="J138" s="66"/>
      <c r="K138" s="67"/>
    </row>
    <row r="139" ht="14.25" customHeight="1" outlineLevel="1">
      <c r="A139" s="68">
        <v>2</v>
      </c>
      <c r="B139" s="99"/>
      <c r="C139" s="99"/>
      <c r="D139" s="9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3</v>
      </c>
      <c r="B140" s="56"/>
      <c r="C140" s="56"/>
      <c r="D140" s="56"/>
      <c r="E140" s="78"/>
      <c r="F140" s="79"/>
      <c r="G140" s="59"/>
      <c r="H140" s="59"/>
      <c r="I140" s="59"/>
      <c r="J140" s="57"/>
      <c r="K140" s="58"/>
    </row>
    <row r="141" ht="14.25" customHeight="1" outlineLevel="1">
      <c r="A141" s="68">
        <v>4</v>
      </c>
      <c r="B141" s="59"/>
      <c r="C141" s="59"/>
      <c r="D141" s="59"/>
      <c r="E141" s="60"/>
      <c r="F141" s="61"/>
      <c r="G141" s="59"/>
      <c r="H141" s="59"/>
      <c r="I141" s="59"/>
      <c r="J141" s="57"/>
      <c r="K141" s="58"/>
    </row>
    <row r="142" ht="14.25" customHeight="1" outlineLevel="1">
      <c r="A142" s="69">
        <v>5</v>
      </c>
      <c r="B142" s="70"/>
      <c r="C142" s="70"/>
      <c r="D142" s="70"/>
      <c r="E142" s="71"/>
      <c r="F142" s="72"/>
      <c r="G142" s="70"/>
      <c r="H142" s="70"/>
      <c r="I142" s="70"/>
      <c r="J142" s="73"/>
      <c r="K142" s="74"/>
    </row>
    <row r="143" s="21" customFormat="1" ht="20.25" customHeight="1" outlineLevel="1">
      <c r="A143" s="22"/>
      <c r="B143" s="23" t="s">
        <v>19</v>
      </c>
      <c r="C143" s="24"/>
      <c r="D143" s="25"/>
      <c r="E143" s="26"/>
      <c r="F143" s="23"/>
      <c r="G143" s="23"/>
      <c r="H143" s="23"/>
      <c r="I143" s="23"/>
      <c r="J143" s="23"/>
      <c r="K143" s="27"/>
    </row>
    <row r="144" ht="14.25" customHeight="1" outlineLevel="1">
      <c r="A144" s="62">
        <v>1</v>
      </c>
      <c r="B144" s="99"/>
      <c r="C144" s="99"/>
      <c r="D144" s="65"/>
      <c r="E144" s="64"/>
      <c r="F144" s="65"/>
      <c r="G144" s="63"/>
      <c r="H144" s="63"/>
      <c r="I144" s="59"/>
      <c r="J144" s="66"/>
      <c r="K144" s="67"/>
    </row>
    <row r="145" ht="14.25" customHeight="1" outlineLevel="1">
      <c r="A145" s="68">
        <v>2</v>
      </c>
      <c r="B145" s="99"/>
      <c r="C145" s="99"/>
      <c r="D145" s="9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3</v>
      </c>
      <c r="B146" s="99"/>
      <c r="C146" s="99"/>
      <c r="D146" s="9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68">
        <v>4</v>
      </c>
      <c r="B147" s="59"/>
      <c r="C147" s="59"/>
      <c r="D147" s="59"/>
      <c r="E147" s="60"/>
      <c r="F147" s="61"/>
      <c r="G147" s="59"/>
      <c r="H147" s="59"/>
      <c r="I147" s="59"/>
      <c r="J147" s="57"/>
      <c r="K147" s="58"/>
    </row>
    <row r="148" ht="14.25" customHeight="1" outlineLevel="1">
      <c r="A148" s="69">
        <v>5</v>
      </c>
      <c r="B148" s="70"/>
      <c r="C148" s="70"/>
      <c r="D148" s="70"/>
      <c r="E148" s="71"/>
      <c r="F148" s="72"/>
      <c r="G148" s="70"/>
      <c r="H148" s="70"/>
      <c r="I148" s="70"/>
      <c r="J148" s="73"/>
      <c r="K148" s="74"/>
    </row>
    <row r="149" s="21" customFormat="1" ht="23.25" customHeight="1">
      <c r="A149" s="82" t="s">
        <v>27</v>
      </c>
      <c r="B149" s="83"/>
      <c r="C149" s="83"/>
      <c r="D149" s="103"/>
      <c r="E149" s="104">
        <f>SUM(E102:E148)</f>
        <v>292970.75</v>
      </c>
    </row>
    <row r="150" s="21" customFormat="1" ht="23.25" customHeight="1">
      <c r="A150" s="82" t="s">
        <v>22</v>
      </c>
      <c r="B150" s="83"/>
      <c r="C150" s="83"/>
      <c r="D150" s="103"/>
      <c r="E150" s="104">
        <f>E97-E149</f>
        <v>397348.32999999996</v>
      </c>
      <c r="F150" s="86"/>
    </row>
    <row r="151" ht="28.5" customHeight="1">
      <c r="E151" s="1"/>
    </row>
    <row r="152" ht="30.75" customHeight="1">
      <c r="A152" s="9" t="s">
        <v>28</v>
      </c>
      <c r="B152" s="10"/>
      <c r="C152" s="10"/>
      <c r="D152" s="11"/>
      <c r="E152" s="12">
        <f>SUM(E153:E153)</f>
        <v>5242</v>
      </c>
      <c r="F152" s="640" t="s">
        <v>44</v>
      </c>
      <c r="G152" s="13"/>
      <c r="H152" s="13"/>
      <c r="I152" s="13"/>
    </row>
    <row r="153" ht="15" customHeight="1">
      <c r="A153" s="105" t="s">
        <v>29</v>
      </c>
      <c r="B153" s="15"/>
      <c r="C153" s="15"/>
      <c r="D153" s="16"/>
      <c r="E153" s="17">
        <v>5242</v>
      </c>
      <c r="F153" s="13"/>
      <c r="G153" s="13"/>
      <c r="H153" s="13"/>
      <c r="I153" s="13"/>
    </row>
    <row r="154" ht="5.25" customHeight="1">
      <c r="A154" s="13"/>
      <c r="B154" s="13"/>
      <c r="C154" s="13"/>
      <c r="D154" s="13"/>
      <c r="E154" s="13"/>
      <c r="F154" s="13"/>
      <c r="G154" s="13"/>
      <c r="H154" s="13"/>
      <c r="I154" s="13"/>
    </row>
    <row r="155" ht="25.5" customHeight="1" outlineLevel="1">
      <c r="A155" s="87" t="s">
        <v>6</v>
      </c>
      <c r="B155" s="87" t="s">
        <v>7</v>
      </c>
      <c r="C155" s="87" t="s">
        <v>8</v>
      </c>
      <c r="D155" s="87" t="s">
        <v>9</v>
      </c>
      <c r="E155" s="88" t="s">
        <v>10</v>
      </c>
      <c r="F155" s="87" t="s">
        <v>11</v>
      </c>
      <c r="G155" s="87" t="s">
        <v>12</v>
      </c>
      <c r="H155" s="89" t="s">
        <v>13</v>
      </c>
      <c r="I155" s="87" t="s">
        <v>14</v>
      </c>
      <c r="J155" s="87" t="s">
        <v>15</v>
      </c>
      <c r="K155" s="87" t="s">
        <v>16</v>
      </c>
    </row>
    <row r="156" s="21" customFormat="1" ht="18.75" customHeight="1" outlineLevel="1">
      <c r="A156" s="22"/>
      <c r="B156" s="23" t="s">
        <v>30</v>
      </c>
      <c r="C156" s="24"/>
      <c r="D156" s="25"/>
      <c r="E156" s="26"/>
      <c r="F156" s="23"/>
      <c r="G156" s="23"/>
      <c r="H156" s="23"/>
      <c r="I156" s="23"/>
      <c r="J156" s="23"/>
      <c r="K156" s="27"/>
    </row>
    <row r="157" ht="14.25" customHeight="1" outlineLevel="1">
      <c r="A157" s="62">
        <v>1</v>
      </c>
      <c r="B157" s="63"/>
      <c r="C157" s="63"/>
      <c r="D157" s="63"/>
      <c r="E157" s="64"/>
      <c r="F157" s="65"/>
      <c r="G157" s="63"/>
      <c r="H157" s="63"/>
      <c r="I157" s="63"/>
      <c r="J157" s="66"/>
      <c r="K157" s="67"/>
    </row>
    <row r="158" ht="14.25" customHeight="1" outlineLevel="1">
      <c r="A158" s="68">
        <v>2</v>
      </c>
      <c r="B158" s="59"/>
      <c r="C158" s="59"/>
      <c r="D158" s="59"/>
      <c r="E158" s="60"/>
      <c r="F158" s="61"/>
      <c r="G158" s="59"/>
      <c r="H158" s="59"/>
      <c r="I158" s="59"/>
      <c r="J158" s="57"/>
      <c r="K158" s="58"/>
    </row>
    <row r="159" ht="14.25" customHeight="1" outlineLevel="1">
      <c r="A159" s="68">
        <v>3</v>
      </c>
      <c r="B159" s="59"/>
      <c r="C159" s="59"/>
      <c r="D159" s="59"/>
      <c r="E159" s="60"/>
      <c r="F159" s="61"/>
      <c r="G159" s="59"/>
      <c r="H159" s="59"/>
      <c r="I159" s="59"/>
      <c r="J159" s="57"/>
      <c r="K159" s="58"/>
    </row>
    <row r="160" ht="14.25" customHeight="1" outlineLevel="1">
      <c r="A160" s="68">
        <v>4</v>
      </c>
      <c r="B160" s="59"/>
      <c r="C160" s="59"/>
      <c r="D160" s="59"/>
      <c r="E160" s="60"/>
      <c r="F160" s="61"/>
      <c r="G160" s="59"/>
      <c r="H160" s="59"/>
      <c r="I160" s="59"/>
      <c r="J160" s="57"/>
      <c r="K160" s="58"/>
    </row>
    <row r="161" ht="14.25" customHeight="1" outlineLevel="1">
      <c r="A161" s="68">
        <v>5</v>
      </c>
      <c r="B161" s="59"/>
      <c r="C161" s="59"/>
      <c r="D161" s="59"/>
      <c r="E161" s="60"/>
      <c r="F161" s="61"/>
      <c r="G161" s="59"/>
      <c r="H161" s="59"/>
      <c r="I161" s="59"/>
      <c r="J161" s="57"/>
      <c r="K161" s="58"/>
    </row>
    <row r="162" ht="14.25" customHeight="1" outlineLevel="1">
      <c r="A162" s="68">
        <v>6</v>
      </c>
      <c r="B162" s="59"/>
      <c r="C162" s="59"/>
      <c r="D162" s="59"/>
      <c r="E162" s="60"/>
      <c r="F162" s="61"/>
      <c r="G162" s="59"/>
      <c r="H162" s="59"/>
      <c r="I162" s="59"/>
      <c r="J162" s="57"/>
      <c r="K162" s="58"/>
    </row>
    <row r="163" ht="14.25" customHeight="1" outlineLevel="1">
      <c r="A163" s="68">
        <v>7</v>
      </c>
      <c r="B163" s="59"/>
      <c r="C163" s="59"/>
      <c r="D163" s="59"/>
      <c r="E163" s="60"/>
      <c r="F163" s="61"/>
      <c r="G163" s="59"/>
      <c r="H163" s="59"/>
      <c r="I163" s="59"/>
      <c r="J163" s="57"/>
      <c r="K163" s="58"/>
    </row>
    <row r="164" ht="15.75" customHeight="1" outlineLevel="1">
      <c r="A164" s="68">
        <v>8</v>
      </c>
      <c r="B164" s="59"/>
      <c r="C164" s="59"/>
      <c r="D164" s="59"/>
      <c r="E164" s="60"/>
      <c r="F164" s="61"/>
      <c r="G164" s="59"/>
      <c r="H164" s="59"/>
      <c r="I164" s="59"/>
      <c r="J164" s="57"/>
      <c r="K164" s="58"/>
    </row>
    <row r="165" ht="15.75" customHeight="1" outlineLevel="1">
      <c r="A165" s="68">
        <v>9</v>
      </c>
      <c r="B165" s="59"/>
      <c r="C165" s="59"/>
      <c r="D165" s="59"/>
      <c r="E165" s="60"/>
      <c r="F165" s="61"/>
      <c r="G165" s="59"/>
      <c r="H165" s="59"/>
      <c r="I165" s="59"/>
      <c r="J165" s="57"/>
      <c r="K165" s="58"/>
    </row>
    <row r="166" ht="15.75" customHeight="1" outlineLevel="1">
      <c r="A166" s="68">
        <v>10</v>
      </c>
      <c r="B166" s="59"/>
      <c r="C166" s="59"/>
      <c r="D166" s="59"/>
      <c r="E166" s="60"/>
      <c r="F166" s="61"/>
      <c r="G166" s="59"/>
      <c r="H166" s="59"/>
      <c r="I166" s="59"/>
      <c r="J166" s="57"/>
      <c r="K166" s="58"/>
    </row>
    <row r="167" ht="15.75" customHeight="1" outlineLevel="1">
      <c r="A167" s="68">
        <v>11</v>
      </c>
      <c r="B167" s="59"/>
      <c r="C167" s="59"/>
      <c r="D167" s="59"/>
      <c r="E167" s="60"/>
      <c r="F167" s="61"/>
      <c r="G167" s="59"/>
      <c r="H167" s="59"/>
      <c r="I167" s="59"/>
      <c r="J167" s="57"/>
      <c r="K167" s="58"/>
    </row>
    <row r="168" ht="15.75" customHeight="1" outlineLevel="1">
      <c r="A168" s="68">
        <v>12</v>
      </c>
      <c r="B168" s="59"/>
      <c r="C168" s="59"/>
      <c r="D168" s="59"/>
      <c r="E168" s="60"/>
      <c r="F168" s="61"/>
      <c r="G168" s="59"/>
      <c r="H168" s="59"/>
      <c r="I168" s="59"/>
      <c r="J168" s="57"/>
      <c r="K168" s="58"/>
    </row>
    <row r="169" ht="15.75" customHeight="1" outlineLevel="1">
      <c r="A169" s="68">
        <v>13</v>
      </c>
      <c r="B169" s="59"/>
      <c r="C169" s="59"/>
      <c r="D169" s="59"/>
      <c r="E169" s="60"/>
      <c r="F169" s="61"/>
      <c r="G169" s="59"/>
      <c r="H169" s="59"/>
      <c r="I169" s="59"/>
      <c r="J169" s="57"/>
      <c r="K169" s="58"/>
    </row>
    <row r="170" ht="15.75" customHeight="1" outlineLevel="1">
      <c r="A170" s="68">
        <v>14</v>
      </c>
      <c r="B170" s="59"/>
      <c r="C170" s="59"/>
      <c r="D170" s="59"/>
      <c r="E170" s="60"/>
      <c r="F170" s="61"/>
      <c r="G170" s="59"/>
      <c r="H170" s="59"/>
      <c r="I170" s="59"/>
      <c r="J170" s="57"/>
      <c r="K170" s="58"/>
    </row>
    <row r="171" ht="15.75" customHeight="1" outlineLevel="1">
      <c r="A171" s="69">
        <v>15</v>
      </c>
      <c r="B171" s="70"/>
      <c r="C171" s="70"/>
      <c r="D171" s="70"/>
      <c r="E171" s="71"/>
      <c r="F171" s="72"/>
      <c r="G171" s="70"/>
      <c r="H171" s="70"/>
      <c r="I171" s="70"/>
      <c r="J171" s="73"/>
      <c r="K171" s="74"/>
    </row>
    <row r="172" s="21" customFormat="1" ht="21.75" customHeight="1">
      <c r="A172" s="82" t="s">
        <v>31</v>
      </c>
      <c r="B172" s="83"/>
      <c r="C172" s="83"/>
      <c r="D172" s="103"/>
      <c r="E172" s="104">
        <f>SUM(E156:E171)</f>
        <v>0</v>
      </c>
    </row>
    <row r="173" s="21" customFormat="1" ht="21.75" customHeight="1">
      <c r="A173" s="82" t="s">
        <v>22</v>
      </c>
      <c r="B173" s="83"/>
      <c r="C173" s="83"/>
      <c r="D173" s="103"/>
      <c r="E173" s="104">
        <f>E152-E172</f>
        <v>5242</v>
      </c>
      <c r="F173" s="86"/>
    </row>
    <row r="174" ht="15.75">
      <c r="E174" s="1"/>
    </row>
    <row r="175" ht="25.5" customHeight="1">
      <c r="A175" s="9" t="s">
        <v>32</v>
      </c>
      <c r="B175" s="10"/>
      <c r="C175" s="10"/>
      <c r="D175" s="11"/>
      <c r="E175" s="12">
        <f>SUM(E176:E177)</f>
        <v>10945.25</v>
      </c>
      <c r="F175" s="640" t="s">
        <v>44</v>
      </c>
      <c r="G175" s="13"/>
      <c r="H175" s="13"/>
      <c r="I175" s="13"/>
    </row>
    <row r="176" ht="15.75">
      <c r="A176" s="14" t="s">
        <v>33</v>
      </c>
      <c r="B176" s="15"/>
      <c r="C176" s="15"/>
      <c r="D176" s="16"/>
      <c r="E176" s="17">
        <v>3132.9499999999998</v>
      </c>
      <c r="F176" s="13"/>
      <c r="G176" s="13"/>
      <c r="H176" s="13"/>
      <c r="I176" s="13"/>
    </row>
    <row r="177" ht="15.75">
      <c r="A177" s="14" t="s">
        <v>34</v>
      </c>
      <c r="B177" s="15"/>
      <c r="C177" s="15"/>
      <c r="D177" s="16"/>
      <c r="E177" s="17">
        <v>7812.3000000000002</v>
      </c>
      <c r="F177" s="13"/>
      <c r="G177" s="13"/>
      <c r="H177" s="13"/>
      <c r="I177" s="13"/>
    </row>
    <row r="178" ht="15.75">
      <c r="A178" s="13"/>
      <c r="B178" s="13"/>
      <c r="C178" s="13"/>
      <c r="D178" s="13"/>
      <c r="E178" s="13"/>
      <c r="F178" s="13"/>
      <c r="G178" s="13"/>
      <c r="H178" s="13"/>
      <c r="I178" s="13"/>
    </row>
    <row r="179" ht="24.75">
      <c r="A179" s="87" t="s">
        <v>6</v>
      </c>
      <c r="B179" s="87" t="s">
        <v>7</v>
      </c>
      <c r="C179" s="87" t="s">
        <v>8</v>
      </c>
      <c r="D179" s="87" t="s">
        <v>9</v>
      </c>
      <c r="E179" s="88" t="s">
        <v>10</v>
      </c>
      <c r="F179" s="87" t="s">
        <v>11</v>
      </c>
      <c r="G179" s="87" t="s">
        <v>12</v>
      </c>
      <c r="H179" s="89" t="s">
        <v>13</v>
      </c>
      <c r="I179" s="87" t="s">
        <v>14</v>
      </c>
      <c r="J179" s="87" t="s">
        <v>15</v>
      </c>
      <c r="K179" s="87" t="s">
        <v>16</v>
      </c>
    </row>
    <row r="180" ht="15.75">
      <c r="A180" s="22"/>
      <c r="B180" s="23" t="s">
        <v>25</v>
      </c>
      <c r="C180" s="24"/>
      <c r="D180" s="25"/>
      <c r="E180" s="26"/>
      <c r="F180" s="23"/>
      <c r="G180" s="23"/>
      <c r="H180" s="23"/>
      <c r="I180" s="23"/>
      <c r="J180" s="23"/>
      <c r="K180" s="27"/>
    </row>
    <row r="181">
      <c r="A181" s="68">
        <v>1</v>
      </c>
      <c r="B181" s="106"/>
      <c r="C181" s="106"/>
      <c r="D181" s="107"/>
      <c r="E181" s="92"/>
      <c r="F181" s="107"/>
      <c r="G181" s="42"/>
      <c r="H181" s="42"/>
      <c r="I181" s="42" t="s">
        <v>35</v>
      </c>
      <c r="J181" s="57"/>
      <c r="K181" s="58"/>
    </row>
    <row r="182">
      <c r="A182" s="68">
        <v>2</v>
      </c>
      <c r="B182" s="106"/>
      <c r="C182" s="106"/>
      <c r="D182" s="107"/>
      <c r="E182" s="93"/>
      <c r="F182" s="107"/>
      <c r="G182" s="59"/>
      <c r="H182" s="59"/>
      <c r="I182" s="42"/>
      <c r="J182" s="57"/>
      <c r="K182" s="58"/>
    </row>
    <row r="183">
      <c r="A183" s="68">
        <v>3</v>
      </c>
      <c r="B183" s="108"/>
      <c r="C183" s="109"/>
      <c r="D183" s="110"/>
      <c r="E183" s="111"/>
      <c r="F183" s="110"/>
      <c r="G183" s="112"/>
      <c r="H183" s="113"/>
      <c r="I183" s="35"/>
      <c r="J183" s="114"/>
      <c r="K183" s="115"/>
    </row>
    <row r="184">
      <c r="A184" s="68">
        <v>4</v>
      </c>
      <c r="B184" s="108"/>
      <c r="C184" s="109"/>
      <c r="D184" s="110"/>
      <c r="E184" s="111"/>
      <c r="F184" s="110"/>
      <c r="G184" s="112"/>
      <c r="H184" s="113"/>
      <c r="I184" s="35"/>
      <c r="J184" s="114"/>
      <c r="K184" s="116"/>
    </row>
    <row r="185">
      <c r="A185" s="68">
        <v>5</v>
      </c>
      <c r="B185" s="42"/>
      <c r="C185" s="42"/>
      <c r="D185" s="42"/>
      <c r="E185" s="93"/>
      <c r="F185" s="94"/>
      <c r="G185" s="42"/>
      <c r="H185" s="42"/>
      <c r="I185" s="42"/>
      <c r="J185" s="43"/>
      <c r="K185" s="44"/>
    </row>
    <row r="186">
      <c r="A186" s="68">
        <v>6</v>
      </c>
      <c r="B186" s="43"/>
      <c r="C186" s="43"/>
      <c r="D186" s="43"/>
      <c r="E186" s="43"/>
      <c r="F186" s="43"/>
      <c r="G186" s="43"/>
      <c r="H186" s="42"/>
      <c r="I186" s="42"/>
      <c r="J186" s="43"/>
      <c r="K186" s="44"/>
    </row>
    <row r="187">
      <c r="A187" s="68">
        <v>7</v>
      </c>
      <c r="B187" s="43"/>
      <c r="C187" s="43"/>
      <c r="D187" s="43"/>
      <c r="E187" s="43"/>
      <c r="F187" s="43"/>
      <c r="G187" s="43"/>
      <c r="H187" s="42"/>
      <c r="I187" s="42"/>
      <c r="J187" s="43"/>
      <c r="K187" s="44"/>
    </row>
    <row r="188">
      <c r="A188" s="68">
        <v>8</v>
      </c>
      <c r="B188" s="42"/>
      <c r="C188" s="94"/>
      <c r="D188" s="94"/>
      <c r="E188" s="93"/>
      <c r="F188" s="94"/>
      <c r="G188" s="42"/>
      <c r="H188" s="42"/>
      <c r="I188" s="42"/>
      <c r="J188" s="43"/>
      <c r="K188" s="44"/>
    </row>
    <row r="189">
      <c r="A189" s="68">
        <v>9</v>
      </c>
      <c r="B189" s="42"/>
      <c r="C189" s="94"/>
      <c r="D189" s="94"/>
      <c r="E189" s="93"/>
      <c r="F189" s="94"/>
      <c r="G189" s="42"/>
      <c r="H189" s="42"/>
      <c r="I189" s="42"/>
      <c r="J189" s="43"/>
      <c r="K189" s="44"/>
    </row>
    <row r="190">
      <c r="A190" s="68">
        <v>10</v>
      </c>
      <c r="B190" s="42"/>
      <c r="C190" s="94"/>
      <c r="D190" s="94"/>
      <c r="E190" s="93"/>
      <c r="F190" s="94"/>
      <c r="G190" s="42"/>
      <c r="H190" s="42"/>
      <c r="I190" s="42"/>
      <c r="J190" s="43"/>
      <c r="K190" s="44"/>
    </row>
    <row r="191">
      <c r="A191" s="68">
        <v>11</v>
      </c>
      <c r="B191" s="42"/>
      <c r="C191" s="94"/>
      <c r="D191" s="94"/>
      <c r="E191" s="93"/>
      <c r="F191" s="94"/>
      <c r="G191" s="42"/>
      <c r="H191" s="42"/>
      <c r="I191" s="42"/>
      <c r="J191" s="43"/>
      <c r="K191" s="44"/>
    </row>
    <row r="192">
      <c r="A192" s="68">
        <v>12</v>
      </c>
      <c r="B192" s="59"/>
      <c r="C192" s="61"/>
      <c r="D192" s="61"/>
      <c r="E192" s="93"/>
      <c r="F192" s="61"/>
      <c r="G192" s="59"/>
      <c r="H192" s="59"/>
      <c r="I192" s="42"/>
      <c r="J192" s="57"/>
      <c r="K192" s="58"/>
    </row>
    <row r="193">
      <c r="A193" s="68">
        <v>13</v>
      </c>
      <c r="B193" s="59"/>
      <c r="C193" s="61"/>
      <c r="D193" s="61"/>
      <c r="E193" s="93"/>
      <c r="F193" s="61"/>
      <c r="G193" s="59"/>
      <c r="H193" s="59"/>
      <c r="I193" s="42"/>
      <c r="J193" s="57"/>
      <c r="K193" s="58"/>
    </row>
    <row r="194">
      <c r="A194" s="68">
        <v>14</v>
      </c>
      <c r="B194" s="59"/>
      <c r="C194" s="61"/>
      <c r="D194" s="61"/>
      <c r="E194" s="93"/>
      <c r="F194" s="61"/>
      <c r="G194" s="59"/>
      <c r="H194" s="59"/>
      <c r="I194" s="42"/>
      <c r="J194" s="57"/>
      <c r="K194" s="58"/>
    </row>
    <row r="195" ht="15.75">
      <c r="A195" s="68">
        <v>15</v>
      </c>
      <c r="B195" s="59"/>
      <c r="C195" s="61"/>
      <c r="D195" s="61"/>
      <c r="E195" s="93"/>
      <c r="F195" s="61"/>
      <c r="G195" s="59"/>
      <c r="H195" s="59"/>
      <c r="I195" s="42"/>
      <c r="J195" s="57"/>
      <c r="K195" s="58"/>
    </row>
    <row r="196" ht="15.75">
      <c r="A196" s="22"/>
      <c r="B196" s="23" t="s">
        <v>26</v>
      </c>
      <c r="C196" s="24"/>
      <c r="D196" s="25"/>
      <c r="E196" s="26"/>
      <c r="F196" s="23"/>
      <c r="G196" s="23"/>
      <c r="H196" s="23"/>
      <c r="I196" s="23"/>
      <c r="J196" s="23"/>
      <c r="K196" s="27"/>
    </row>
    <row r="197">
      <c r="A197" s="62">
        <v>1</v>
      </c>
      <c r="B197" s="63"/>
      <c r="C197" s="63"/>
      <c r="D197" s="63"/>
      <c r="E197" s="64"/>
      <c r="F197" s="65"/>
      <c r="G197" s="63"/>
      <c r="H197" s="63"/>
      <c r="I197" s="63"/>
      <c r="J197" s="66"/>
      <c r="K197" s="67"/>
    </row>
    <row r="198">
      <c r="A198" s="68">
        <v>2</v>
      </c>
      <c r="B198" s="59"/>
      <c r="C198" s="59"/>
      <c r="D198" s="59"/>
      <c r="E198" s="60"/>
      <c r="F198" s="61"/>
      <c r="G198" s="59"/>
      <c r="H198" s="59"/>
      <c r="I198" s="59"/>
      <c r="J198" s="57"/>
      <c r="K198" s="58"/>
    </row>
    <row r="199">
      <c r="A199" s="68">
        <v>3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>
      <c r="A200" s="68">
        <v>4</v>
      </c>
      <c r="B200" s="59"/>
      <c r="C200" s="59"/>
      <c r="D200" s="59"/>
      <c r="E200" s="60"/>
      <c r="F200" s="61"/>
      <c r="G200" s="59"/>
      <c r="H200" s="59"/>
      <c r="I200" s="59"/>
      <c r="J200" s="57"/>
      <c r="K200" s="58"/>
    </row>
    <row r="201" ht="15.75">
      <c r="A201" s="69">
        <v>5</v>
      </c>
      <c r="B201" s="70"/>
      <c r="C201" s="70"/>
      <c r="D201" s="70"/>
      <c r="E201" s="71"/>
      <c r="F201" s="72"/>
      <c r="G201" s="70"/>
      <c r="H201" s="70"/>
      <c r="I201" s="70"/>
      <c r="J201" s="73"/>
      <c r="K201" s="74"/>
    </row>
    <row r="202" ht="15.75">
      <c r="A202" s="22"/>
      <c r="B202" s="23" t="s">
        <v>19</v>
      </c>
      <c r="C202" s="24"/>
      <c r="D202" s="25"/>
      <c r="E202" s="26"/>
      <c r="F202" s="23"/>
      <c r="G202" s="23"/>
      <c r="H202" s="23"/>
      <c r="I202" s="23"/>
      <c r="J202" s="23"/>
      <c r="K202" s="27"/>
    </row>
    <row r="203" ht="28.5">
      <c r="A203" s="62">
        <v>1</v>
      </c>
      <c r="B203" s="39" t="s">
        <v>452</v>
      </c>
      <c r="C203" s="56" t="s">
        <v>453</v>
      </c>
      <c r="D203" s="59" t="s">
        <v>536</v>
      </c>
      <c r="E203" s="224">
        <v>27894.580000000002</v>
      </c>
      <c r="F203" s="101" t="s">
        <v>537</v>
      </c>
      <c r="G203" s="63"/>
      <c r="H203" s="63" t="s">
        <v>141</v>
      </c>
      <c r="I203" s="63"/>
      <c r="J203" s="66" t="s">
        <v>47</v>
      </c>
      <c r="K203" s="67"/>
    </row>
    <row r="204">
      <c r="A204" s="68">
        <v>2</v>
      </c>
      <c r="B204" s="117"/>
      <c r="C204" s="117"/>
      <c r="D204" s="118"/>
      <c r="E204" s="60"/>
      <c r="F204" s="119"/>
      <c r="G204" s="59"/>
      <c r="H204" s="59"/>
      <c r="I204" s="59"/>
      <c r="J204" s="57"/>
      <c r="K204" s="58"/>
    </row>
    <row r="205">
      <c r="A205" s="68">
        <v>3</v>
      </c>
      <c r="B205" s="59"/>
      <c r="C205" s="59"/>
      <c r="D205" s="59"/>
      <c r="E205" s="60"/>
      <c r="F205" s="61"/>
      <c r="G205" s="59"/>
      <c r="H205" s="59"/>
      <c r="I205" s="59"/>
      <c r="J205" s="57"/>
      <c r="K205" s="58"/>
    </row>
    <row r="206">
      <c r="A206" s="68">
        <v>4</v>
      </c>
      <c r="B206" s="59"/>
      <c r="C206" s="59"/>
      <c r="D206" s="59"/>
      <c r="E206" s="60"/>
      <c r="F206" s="61"/>
      <c r="G206" s="59"/>
      <c r="H206" s="59"/>
      <c r="I206" s="59"/>
      <c r="J206" s="57"/>
      <c r="K206" s="58"/>
    </row>
    <row r="207" ht="15.75">
      <c r="A207" s="69">
        <v>5</v>
      </c>
      <c r="B207" s="70"/>
      <c r="C207" s="70"/>
      <c r="D207" s="70"/>
      <c r="E207" s="71"/>
      <c r="F207" s="72"/>
      <c r="G207" s="70"/>
      <c r="H207" s="70"/>
      <c r="I207" s="70"/>
      <c r="J207" s="73"/>
      <c r="K207" s="74"/>
    </row>
    <row r="208" s="21" customFormat="1" ht="26.25" customHeight="1">
      <c r="A208" s="82" t="s">
        <v>36</v>
      </c>
      <c r="B208" s="83"/>
      <c r="C208" s="83"/>
      <c r="D208" s="103"/>
      <c r="E208" s="104">
        <f>SUM(E181:E207)</f>
        <v>27894.580000000002</v>
      </c>
    </row>
    <row r="209" s="21" customFormat="1" ht="27" customHeight="1">
      <c r="A209" s="82" t="s">
        <v>22</v>
      </c>
      <c r="B209" s="83"/>
      <c r="C209" s="83"/>
      <c r="D209" s="103"/>
      <c r="E209" s="104">
        <f>E175-E208</f>
        <v>-16949.330000000002</v>
      </c>
      <c r="F209" s="86"/>
    </row>
    <row r="210" ht="14.25">
      <c r="E210" s="1"/>
    </row>
    <row r="211" ht="15.75">
      <c r="E211" s="1"/>
    </row>
    <row r="212" ht="36" customHeight="1">
      <c r="A212" s="120" t="s">
        <v>37</v>
      </c>
      <c r="B212" s="120"/>
      <c r="C212" s="120"/>
      <c r="D212" s="120"/>
      <c r="E212" s="121">
        <f>E213+E214</f>
        <v>2715</v>
      </c>
      <c r="F212" s="640" t="s">
        <v>44</v>
      </c>
      <c r="G212" s="123"/>
      <c r="H212" s="123"/>
      <c r="I212" s="123"/>
      <c r="J212" s="124"/>
      <c r="K212" s="124"/>
    </row>
    <row r="213" ht="15.75" customHeight="1">
      <c r="A213" s="125" t="s">
        <v>38</v>
      </c>
      <c r="B213" s="125"/>
      <c r="C213" s="125"/>
      <c r="D213" s="125"/>
      <c r="E213" s="126">
        <v>0</v>
      </c>
      <c r="F213" s="123"/>
      <c r="G213" s="123"/>
      <c r="H213" s="123"/>
      <c r="I213" s="123"/>
      <c r="J213" s="124"/>
      <c r="K213" s="124"/>
    </row>
    <row r="214" ht="15.75" customHeight="1">
      <c r="A214" s="125" t="s">
        <v>39</v>
      </c>
      <c r="B214" s="125"/>
      <c r="C214" s="125"/>
      <c r="D214" s="125"/>
      <c r="E214" s="126">
        <v>2715</v>
      </c>
      <c r="F214" s="123"/>
      <c r="G214" s="123"/>
      <c r="H214" s="123"/>
      <c r="I214" s="123"/>
      <c r="J214" s="124"/>
      <c r="K214" s="124"/>
    </row>
    <row r="215" ht="15.75">
      <c r="A215" s="123"/>
      <c r="B215" s="123"/>
      <c r="C215" s="123"/>
      <c r="D215" s="123"/>
      <c r="E215" s="123"/>
      <c r="F215" s="123"/>
      <c r="G215" s="123"/>
      <c r="H215" s="123"/>
      <c r="I215" s="123"/>
      <c r="J215" s="124"/>
      <c r="K215" s="124"/>
    </row>
    <row r="216" ht="22.5">
      <c r="A216" s="127" t="s">
        <v>6</v>
      </c>
      <c r="B216" s="127" t="s">
        <v>7</v>
      </c>
      <c r="C216" s="127" t="s">
        <v>8</v>
      </c>
      <c r="D216" s="127" t="s">
        <v>9</v>
      </c>
      <c r="E216" s="127" t="s">
        <v>40</v>
      </c>
      <c r="F216" s="127" t="s">
        <v>11</v>
      </c>
      <c r="G216" s="127" t="s">
        <v>12</v>
      </c>
      <c r="H216" s="128" t="s">
        <v>13</v>
      </c>
      <c r="I216" s="127" t="s">
        <v>14</v>
      </c>
      <c r="J216" s="127" t="s">
        <v>15</v>
      </c>
      <c r="K216" s="127" t="s">
        <v>16</v>
      </c>
    </row>
    <row r="217" ht="15.75">
      <c r="A217" s="129" t="s">
        <v>41</v>
      </c>
      <c r="B217" s="130"/>
      <c r="C217" s="130"/>
      <c r="D217" s="130"/>
      <c r="E217" s="130"/>
      <c r="F217" s="130"/>
      <c r="G217" s="130"/>
      <c r="H217" s="130"/>
      <c r="I217" s="130"/>
      <c r="J217" s="130"/>
      <c r="K217" s="131"/>
    </row>
    <row r="218">
      <c r="A218" s="132">
        <v>1</v>
      </c>
      <c r="B218" s="133"/>
      <c r="C218" s="133"/>
      <c r="D218" s="134"/>
      <c r="E218" s="135"/>
      <c r="F218" s="134"/>
      <c r="G218" s="136"/>
      <c r="H218" s="136"/>
      <c r="I218" s="136"/>
      <c r="J218" s="137"/>
      <c r="K218" s="138"/>
    </row>
    <row r="219">
      <c r="A219" s="139">
        <v>2</v>
      </c>
      <c r="B219" s="140"/>
      <c r="C219" s="140"/>
      <c r="D219" s="141"/>
      <c r="E219" s="142"/>
      <c r="F219" s="141"/>
      <c r="G219" s="143"/>
      <c r="H219" s="143"/>
      <c r="I219" s="142"/>
      <c r="J219" s="144"/>
      <c r="K219" s="145"/>
    </row>
    <row r="220">
      <c r="A220" s="139">
        <v>3</v>
      </c>
      <c r="B220" s="143"/>
      <c r="C220" s="143"/>
      <c r="D220" s="143"/>
      <c r="E220" s="142"/>
      <c r="F220" s="146"/>
      <c r="G220" s="143"/>
      <c r="H220" s="143"/>
      <c r="I220" s="142"/>
      <c r="J220" s="144"/>
      <c r="K220" s="145"/>
    </row>
    <row r="221">
      <c r="A221" s="139">
        <v>4</v>
      </c>
      <c r="B221" s="143"/>
      <c r="C221" s="146"/>
      <c r="D221" s="146"/>
      <c r="E221" s="142"/>
      <c r="F221" s="146"/>
      <c r="G221" s="143"/>
      <c r="H221" s="143"/>
      <c r="I221" s="142"/>
      <c r="J221" s="144"/>
      <c r="K221" s="145"/>
    </row>
    <row r="222">
      <c r="A222" s="139">
        <v>5</v>
      </c>
      <c r="B222" s="143"/>
      <c r="C222" s="143"/>
      <c r="D222" s="143"/>
      <c r="E222" s="143"/>
      <c r="F222" s="146"/>
      <c r="G222" s="143"/>
      <c r="H222" s="143"/>
      <c r="I222" s="142"/>
      <c r="J222" s="144"/>
      <c r="K222" s="145"/>
    </row>
    <row r="223">
      <c r="A223" s="139">
        <v>6</v>
      </c>
      <c r="B223" s="144"/>
      <c r="C223" s="144"/>
      <c r="D223" s="144"/>
      <c r="E223" s="144"/>
      <c r="F223" s="144"/>
      <c r="G223" s="144"/>
      <c r="H223" s="143"/>
      <c r="I223" s="142"/>
      <c r="J223" s="144"/>
      <c r="K223" s="145"/>
    </row>
    <row r="224">
      <c r="A224" s="139">
        <v>7</v>
      </c>
      <c r="B224" s="144"/>
      <c r="C224" s="144"/>
      <c r="D224" s="144"/>
      <c r="E224" s="144"/>
      <c r="F224" s="144"/>
      <c r="G224" s="144"/>
      <c r="H224" s="143"/>
      <c r="I224" s="143"/>
      <c r="J224" s="144"/>
      <c r="K224" s="145"/>
    </row>
    <row r="225">
      <c r="A225" s="139">
        <v>8</v>
      </c>
      <c r="B225" s="143"/>
      <c r="C225" s="146"/>
      <c r="D225" s="146"/>
      <c r="E225" s="142"/>
      <c r="F225" s="146"/>
      <c r="G225" s="143"/>
      <c r="H225" s="143"/>
      <c r="I225" s="142"/>
      <c r="J225" s="144"/>
      <c r="K225" s="145"/>
    </row>
    <row r="226">
      <c r="A226" s="139">
        <v>9</v>
      </c>
      <c r="B226" s="143"/>
      <c r="C226" s="146"/>
      <c r="D226" s="146"/>
      <c r="E226" s="142"/>
      <c r="F226" s="146"/>
      <c r="G226" s="143"/>
      <c r="H226" s="143"/>
      <c r="I226" s="142"/>
      <c r="J226" s="144"/>
      <c r="K226" s="145"/>
    </row>
    <row r="227">
      <c r="A227" s="139">
        <v>10</v>
      </c>
      <c r="B227" s="143"/>
      <c r="C227" s="146"/>
      <c r="D227" s="146"/>
      <c r="E227" s="142"/>
      <c r="F227" s="146"/>
      <c r="G227" s="143"/>
      <c r="H227" s="143"/>
      <c r="I227" s="142"/>
      <c r="J227" s="144"/>
      <c r="K227" s="145"/>
    </row>
    <row r="228">
      <c r="A228" s="139">
        <v>11</v>
      </c>
      <c r="B228" s="143"/>
      <c r="C228" s="146"/>
      <c r="D228" s="146"/>
      <c r="E228" s="142"/>
      <c r="F228" s="146"/>
      <c r="G228" s="143"/>
      <c r="H228" s="143"/>
      <c r="I228" s="142"/>
      <c r="J228" s="144"/>
      <c r="K228" s="145"/>
    </row>
    <row r="229">
      <c r="A229" s="139">
        <v>12</v>
      </c>
      <c r="B229" s="143"/>
      <c r="C229" s="146"/>
      <c r="D229" s="146"/>
      <c r="E229" s="142"/>
      <c r="F229" s="146"/>
      <c r="G229" s="143"/>
      <c r="H229" s="143"/>
      <c r="I229" s="142"/>
      <c r="J229" s="144"/>
      <c r="K229" s="145"/>
    </row>
    <row r="230">
      <c r="A230" s="139">
        <v>13</v>
      </c>
      <c r="B230" s="143"/>
      <c r="C230" s="146"/>
      <c r="D230" s="146"/>
      <c r="E230" s="142"/>
      <c r="F230" s="146"/>
      <c r="G230" s="143"/>
      <c r="H230" s="143"/>
      <c r="I230" s="142"/>
      <c r="J230" s="144"/>
      <c r="K230" s="145"/>
    </row>
    <row r="231">
      <c r="A231" s="139">
        <v>14</v>
      </c>
      <c r="B231" s="143"/>
      <c r="C231" s="146"/>
      <c r="D231" s="146"/>
      <c r="E231" s="142"/>
      <c r="F231" s="146"/>
      <c r="G231" s="143"/>
      <c r="H231" s="143"/>
      <c r="I231" s="142"/>
      <c r="J231" s="144"/>
      <c r="K231" s="145"/>
    </row>
    <row r="232" ht="15.75">
      <c r="A232" s="147">
        <v>15</v>
      </c>
      <c r="B232" s="148"/>
      <c r="C232" s="149"/>
      <c r="D232" s="149"/>
      <c r="E232" s="150"/>
      <c r="F232" s="149"/>
      <c r="G232" s="148"/>
      <c r="H232" s="148"/>
      <c r="I232" s="150"/>
      <c r="J232" s="151"/>
      <c r="K232" s="152"/>
    </row>
    <row r="233" ht="15.75">
      <c r="A233" s="22"/>
      <c r="B233" s="23" t="s">
        <v>26</v>
      </c>
      <c r="C233" s="24"/>
      <c r="D233" s="25"/>
      <c r="E233" s="26"/>
      <c r="F233" s="23"/>
      <c r="G233" s="23"/>
      <c r="H233" s="23"/>
      <c r="I233" s="23"/>
      <c r="J233" s="23"/>
      <c r="K233" s="27"/>
    </row>
    <row r="234">
      <c r="A234" s="132">
        <v>1</v>
      </c>
      <c r="B234" s="153"/>
      <c r="C234" s="153"/>
      <c r="D234" s="153"/>
      <c r="E234" s="153"/>
      <c r="F234" s="154"/>
      <c r="G234" s="153"/>
      <c r="H234" s="153"/>
      <c r="I234" s="153"/>
      <c r="J234" s="137"/>
      <c r="K234" s="138"/>
    </row>
    <row r="235">
      <c r="A235" s="139">
        <v>2</v>
      </c>
      <c r="B235" s="143"/>
      <c r="C235" s="143"/>
      <c r="D235" s="143"/>
      <c r="E235" s="143"/>
      <c r="F235" s="146"/>
      <c r="G235" s="143"/>
      <c r="H235" s="143"/>
      <c r="I235" s="143"/>
      <c r="J235" s="144"/>
      <c r="K235" s="145"/>
    </row>
    <row r="236">
      <c r="A236" s="139">
        <v>3</v>
      </c>
      <c r="B236" s="143"/>
      <c r="C236" s="143"/>
      <c r="D236" s="143"/>
      <c r="E236" s="143"/>
      <c r="F236" s="146"/>
      <c r="G236" s="143"/>
      <c r="H236" s="143"/>
      <c r="I236" s="143"/>
      <c r="J236" s="144"/>
      <c r="K236" s="145"/>
    </row>
    <row r="237">
      <c r="A237" s="139">
        <v>4</v>
      </c>
      <c r="B237" s="143"/>
      <c r="C237" s="143"/>
      <c r="D237" s="143"/>
      <c r="E237" s="143"/>
      <c r="F237" s="146"/>
      <c r="G237" s="143"/>
      <c r="H237" s="143"/>
      <c r="I237" s="143"/>
      <c r="J237" s="144"/>
      <c r="K237" s="145"/>
    </row>
    <row r="238" ht="15.75">
      <c r="A238" s="147">
        <v>5</v>
      </c>
      <c r="B238" s="148"/>
      <c r="C238" s="148"/>
      <c r="D238" s="148"/>
      <c r="E238" s="148"/>
      <c r="F238" s="149"/>
      <c r="G238" s="148"/>
      <c r="H238" s="148"/>
      <c r="I238" s="148"/>
      <c r="J238" s="151"/>
      <c r="K238" s="152"/>
    </row>
    <row r="239" ht="15.75">
      <c r="A239" s="22"/>
      <c r="B239" s="23" t="s">
        <v>19</v>
      </c>
      <c r="C239" s="24"/>
      <c r="D239" s="25"/>
      <c r="E239" s="26"/>
      <c r="F239" s="23"/>
      <c r="G239" s="23"/>
      <c r="H239" s="23"/>
      <c r="I239" s="23"/>
      <c r="J239" s="23"/>
      <c r="K239" s="27"/>
    </row>
    <row r="240">
      <c r="A240" s="132">
        <v>1</v>
      </c>
      <c r="B240" s="136"/>
      <c r="C240" s="153"/>
      <c r="D240" s="153"/>
      <c r="E240" s="153"/>
      <c r="F240" s="154"/>
      <c r="G240" s="153"/>
      <c r="H240" s="153"/>
      <c r="I240" s="153"/>
      <c r="J240" s="137"/>
      <c r="K240" s="138"/>
    </row>
    <row r="241">
      <c r="A241" s="139">
        <v>2</v>
      </c>
      <c r="B241" s="155"/>
      <c r="C241" s="155"/>
      <c r="D241" s="156"/>
      <c r="E241" s="143"/>
      <c r="F241" s="157"/>
      <c r="G241" s="143"/>
      <c r="H241" s="143"/>
      <c r="I241" s="143"/>
      <c r="J241" s="144"/>
      <c r="K241" s="145"/>
    </row>
    <row r="242">
      <c r="A242" s="139">
        <v>3</v>
      </c>
      <c r="B242" s="143"/>
      <c r="C242" s="143"/>
      <c r="D242" s="143"/>
      <c r="E242" s="143"/>
      <c r="F242" s="146"/>
      <c r="G242" s="143"/>
      <c r="H242" s="143"/>
      <c r="I242" s="143"/>
      <c r="J242" s="144"/>
      <c r="K242" s="145"/>
    </row>
    <row r="243">
      <c r="A243" s="139">
        <v>4</v>
      </c>
      <c r="B243" s="143"/>
      <c r="C243" s="143"/>
      <c r="D243" s="143"/>
      <c r="E243" s="143"/>
      <c r="F243" s="146"/>
      <c r="G243" s="143"/>
      <c r="H243" s="143"/>
      <c r="I243" s="143"/>
      <c r="J243" s="144"/>
      <c r="K243" s="145"/>
    </row>
    <row r="244" ht="15.75">
      <c r="A244" s="147">
        <v>5</v>
      </c>
      <c r="B244" s="148"/>
      <c r="C244" s="148"/>
      <c r="D244" s="148"/>
      <c r="E244" s="148"/>
      <c r="F244" s="149"/>
      <c r="G244" s="148"/>
      <c r="H244" s="148"/>
      <c r="I244" s="148"/>
      <c r="J244" s="151"/>
      <c r="K244" s="152"/>
    </row>
    <row r="245" ht="27.75" customHeight="1">
      <c r="A245" s="158" t="s">
        <v>42</v>
      </c>
      <c r="B245" s="158"/>
      <c r="C245" s="158"/>
      <c r="D245" s="158"/>
      <c r="E245" s="159">
        <f>SUM(E218:E244)</f>
        <v>0</v>
      </c>
      <c r="F245" s="160"/>
      <c r="G245" s="160"/>
      <c r="H245" s="160"/>
      <c r="I245" s="160"/>
      <c r="J245" s="160"/>
      <c r="K245" s="160"/>
    </row>
    <row r="246" ht="27.75" customHeight="1">
      <c r="A246" s="158" t="s">
        <v>43</v>
      </c>
      <c r="B246" s="158"/>
      <c r="C246" s="158"/>
      <c r="D246" s="158"/>
      <c r="E246" s="161">
        <f>E212-E245</f>
        <v>2715</v>
      </c>
      <c r="F246" s="162"/>
      <c r="G246" s="160"/>
      <c r="H246" s="160"/>
      <c r="I246" s="160"/>
      <c r="J246" s="160"/>
      <c r="K246" s="160"/>
    </row>
    <row r="247" ht="14.25">
      <c r="E247" s="1"/>
    </row>
    <row r="248" ht="14.25">
      <c r="E248" s="1"/>
    </row>
    <row r="249" ht="14.25">
      <c r="E249" s="1"/>
    </row>
    <row r="250" ht="14.25">
      <c r="E250" s="1"/>
    </row>
    <row r="251" ht="14.25">
      <c r="E251" s="1"/>
    </row>
    <row r="266" ht="14.25">
      <c r="E266" s="1"/>
    </row>
    <row r="267" ht="14.25">
      <c r="E267" s="1"/>
    </row>
    <row r="268" ht="14.25">
      <c r="E268" s="1"/>
    </row>
    <row r="270" ht="14.25">
      <c r="E270" s="1"/>
    </row>
    <row r="271" ht="14.25">
      <c r="E271" s="1"/>
    </row>
    <row r="303" ht="14.25">
      <c r="E303" s="1"/>
    </row>
    <row r="304" ht="14.25">
      <c r="E304" s="1"/>
    </row>
    <row r="305" ht="14.25">
      <c r="E305" s="1"/>
    </row>
  </sheetData>
  <mergeCells count="26">
    <mergeCell ref="E1:F1"/>
    <mergeCell ref="A4:D4"/>
    <mergeCell ref="A5:D5"/>
    <mergeCell ref="A7:D7"/>
    <mergeCell ref="A94:D94"/>
    <mergeCell ref="A95:D95"/>
    <mergeCell ref="A97:D97"/>
    <mergeCell ref="A98:D98"/>
    <mergeCell ref="A99:D99"/>
    <mergeCell ref="A149:D149"/>
    <mergeCell ref="A150:D150"/>
    <mergeCell ref="A152:D152"/>
    <mergeCell ref="A153:D153"/>
    <mergeCell ref="A172:D172"/>
    <mergeCell ref="A173:D173"/>
    <mergeCell ref="A175:D175"/>
    <mergeCell ref="A176:D176"/>
    <mergeCell ref="A177:D177"/>
    <mergeCell ref="A208:D208"/>
    <mergeCell ref="A209:D209"/>
    <mergeCell ref="A212:D212"/>
    <mergeCell ref="A213:D213"/>
    <mergeCell ref="A214:D214"/>
    <mergeCell ref="A217:K217"/>
    <mergeCell ref="A245:D245"/>
    <mergeCell ref="A246:D24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7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7" disablePrompts="0">
        <x14:dataValidation xr:uid="{008E00B9-0034-477A-820F-00AA001F00C5}" type="list" allowBlank="1" errorStyle="stop" imeMode="noControl" operator="between" showDropDown="0" showErrorMessage="1" showInputMessage="1">
          <x14:formula1>
            <xm:f>ДаНет</xm:f>
          </x14:formula1>
          <xm:sqref>H67:H81 H83 H86 H89 H90:H93 H157:H171 H144:H148 H197:H201 H138:H142 H103:H136 H60 H203:H207 H44 H47:H59 H181:H182 H185:H195</xm:sqref>
        </x14:dataValidation>
        <x14:dataValidation xr:uid="{002600B7-004D-45F5-93E1-001C0027001B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H45 H183:H184</xm:sqref>
        </x14:dataValidation>
        <x14:dataValidation xr:uid="{009F005D-00F1-43D2-B976-00F4005F00B7}" type="list" allowBlank="1" errorStyle="stop" imeMode="noControl" operator="between" showDropDown="0" showErrorMessage="1" showInputMessage="1">
          <x14:formula1>
            <xm:f>ДаНет</xm:f>
          </x14:formula1>
          <xm:sqref>H42:H43</xm:sqref>
        </x14:dataValidation>
        <x14:dataValidation xr:uid="{0077008A-005A-46B2-B30E-008F001F0073}" type="list" allowBlank="1" errorStyle="stop" imeMode="noControl" operator="between" showDropDown="0" showErrorMessage="1" showInputMessage="1">
          <x14:formula1>
            <xm:f>ДаНет</xm:f>
          </x14:formula1>
          <xm:sqref>H39:H40</xm:sqref>
        </x14:dataValidation>
        <x14:dataValidation xr:uid="{00840082-0019-4869-9239-006000350079}" type="list" allowBlank="1" errorStyle="stop" imeMode="noControl" operator="between" showDropDown="0" showErrorMessage="1" showInputMessage="1">
          <x14:formula1>
            <xm:f>ДаНет</xm:f>
          </x14:formula1>
          <xm:sqref>H62:H66</xm:sqref>
        </x14:dataValidation>
        <x14:dataValidation xr:uid="{00A3005C-0099-4BEB-9BAE-00E1009E0040}" type="list" allowBlank="1" errorStyle="stop" imeMode="noControl" operator="between" showDropDown="0" showErrorMessage="1" showInputMessage="1">
          <x14:formula1>
            <xm:f>ДаНет</xm:f>
          </x14:formula1>
          <xm:sqref>H85</xm:sqref>
        </x14:dataValidation>
        <x14:dataValidation xr:uid="{00B5006A-0012-4C42-946D-00B5005100F8}" type="list" allowBlank="1" errorStyle="stop" imeMode="noControl" operator="between" showDropDown="0" showErrorMessage="1" showInputMessage="1">
          <x14:formula1>
            <xm:f>ДаНет</xm:f>
          </x14:formula1>
          <xm:sqref>H84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8">
    <tabColor theme="3"/>
    <outlinePr applyStyles="0" summaryBelow="1" summaryRight="1" showOutlineSymbols="1"/>
    <pageSetUpPr autoPageBreaks="1" fitToPage="0"/>
  </sheetPr>
  <sheetViews>
    <sheetView showGridLines="0" showRuler="1" topLeftCell="A216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'17'!C2+1</f>
        <v>46099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462371.07000000001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460390.38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462371.07000000001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600893.43999999994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600893.43999999994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600893.43999999994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10945.25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7812.3000000000002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10945.25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C005B-008E-4753-8D22-000300F90031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1500B0-0042-4DD5-A630-00C000BB00C3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9">
    <outlinePr applyStyles="0" summaryBelow="1" summaryRight="1" showOutlineSymbols="1"/>
    <pageSetUpPr autoPageBreaks="1" fitToPage="1"/>
  </sheetPr>
  <sheetViews>
    <sheetView showGridLines="0" showRuler="1" topLeftCell="C195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7.28125"/>
    <col customWidth="1" min="4" max="4" style="1" width="38.28125"/>
    <col customWidth="1" min="5" max="5" style="1" width="26"/>
    <col customWidth="1" min="6" max="6" style="1" width="58.8515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'18'!C2+1</f>
        <v>46100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462371.07000000001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460390.38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171"/>
      <c r="B10" s="172" t="s">
        <v>17</v>
      </c>
      <c r="C10" s="173"/>
      <c r="D10" s="174"/>
      <c r="E10" s="175"/>
      <c r="F10" s="172"/>
      <c r="G10" s="172"/>
      <c r="H10" s="23"/>
      <c r="I10" s="23"/>
      <c r="J10" s="23"/>
      <c r="K10" s="27"/>
    </row>
    <row r="11" outlineLevel="1">
      <c r="A11" s="176">
        <v>1</v>
      </c>
      <c r="B11" s="480" t="s">
        <v>57</v>
      </c>
      <c r="C11" s="481" t="s">
        <v>58</v>
      </c>
      <c r="D11" s="481" t="s">
        <v>59</v>
      </c>
      <c r="E11" s="482" t="s">
        <v>60</v>
      </c>
      <c r="F11" s="483" t="s">
        <v>61</v>
      </c>
      <c r="G11" s="182" t="s">
        <v>62</v>
      </c>
      <c r="H11" s="179"/>
      <c r="I11" s="35"/>
      <c r="J11" s="680"/>
      <c r="K11" s="37"/>
    </row>
    <row r="12" ht="14.25" customHeight="1" outlineLevel="1">
      <c r="A12" s="176">
        <v>2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489" t="s">
        <v>66</v>
      </c>
      <c r="G12" s="182" t="s">
        <v>62</v>
      </c>
      <c r="H12" s="490"/>
      <c r="I12" s="42"/>
      <c r="J12" s="655"/>
      <c r="K12" s="44"/>
    </row>
    <row r="13" ht="14.25" customHeight="1" outlineLevel="1">
      <c r="A13" s="176">
        <v>3</v>
      </c>
      <c r="B13" s="390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216"/>
      <c r="J13" s="655"/>
      <c r="K13" s="44"/>
    </row>
    <row r="14" ht="14.25" customHeight="1" outlineLevel="1">
      <c r="A14" s="176">
        <v>4</v>
      </c>
      <c r="B14" s="190" t="s">
        <v>57</v>
      </c>
      <c r="C14" s="190" t="s">
        <v>72</v>
      </c>
      <c r="D14" s="191" t="s">
        <v>73</v>
      </c>
      <c r="E14" s="492" t="s">
        <v>74</v>
      </c>
      <c r="F14" s="190" t="s">
        <v>75</v>
      </c>
      <c r="G14" s="182"/>
      <c r="H14" s="193"/>
      <c r="I14" s="216"/>
      <c r="J14" s="655"/>
      <c r="K14" s="44"/>
    </row>
    <row r="15" ht="14.25" customHeight="1" outlineLevel="1">
      <c r="A15" s="176">
        <v>5</v>
      </c>
      <c r="B15" s="190" t="s">
        <v>57</v>
      </c>
      <c r="C15" s="190" t="s">
        <v>72</v>
      </c>
      <c r="D15" s="190" t="s">
        <v>76</v>
      </c>
      <c r="E15" s="492" t="s">
        <v>77</v>
      </c>
      <c r="F15" s="190" t="s">
        <v>78</v>
      </c>
      <c r="G15" s="182"/>
      <c r="H15" s="193"/>
      <c r="I15" s="216"/>
      <c r="J15" s="655"/>
      <c r="K15" s="44"/>
    </row>
    <row r="16" ht="14.25" customHeight="1" outlineLevel="1">
      <c r="A16" s="176">
        <v>6</v>
      </c>
      <c r="B16" s="190" t="s">
        <v>57</v>
      </c>
      <c r="C16" s="190" t="s">
        <v>79</v>
      </c>
      <c r="D16" s="239" t="s">
        <v>80</v>
      </c>
      <c r="E16" s="495" t="s">
        <v>81</v>
      </c>
      <c r="F16" s="190" t="s">
        <v>82</v>
      </c>
      <c r="G16" s="182" t="s">
        <v>62</v>
      </c>
      <c r="H16" s="193"/>
      <c r="I16" s="216"/>
      <c r="J16" s="655"/>
      <c r="K16" s="44"/>
    </row>
    <row r="17" ht="14.25" customHeight="1" outlineLevel="1">
      <c r="A17" s="176">
        <v>7</v>
      </c>
      <c r="B17" s="190" t="s">
        <v>57</v>
      </c>
      <c r="C17" s="190" t="s">
        <v>79</v>
      </c>
      <c r="D17" s="287" t="s">
        <v>370</v>
      </c>
      <c r="E17" s="497" t="s">
        <v>371</v>
      </c>
      <c r="F17" s="190" t="s">
        <v>372</v>
      </c>
      <c r="G17" s="182"/>
      <c r="H17" s="193"/>
      <c r="I17" s="216"/>
      <c r="J17" s="655"/>
      <c r="K17" s="44"/>
    </row>
    <row r="18" ht="14.25" customHeight="1" outlineLevel="1">
      <c r="A18" s="176">
        <v>8</v>
      </c>
      <c r="B18" s="190" t="s">
        <v>57</v>
      </c>
      <c r="C18" s="190" t="s">
        <v>171</v>
      </c>
      <c r="D18" s="732" t="s">
        <v>538</v>
      </c>
      <c r="E18" s="733" t="s">
        <v>539</v>
      </c>
      <c r="F18" s="190" t="s">
        <v>540</v>
      </c>
      <c r="G18" s="182"/>
      <c r="H18" s="193"/>
      <c r="I18" s="216" t="s">
        <v>541</v>
      </c>
      <c r="J18" s="655"/>
      <c r="K18" s="44"/>
    </row>
    <row r="19" ht="14.25" customHeight="1" outlineLevel="1">
      <c r="A19" s="176">
        <v>9</v>
      </c>
      <c r="B19" s="190" t="s">
        <v>57</v>
      </c>
      <c r="C19" s="190" t="s">
        <v>542</v>
      </c>
      <c r="D19" s="732" t="s">
        <v>543</v>
      </c>
      <c r="E19" s="733" t="s">
        <v>544</v>
      </c>
      <c r="F19" s="190" t="s">
        <v>545</v>
      </c>
      <c r="G19" s="182"/>
      <c r="H19" s="193"/>
      <c r="I19" s="216"/>
      <c r="J19" s="655"/>
      <c r="K19" s="44"/>
    </row>
    <row r="20" ht="14.25" customHeight="1" outlineLevel="1">
      <c r="A20" s="176">
        <v>10</v>
      </c>
      <c r="B20" s="190" t="s">
        <v>57</v>
      </c>
      <c r="C20" s="190" t="s">
        <v>373</v>
      </c>
      <c r="D20" s="337" t="s">
        <v>374</v>
      </c>
      <c r="E20" s="499" t="s">
        <v>375</v>
      </c>
      <c r="F20" s="190" t="s">
        <v>376</v>
      </c>
      <c r="G20" s="182"/>
      <c r="H20" s="193"/>
      <c r="I20" s="216"/>
      <c r="J20" s="655"/>
      <c r="K20" s="44"/>
    </row>
    <row r="21" ht="14.25" customHeight="1" outlineLevel="1">
      <c r="A21" s="176">
        <v>11</v>
      </c>
      <c r="B21" s="190" t="s">
        <v>57</v>
      </c>
      <c r="C21" s="190" t="s">
        <v>546</v>
      </c>
      <c r="D21" s="732" t="s">
        <v>547</v>
      </c>
      <c r="E21" s="733" t="s">
        <v>548</v>
      </c>
      <c r="F21" s="190" t="s">
        <v>549</v>
      </c>
      <c r="G21" s="182"/>
      <c r="H21" s="193"/>
      <c r="I21" s="216" t="s">
        <v>501</v>
      </c>
      <c r="J21" s="655"/>
      <c r="K21" s="44"/>
    </row>
    <row r="22" ht="14.25" customHeight="1" outlineLevel="1">
      <c r="A22" s="176">
        <v>12</v>
      </c>
      <c r="B22" s="198" t="s">
        <v>83</v>
      </c>
      <c r="C22" s="209" t="s">
        <v>84</v>
      </c>
      <c r="D22" s="657" t="s">
        <v>85</v>
      </c>
      <c r="E22" s="501" t="s">
        <v>86</v>
      </c>
      <c r="F22" s="182" t="s">
        <v>87</v>
      </c>
      <c r="G22" s="182" t="s">
        <v>62</v>
      </c>
      <c r="H22" s="193"/>
      <c r="I22" s="216"/>
      <c r="J22" s="655"/>
      <c r="K22" s="44"/>
    </row>
    <row r="23" ht="14.25" customHeight="1" outlineLevel="1">
      <c r="A23" s="176">
        <v>13</v>
      </c>
      <c r="B23" s="209" t="s">
        <v>83</v>
      </c>
      <c r="C23" s="209" t="s">
        <v>84</v>
      </c>
      <c r="D23" s="657" t="s">
        <v>88</v>
      </c>
      <c r="E23" s="501" t="s">
        <v>89</v>
      </c>
      <c r="F23" s="182" t="s">
        <v>90</v>
      </c>
      <c r="G23" s="182" t="s">
        <v>62</v>
      </c>
      <c r="H23" s="193"/>
      <c r="I23" s="216"/>
      <c r="J23" s="655"/>
      <c r="K23" s="44"/>
    </row>
    <row r="24" ht="14.25" customHeight="1" outlineLevel="1">
      <c r="A24" s="176">
        <v>14</v>
      </c>
      <c r="B24" s="209" t="s">
        <v>83</v>
      </c>
      <c r="C24" s="209" t="s">
        <v>84</v>
      </c>
      <c r="D24" s="657" t="s">
        <v>404</v>
      </c>
      <c r="E24" s="501" t="s">
        <v>89</v>
      </c>
      <c r="F24" s="182" t="s">
        <v>405</v>
      </c>
      <c r="G24" s="182"/>
      <c r="H24" s="193"/>
      <c r="I24" s="216"/>
      <c r="J24" s="655"/>
      <c r="K24" s="44"/>
    </row>
    <row r="25" ht="14.25" customHeight="1" outlineLevel="1">
      <c r="A25" s="176">
        <v>15</v>
      </c>
      <c r="B25" s="209" t="s">
        <v>83</v>
      </c>
      <c r="C25" s="182" t="s">
        <v>91</v>
      </c>
      <c r="D25" s="658" t="s">
        <v>92</v>
      </c>
      <c r="E25" s="659" t="s">
        <v>93</v>
      </c>
      <c r="F25" s="182" t="s">
        <v>94</v>
      </c>
      <c r="G25" s="182" t="s">
        <v>62</v>
      </c>
      <c r="H25" s="193"/>
      <c r="I25" s="216"/>
      <c r="J25" s="655"/>
      <c r="K25" s="44"/>
    </row>
    <row r="26" ht="14.25" customHeight="1" outlineLevel="1">
      <c r="A26" s="176">
        <v>16</v>
      </c>
      <c r="B26" s="198" t="s">
        <v>83</v>
      </c>
      <c r="C26" s="204" t="s">
        <v>91</v>
      </c>
      <c r="D26" s="205" t="s">
        <v>95</v>
      </c>
      <c r="E26" s="505" t="s">
        <v>96</v>
      </c>
      <c r="F26" s="660" t="s">
        <v>94</v>
      </c>
      <c r="G26" s="182" t="s">
        <v>62</v>
      </c>
      <c r="H26" s="400"/>
      <c r="I26" s="42"/>
      <c r="J26" s="655"/>
      <c r="K26" s="44"/>
    </row>
    <row r="27" ht="14.25" customHeight="1" outlineLevel="1">
      <c r="A27" s="176">
        <v>17</v>
      </c>
      <c r="B27" s="198" t="s">
        <v>83</v>
      </c>
      <c r="C27" s="204" t="s">
        <v>91</v>
      </c>
      <c r="D27" s="205" t="s">
        <v>97</v>
      </c>
      <c r="E27" s="505" t="s">
        <v>98</v>
      </c>
      <c r="F27" s="401" t="s">
        <v>94</v>
      </c>
      <c r="G27" s="182" t="s">
        <v>62</v>
      </c>
      <c r="H27" s="202"/>
      <c r="I27" s="42"/>
      <c r="J27" s="655"/>
      <c r="K27" s="44"/>
    </row>
    <row r="28" ht="14.25" customHeight="1" outlineLevel="1">
      <c r="A28" s="176">
        <v>18</v>
      </c>
      <c r="B28" s="198" t="s">
        <v>83</v>
      </c>
      <c r="C28" s="204" t="s">
        <v>91</v>
      </c>
      <c r="D28" s="205" t="s">
        <v>99</v>
      </c>
      <c r="E28" s="505" t="s">
        <v>100</v>
      </c>
      <c r="F28" s="401" t="s">
        <v>94</v>
      </c>
      <c r="G28" s="182" t="s">
        <v>62</v>
      </c>
      <c r="H28" s="202"/>
      <c r="I28" s="42"/>
      <c r="J28" s="655"/>
      <c r="K28" s="44"/>
    </row>
    <row r="29" ht="14.25" customHeight="1" outlineLevel="1">
      <c r="A29" s="176">
        <v>19</v>
      </c>
      <c r="B29" s="198" t="s">
        <v>83</v>
      </c>
      <c r="C29" s="204" t="s">
        <v>91</v>
      </c>
      <c r="D29" s="205" t="s">
        <v>101</v>
      </c>
      <c r="E29" s="505" t="s">
        <v>102</v>
      </c>
      <c r="F29" s="401" t="s">
        <v>94</v>
      </c>
      <c r="G29" s="182" t="s">
        <v>62</v>
      </c>
      <c r="H29" s="202"/>
      <c r="I29" s="42"/>
      <c r="J29" s="655"/>
      <c r="K29" s="44"/>
    </row>
    <row r="30" ht="14.25" customHeight="1" outlineLevel="1">
      <c r="A30" s="176">
        <v>20</v>
      </c>
      <c r="B30" s="198" t="s">
        <v>83</v>
      </c>
      <c r="C30" s="204" t="s">
        <v>91</v>
      </c>
      <c r="D30" s="205" t="s">
        <v>103</v>
      </c>
      <c r="E30" s="505" t="s">
        <v>104</v>
      </c>
      <c r="F30" s="401" t="s">
        <v>94</v>
      </c>
      <c r="G30" s="182" t="s">
        <v>62</v>
      </c>
      <c r="H30" s="202"/>
      <c r="I30" s="42"/>
      <c r="J30" s="655"/>
      <c r="K30" s="44"/>
    </row>
    <row r="31" ht="14.25" customHeight="1" outlineLevel="1">
      <c r="A31" s="176">
        <v>21</v>
      </c>
      <c r="B31" s="198" t="s">
        <v>83</v>
      </c>
      <c r="C31" s="204" t="s">
        <v>91</v>
      </c>
      <c r="D31" s="205" t="s">
        <v>105</v>
      </c>
      <c r="E31" s="505" t="s">
        <v>106</v>
      </c>
      <c r="F31" s="401" t="s">
        <v>94</v>
      </c>
      <c r="G31" s="182" t="s">
        <v>62</v>
      </c>
      <c r="H31" s="202"/>
      <c r="I31" s="42"/>
      <c r="J31" s="655"/>
      <c r="K31" s="44"/>
    </row>
    <row r="32" ht="14.25" customHeight="1" outlineLevel="1">
      <c r="A32" s="176">
        <v>22</v>
      </c>
      <c r="B32" s="198" t="s">
        <v>83</v>
      </c>
      <c r="C32" s="204" t="s">
        <v>91</v>
      </c>
      <c r="D32" s="205" t="s">
        <v>107</v>
      </c>
      <c r="E32" s="505" t="s">
        <v>108</v>
      </c>
      <c r="F32" s="401" t="s">
        <v>94</v>
      </c>
      <c r="G32" s="182" t="s">
        <v>62</v>
      </c>
      <c r="H32" s="202"/>
      <c r="I32" s="42"/>
      <c r="J32" s="43"/>
      <c r="K32" s="44"/>
    </row>
    <row r="33" ht="14.25" customHeight="1" outlineLevel="1">
      <c r="A33" s="176">
        <v>23</v>
      </c>
      <c r="B33" s="198" t="s">
        <v>83</v>
      </c>
      <c r="C33" s="198" t="s">
        <v>109</v>
      </c>
      <c r="D33" s="199" t="s">
        <v>110</v>
      </c>
      <c r="E33" s="507" t="s">
        <v>111</v>
      </c>
      <c r="F33" s="401" t="s">
        <v>112</v>
      </c>
      <c r="G33" s="182" t="s">
        <v>62</v>
      </c>
      <c r="H33" s="202"/>
      <c r="I33" s="42"/>
      <c r="J33" s="43"/>
      <c r="K33" s="44"/>
    </row>
    <row r="34" ht="14.25" customHeight="1" outlineLevel="1">
      <c r="A34" s="176">
        <v>24</v>
      </c>
      <c r="B34" s="198" t="s">
        <v>83</v>
      </c>
      <c r="C34" s="198" t="s">
        <v>109</v>
      </c>
      <c r="D34" s="199" t="s">
        <v>113</v>
      </c>
      <c r="E34" s="507" t="s">
        <v>114</v>
      </c>
      <c r="F34" s="401" t="s">
        <v>115</v>
      </c>
      <c r="G34" s="182" t="s">
        <v>62</v>
      </c>
      <c r="H34" s="202"/>
      <c r="I34" s="42"/>
      <c r="J34" s="43"/>
      <c r="K34" s="44"/>
    </row>
    <row r="35" ht="14.25" customHeight="1" outlineLevel="1">
      <c r="A35" s="176">
        <v>25</v>
      </c>
      <c r="B35" s="209" t="s">
        <v>83</v>
      </c>
      <c r="C35" s="198" t="s">
        <v>109</v>
      </c>
      <c r="D35" s="199" t="s">
        <v>116</v>
      </c>
      <c r="E35" s="507" t="s">
        <v>117</v>
      </c>
      <c r="F35" s="401" t="s">
        <v>118</v>
      </c>
      <c r="G35" s="182" t="s">
        <v>62</v>
      </c>
      <c r="H35" s="202"/>
      <c r="I35" s="42"/>
      <c r="J35" s="43"/>
      <c r="K35" s="44"/>
    </row>
    <row r="36" ht="14.25" customHeight="1" outlineLevel="1">
      <c r="A36" s="176">
        <v>26</v>
      </c>
      <c r="B36" s="182" t="s">
        <v>83</v>
      </c>
      <c r="C36" s="182" t="s">
        <v>119</v>
      </c>
      <c r="D36" s="205" t="s">
        <v>120</v>
      </c>
      <c r="E36" s="508" t="s">
        <v>377</v>
      </c>
      <c r="F36" s="401" t="s">
        <v>122</v>
      </c>
      <c r="G36" s="182" t="s">
        <v>62</v>
      </c>
      <c r="H36" s="202"/>
      <c r="I36" s="42"/>
      <c r="J36" s="43"/>
      <c r="K36" s="44"/>
    </row>
    <row r="37" ht="14.25" customHeight="1" outlineLevel="1">
      <c r="A37" s="176">
        <v>27</v>
      </c>
      <c r="B37" s="209" t="s">
        <v>123</v>
      </c>
      <c r="C37" s="182" t="s">
        <v>124</v>
      </c>
      <c r="D37" s="205" t="s">
        <v>125</v>
      </c>
      <c r="E37" s="507" t="s">
        <v>126</v>
      </c>
      <c r="F37" s="401" t="s">
        <v>127</v>
      </c>
      <c r="G37" s="182" t="s">
        <v>62</v>
      </c>
      <c r="H37" s="202"/>
      <c r="I37" s="42"/>
      <c r="J37" s="43"/>
      <c r="K37" s="44"/>
    </row>
    <row r="38" ht="14.25" customHeight="1" outlineLevel="1">
      <c r="A38" s="176">
        <v>28</v>
      </c>
      <c r="B38" s="209" t="s">
        <v>128</v>
      </c>
      <c r="C38" s="182" t="s">
        <v>37</v>
      </c>
      <c r="D38" s="205" t="s">
        <v>129</v>
      </c>
      <c r="E38" s="507" t="s">
        <v>130</v>
      </c>
      <c r="F38" s="401" t="s">
        <v>131</v>
      </c>
      <c r="G38" s="182" t="s">
        <v>62</v>
      </c>
      <c r="H38" s="202"/>
      <c r="I38" s="42"/>
      <c r="J38" s="43"/>
      <c r="K38" s="44"/>
    </row>
    <row r="39" ht="14.25" customHeight="1" outlineLevel="1">
      <c r="A39" s="176">
        <v>29</v>
      </c>
      <c r="B39" s="182" t="s">
        <v>83</v>
      </c>
      <c r="C39" s="210" t="s">
        <v>132</v>
      </c>
      <c r="D39" s="509" t="s">
        <v>133</v>
      </c>
      <c r="E39" s="488" t="s">
        <v>134</v>
      </c>
      <c r="F39" s="489" t="s">
        <v>135</v>
      </c>
      <c r="G39" s="182" t="s">
        <v>62</v>
      </c>
      <c r="H39" s="202"/>
      <c r="I39" s="42"/>
      <c r="J39" s="43"/>
      <c r="K39" s="44"/>
    </row>
    <row r="40" ht="14.25" customHeight="1" outlineLevel="1">
      <c r="A40" s="176">
        <v>30</v>
      </c>
      <c r="B40" s="182" t="s">
        <v>83</v>
      </c>
      <c r="C40" s="190" t="s">
        <v>136</v>
      </c>
      <c r="D40" s="239" t="s">
        <v>137</v>
      </c>
      <c r="E40" s="510" t="s">
        <v>378</v>
      </c>
      <c r="F40" s="267" t="s">
        <v>139</v>
      </c>
      <c r="G40" s="182" t="s">
        <v>62</v>
      </c>
      <c r="H40" s="202"/>
      <c r="I40" s="42"/>
      <c r="J40" s="43"/>
      <c r="K40" s="44"/>
    </row>
    <row r="41" ht="14.25" customHeight="1" outlineLevel="1">
      <c r="A41" s="176">
        <v>31</v>
      </c>
      <c r="B41" s="480" t="s">
        <v>48</v>
      </c>
      <c r="C41" s="215" t="s">
        <v>49</v>
      </c>
      <c r="D41" s="34" t="s">
        <v>50</v>
      </c>
      <c r="E41" s="513" t="s">
        <v>140</v>
      </c>
      <c r="F41" s="407" t="s">
        <v>51</v>
      </c>
      <c r="G41" s="182" t="s">
        <v>62</v>
      </c>
      <c r="H41" s="202" t="s">
        <v>141</v>
      </c>
      <c r="I41" s="42"/>
      <c r="J41" s="43"/>
      <c r="K41" s="44"/>
    </row>
    <row r="42" ht="14.25" customHeight="1" outlineLevel="1">
      <c r="A42" s="176">
        <v>32</v>
      </c>
      <c r="B42" s="217" t="s">
        <v>48</v>
      </c>
      <c r="C42" s="33" t="s">
        <v>49</v>
      </c>
      <c r="D42" s="34" t="s">
        <v>50</v>
      </c>
      <c r="E42" s="513" t="s">
        <v>142</v>
      </c>
      <c r="F42" s="407" t="s">
        <v>51</v>
      </c>
      <c r="G42" s="514" t="s">
        <v>62</v>
      </c>
      <c r="H42" s="33"/>
      <c r="I42" s="42"/>
      <c r="J42" s="43"/>
      <c r="K42" s="44"/>
    </row>
    <row r="43" ht="14.25" customHeight="1" outlineLevel="1">
      <c r="A43" s="176">
        <v>33</v>
      </c>
      <c r="B43" s="204" t="s">
        <v>83</v>
      </c>
      <c r="C43" s="177" t="s">
        <v>143</v>
      </c>
      <c r="D43" s="39" t="s">
        <v>144</v>
      </c>
      <c r="E43" s="516" t="s">
        <v>145</v>
      </c>
      <c r="F43" s="410" t="s">
        <v>146</v>
      </c>
      <c r="G43" s="514" t="s">
        <v>62</v>
      </c>
      <c r="H43" s="94"/>
      <c r="I43" s="42"/>
      <c r="J43" s="43"/>
      <c r="K43" s="44"/>
    </row>
    <row r="44" ht="14.25" customHeight="1" outlineLevel="1">
      <c r="A44" s="176">
        <v>34</v>
      </c>
      <c r="B44" s="204" t="s">
        <v>83</v>
      </c>
      <c r="C44" s="518" t="s">
        <v>147</v>
      </c>
      <c r="D44" s="41" t="s">
        <v>148</v>
      </c>
      <c r="E44" s="516" t="s">
        <v>379</v>
      </c>
      <c r="F44" s="410" t="s">
        <v>150</v>
      </c>
      <c r="G44" s="514" t="s">
        <v>62</v>
      </c>
      <c r="H44" s="94"/>
      <c r="I44" s="42"/>
      <c r="J44" s="43"/>
      <c r="K44" s="44"/>
    </row>
    <row r="45" ht="14.25" customHeight="1" outlineLevel="1">
      <c r="A45" s="176">
        <v>35</v>
      </c>
      <c r="B45" s="204" t="s">
        <v>83</v>
      </c>
      <c r="C45" s="518" t="s">
        <v>147</v>
      </c>
      <c r="D45" s="39" t="s">
        <v>461</v>
      </c>
      <c r="E45" s="211" t="s">
        <v>462</v>
      </c>
      <c r="F45" s="611" t="s">
        <v>463</v>
      </c>
      <c r="G45" s="514" t="s">
        <v>62</v>
      </c>
      <c r="H45" s="42"/>
      <c r="I45" s="42"/>
      <c r="J45" s="43"/>
      <c r="K45" s="44"/>
    </row>
    <row r="46" ht="14.25" customHeight="1" outlineLevel="1">
      <c r="A46" s="176">
        <v>36</v>
      </c>
      <c r="B46" s="204" t="s">
        <v>83</v>
      </c>
      <c r="C46" s="518" t="s">
        <v>147</v>
      </c>
      <c r="D46" s="39" t="s">
        <v>464</v>
      </c>
      <c r="E46" s="211" t="s">
        <v>465</v>
      </c>
      <c r="F46" s="611" t="s">
        <v>466</v>
      </c>
      <c r="G46" s="514" t="s">
        <v>62</v>
      </c>
      <c r="H46" s="42"/>
      <c r="I46" s="42"/>
      <c r="J46" s="43"/>
      <c r="K46" s="44"/>
    </row>
    <row r="47" ht="14.25" customHeight="1" outlineLevel="1">
      <c r="A47" s="176">
        <v>37</v>
      </c>
      <c r="B47" s="681"/>
      <c r="C47" s="39"/>
      <c r="D47" s="39"/>
      <c r="E47" s="40"/>
      <c r="F47" s="41"/>
      <c r="G47" s="551"/>
      <c r="H47" s="42"/>
      <c r="I47" s="42"/>
      <c r="J47" s="43"/>
      <c r="K47" s="44"/>
    </row>
    <row r="48" ht="14.25" customHeight="1" outlineLevel="1">
      <c r="A48" s="176">
        <v>38</v>
      </c>
      <c r="B48" s="177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176">
        <v>39</v>
      </c>
      <c r="B49" s="177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176">
        <v>40</v>
      </c>
      <c r="B50" s="177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176">
        <v>41</v>
      </c>
      <c r="B51" s="177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176">
        <v>42</v>
      </c>
      <c r="B52" s="177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176">
        <v>43</v>
      </c>
      <c r="B53" s="177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176">
        <v>44</v>
      </c>
      <c r="B54" s="177"/>
      <c r="C54" s="39"/>
      <c r="D54" s="39"/>
      <c r="E54" s="40"/>
      <c r="F54" s="41"/>
      <c r="G54" s="39"/>
      <c r="H54" s="42"/>
      <c r="I54" s="42"/>
      <c r="J54" s="43"/>
      <c r="K54" s="44"/>
    </row>
    <row r="55" ht="14.25" hidden="1" customHeight="1" outlineLevel="1">
      <c r="A55" s="376">
        <v>42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hidden="1" customHeight="1" outlineLevel="1">
      <c r="A56" s="38">
        <v>43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hidden="1" customHeight="1" outlineLevel="1">
      <c r="A57" s="38">
        <v>44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hidden="1" customHeight="1" outlineLevel="1">
      <c r="A58" s="38">
        <v>45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hidden="1" customHeight="1" outlineLevel="1">
      <c r="A59" s="38">
        <v>46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hidden="1" customHeight="1" outlineLevel="1">
      <c r="A60" s="38">
        <v>47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hidden="1" customHeight="1" outlineLevel="1">
      <c r="A61" s="38">
        <v>48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hidden="1" customHeight="1" outlineLevel="1">
      <c r="A62" s="38">
        <v>49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hidden="1" customHeight="1" outlineLevel="1">
      <c r="A63" s="38">
        <v>50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hidden="1" customHeight="1" outlineLevel="1">
      <c r="A64" s="38">
        <v>51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hidden="1" customHeight="1" outlineLevel="1">
      <c r="A65" s="38">
        <v>52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hidden="1" customHeight="1" outlineLevel="1">
      <c r="A66" s="38">
        <v>53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hidden="1" customHeight="1" outlineLevel="1">
      <c r="A67" s="38">
        <v>54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hidden="1" customHeight="1" outlineLevel="1">
      <c r="A68" s="38">
        <v>55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hidden="1" customHeight="1" outlineLevel="1">
      <c r="A69" s="38">
        <v>56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hidden="1" customHeight="1" outlineLevel="1">
      <c r="A70" s="38">
        <v>57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hidden="1" customHeight="1" outlineLevel="1">
      <c r="A71" s="38">
        <v>58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hidden="1" customHeight="1" outlineLevel="1">
      <c r="A72" s="38">
        <v>59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hidden="1" customHeight="1" outlineLevel="1">
      <c r="A73" s="38">
        <v>60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hidden="1" customHeight="1" outlineLevel="1">
      <c r="A74" s="38">
        <v>61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hidden="1" customHeight="1" outlineLevel="1">
      <c r="A75" s="38">
        <v>62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hidden="1" customHeight="1" outlineLevel="1">
      <c r="A76" s="38">
        <v>63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hidden="1" customHeight="1" outlineLevel="1">
      <c r="A77" s="38">
        <v>64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hidden="1" customHeight="1" outlineLevel="1">
      <c r="A78" s="38">
        <v>65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hidden="1" customHeight="1" outlineLevel="1">
      <c r="A79" s="38">
        <v>66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hidden="1" customHeight="1" outlineLevel="1">
      <c r="A80" s="38">
        <v>67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hidden="1" customHeight="1" outlineLevel="1">
      <c r="A81" s="38">
        <v>68</v>
      </c>
      <c r="B81" s="39"/>
      <c r="C81" s="39"/>
      <c r="D81" s="39"/>
      <c r="E81" s="40"/>
      <c r="F81" s="41"/>
      <c r="G81" s="39"/>
      <c r="H81" s="42"/>
      <c r="I81" s="42"/>
      <c r="J81" s="43"/>
      <c r="K81" s="44"/>
    </row>
    <row r="82" ht="14.25" hidden="1" customHeight="1" outlineLevel="1">
      <c r="A82" s="38">
        <v>69</v>
      </c>
      <c r="B82" s="39"/>
      <c r="C82" s="39"/>
      <c r="D82" s="39"/>
      <c r="E82" s="40"/>
      <c r="F82" s="41"/>
      <c r="G82" s="39"/>
      <c r="H82" s="42"/>
      <c r="I82" s="42"/>
      <c r="J82" s="43"/>
      <c r="K82" s="44"/>
    </row>
    <row r="83" ht="14.25" hidden="1" customHeight="1" outlineLevel="1">
      <c r="A83" s="38">
        <v>70</v>
      </c>
      <c r="B83" s="39"/>
      <c r="C83" s="39"/>
      <c r="D83" s="39"/>
      <c r="E83" s="40"/>
      <c r="F83" s="41"/>
      <c r="G83" s="39"/>
      <c r="H83" s="42"/>
      <c r="I83" s="42"/>
      <c r="J83" s="43"/>
      <c r="K83" s="44"/>
    </row>
    <row r="84" ht="14.25" hidden="1" customHeight="1" outlineLevel="1">
      <c r="A84" s="38">
        <v>71</v>
      </c>
      <c r="B84" s="39"/>
      <c r="C84" s="39"/>
      <c r="D84" s="39"/>
      <c r="E84" s="40"/>
      <c r="F84" s="41"/>
      <c r="G84" s="41"/>
      <c r="H84" s="39"/>
      <c r="I84" s="43"/>
      <c r="J84" s="43"/>
      <c r="K84" s="44"/>
    </row>
    <row r="85" ht="14.25" hidden="1" customHeight="1" outlineLevel="1">
      <c r="A85" s="38">
        <v>72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hidden="1" customHeight="1" outlineLevel="1">
      <c r="A86" s="38">
        <v>73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hidden="1" customHeight="1" outlineLevel="1">
      <c r="A87" s="38">
        <v>74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hidden="1" customHeight="1" outlineLevel="1">
      <c r="A88" s="38">
        <v>75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hidden="1" customHeight="1" outlineLevel="1">
      <c r="A89" s="38">
        <v>76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hidden="1" customHeight="1" outlineLevel="1">
      <c r="A90" s="38">
        <v>77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hidden="1" customHeight="1" outlineLevel="1">
      <c r="A91" s="38">
        <v>78</v>
      </c>
      <c r="B91" s="39"/>
      <c r="C91" s="39"/>
      <c r="D91" s="39"/>
      <c r="E91" s="40"/>
      <c r="F91" s="41"/>
      <c r="G91" s="39"/>
      <c r="H91" s="39"/>
      <c r="I91" s="39"/>
      <c r="J91" s="43"/>
      <c r="K91" s="44"/>
    </row>
    <row r="92" ht="14.25" hidden="1" customHeight="1" outlineLevel="1">
      <c r="A92" s="38">
        <v>79</v>
      </c>
      <c r="B92" s="39"/>
      <c r="C92" s="39"/>
      <c r="D92" s="39"/>
      <c r="E92" s="40"/>
      <c r="F92" s="41"/>
      <c r="G92" s="39"/>
      <c r="H92" s="39"/>
      <c r="I92" s="39"/>
      <c r="J92" s="43"/>
      <c r="K92" s="44"/>
    </row>
    <row r="93" ht="14.25" hidden="1" customHeight="1" outlineLevel="1">
      <c r="A93" s="38">
        <v>80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hidden="1" customHeight="1" outlineLevel="1">
      <c r="A94" s="38">
        <v>81</v>
      </c>
      <c r="B94" s="39"/>
      <c r="C94" s="39"/>
      <c r="D94" s="41"/>
      <c r="E94" s="40"/>
      <c r="F94" s="41"/>
      <c r="G94" s="39"/>
      <c r="H94" s="39"/>
      <c r="I94" s="39"/>
      <c r="J94" s="43"/>
      <c r="K94" s="44"/>
    </row>
    <row r="95" ht="14.25" hidden="1" customHeight="1" outlineLevel="1">
      <c r="A95" s="38">
        <v>82</v>
      </c>
      <c r="B95" s="39"/>
      <c r="C95" s="39"/>
      <c r="D95" s="39"/>
      <c r="E95" s="40"/>
      <c r="F95" s="41"/>
      <c r="G95" s="41"/>
      <c r="H95" s="39"/>
      <c r="I95" s="39"/>
      <c r="J95" s="43"/>
      <c r="K95" s="44"/>
    </row>
    <row r="96" ht="14.25" hidden="1" customHeight="1" outlineLevel="1">
      <c r="A96" s="38">
        <v>83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hidden="1" customHeight="1" outlineLevel="1">
      <c r="A97" s="38">
        <v>84</v>
      </c>
      <c r="B97" s="39"/>
      <c r="C97" s="39"/>
      <c r="D97" s="39"/>
      <c r="E97" s="40"/>
      <c r="F97" s="41"/>
      <c r="G97" s="39"/>
      <c r="H97" s="39"/>
      <c r="I97" s="39"/>
      <c r="J97" s="43"/>
      <c r="K97" s="44"/>
    </row>
    <row r="98" ht="14.25" hidden="1" customHeight="1" outlineLevel="1">
      <c r="A98" s="38">
        <v>85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hidden="1" customHeight="1" outlineLevel="1">
      <c r="A99" s="38">
        <v>86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hidden="1" customHeight="1" outlineLevel="1">
      <c r="A100" s="38">
        <v>87</v>
      </c>
      <c r="B100" s="39"/>
      <c r="C100" s="39"/>
      <c r="D100" s="39"/>
      <c r="E100" s="45"/>
      <c r="F100" s="41"/>
      <c r="G100" s="39"/>
      <c r="H100" s="39"/>
      <c r="I100" s="39"/>
      <c r="J100" s="43"/>
      <c r="K100" s="44"/>
    </row>
    <row r="101" ht="14.25" hidden="1" customHeight="1" outlineLevel="1">
      <c r="A101" s="38">
        <v>88</v>
      </c>
      <c r="B101" s="39"/>
      <c r="C101" s="39"/>
      <c r="D101" s="39"/>
      <c r="E101" s="40"/>
      <c r="F101" s="41"/>
      <c r="G101" s="39"/>
      <c r="H101" s="39"/>
      <c r="I101" s="39"/>
      <c r="J101" s="43"/>
      <c r="K101" s="44"/>
    </row>
    <row r="102" ht="14.25" hidden="1" customHeight="1" outlineLevel="1">
      <c r="A102" s="38">
        <v>89</v>
      </c>
      <c r="B102" s="39"/>
      <c r="C102" s="39"/>
      <c r="D102" s="39"/>
      <c r="E102" s="40"/>
      <c r="F102" s="41"/>
      <c r="G102" s="39"/>
      <c r="H102" s="39"/>
      <c r="I102" s="39"/>
      <c r="J102" s="43"/>
      <c r="K102" s="44"/>
    </row>
    <row r="103" ht="14.25" hidden="1" customHeight="1" outlineLevel="1">
      <c r="A103" s="38">
        <v>90</v>
      </c>
      <c r="B103" s="39"/>
      <c r="C103" s="39"/>
      <c r="D103" s="39"/>
      <c r="E103" s="40"/>
      <c r="F103" s="39"/>
      <c r="G103" s="39"/>
      <c r="H103" s="39"/>
      <c r="I103" s="39"/>
      <c r="J103" s="43"/>
      <c r="K103" s="44"/>
    </row>
    <row r="104" ht="14.25" hidden="1" customHeight="1" outlineLevel="1">
      <c r="A104" s="38">
        <v>91</v>
      </c>
      <c r="B104" s="46"/>
      <c r="C104" s="46"/>
      <c r="D104" s="46"/>
      <c r="E104" s="47"/>
      <c r="F104" s="48"/>
      <c r="G104" s="46"/>
      <c r="H104" s="46"/>
      <c r="I104" s="39"/>
      <c r="J104" s="43"/>
      <c r="K104" s="44"/>
    </row>
    <row r="105" ht="14.25" hidden="1" customHeight="1" outlineLevel="1">
      <c r="A105" s="38">
        <v>92</v>
      </c>
      <c r="B105" s="39"/>
      <c r="C105" s="39"/>
      <c r="D105" s="41"/>
      <c r="E105" s="40"/>
      <c r="F105" s="41"/>
      <c r="G105" s="39"/>
      <c r="H105" s="39"/>
      <c r="I105" s="39"/>
      <c r="J105" s="43"/>
      <c r="K105" s="44"/>
    </row>
    <row r="106" ht="14.25" hidden="1" customHeight="1" outlineLevel="1">
      <c r="A106" s="38">
        <v>93</v>
      </c>
      <c r="B106" s="39"/>
      <c r="C106" s="39"/>
      <c r="D106" s="41"/>
      <c r="E106" s="40"/>
      <c r="F106" s="41"/>
      <c r="G106" s="39"/>
      <c r="H106" s="39"/>
      <c r="I106" s="39"/>
      <c r="J106" s="43"/>
      <c r="K106" s="44"/>
    </row>
    <row r="107" ht="14.25" hidden="1" customHeight="1" outlineLevel="1">
      <c r="A107" s="38">
        <v>94</v>
      </c>
      <c r="B107" s="39"/>
      <c r="C107" s="39"/>
      <c r="D107" s="39"/>
      <c r="E107" s="45"/>
      <c r="F107" s="41"/>
      <c r="G107" s="39"/>
      <c r="H107" s="39"/>
      <c r="I107" s="39"/>
      <c r="J107" s="43"/>
      <c r="K107" s="44"/>
    </row>
    <row r="108" ht="14.25" hidden="1" customHeight="1" outlineLevel="1">
      <c r="A108" s="38">
        <v>95</v>
      </c>
      <c r="B108" s="49"/>
      <c r="C108" s="49"/>
      <c r="D108" s="49"/>
      <c r="E108" s="45"/>
      <c r="F108" s="50"/>
      <c r="G108" s="49"/>
      <c r="H108" s="49"/>
      <c r="I108" s="49"/>
      <c r="J108" s="43"/>
      <c r="K108" s="44"/>
    </row>
    <row r="109" ht="14.25" hidden="1" customHeight="1" outlineLevel="1">
      <c r="A109" s="38">
        <v>96</v>
      </c>
      <c r="B109" s="39"/>
      <c r="C109" s="39"/>
      <c r="D109" s="39"/>
      <c r="E109" s="45"/>
      <c r="F109" s="41"/>
      <c r="G109" s="51"/>
      <c r="H109" s="51"/>
      <c r="I109" s="52"/>
      <c r="J109" s="43"/>
      <c r="K109" s="44"/>
    </row>
    <row r="110" ht="14.25" hidden="1" customHeight="1" outlineLevel="1">
      <c r="A110" s="38">
        <v>97</v>
      </c>
      <c r="B110" s="39"/>
      <c r="C110" s="39"/>
      <c r="D110" s="39"/>
      <c r="E110" s="45"/>
      <c r="F110" s="41"/>
      <c r="G110" s="41"/>
      <c r="H110" s="39"/>
      <c r="I110" s="39"/>
      <c r="J110" s="43"/>
      <c r="K110" s="44"/>
    </row>
    <row r="111" ht="14.25" hidden="1" customHeight="1" outlineLevel="1">
      <c r="A111" s="38">
        <v>98</v>
      </c>
      <c r="B111" s="39"/>
      <c r="C111" s="39"/>
      <c r="D111" s="39"/>
      <c r="E111" s="45"/>
      <c r="F111" s="41"/>
      <c r="G111" s="41"/>
      <c r="H111" s="39"/>
      <c r="I111" s="39"/>
      <c r="J111" s="43"/>
      <c r="K111" s="44"/>
    </row>
    <row r="112" ht="14.25" hidden="1" customHeight="1" outlineLevel="1">
      <c r="A112" s="38">
        <v>99</v>
      </c>
      <c r="B112" s="53"/>
      <c r="C112" s="53"/>
      <c r="D112" s="53"/>
      <c r="E112" s="54"/>
      <c r="F112" s="55"/>
      <c r="G112" s="53"/>
      <c r="H112" s="53"/>
      <c r="I112" s="42"/>
      <c r="J112" s="43"/>
      <c r="K112" s="44"/>
    </row>
    <row r="113" ht="14.25" hidden="1" customHeight="1" outlineLevel="1">
      <c r="A113" s="38">
        <v>100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hidden="1" customHeight="1" outlineLevel="1">
      <c r="A114" s="38">
        <v>101</v>
      </c>
      <c r="B114" s="56"/>
      <c r="C114" s="56"/>
      <c r="D114" s="56"/>
      <c r="E114" s="54"/>
      <c r="F114" s="55"/>
      <c r="G114" s="53"/>
      <c r="H114" s="53"/>
      <c r="I114" s="42"/>
      <c r="J114" s="57"/>
      <c r="K114" s="58"/>
    </row>
    <row r="115" ht="14.25" hidden="1" customHeight="1" outlineLevel="1">
      <c r="A115" s="38">
        <v>102</v>
      </c>
      <c r="B115" s="56"/>
      <c r="C115" s="56"/>
      <c r="D115" s="56"/>
      <c r="E115" s="54"/>
      <c r="F115" s="55"/>
      <c r="G115" s="53"/>
      <c r="H115" s="53"/>
      <c r="I115" s="42"/>
      <c r="J115" s="57"/>
      <c r="K115" s="58"/>
    </row>
    <row r="116" ht="14.25" hidden="1" customHeight="1" outlineLevel="1">
      <c r="A116" s="38">
        <v>103</v>
      </c>
      <c r="B116" s="56"/>
      <c r="C116" s="56"/>
      <c r="D116" s="56"/>
      <c r="E116" s="54"/>
      <c r="F116" s="55"/>
      <c r="G116" s="53"/>
      <c r="H116" s="53"/>
      <c r="I116" s="42"/>
      <c r="J116" s="57"/>
      <c r="K116" s="58"/>
    </row>
    <row r="117" ht="14.25" hidden="1" customHeight="1" outlineLevel="1">
      <c r="A117" s="38">
        <v>104</v>
      </c>
      <c r="B117" s="59"/>
      <c r="C117" s="59"/>
      <c r="D117" s="59"/>
      <c r="E117" s="60"/>
      <c r="F117" s="61"/>
      <c r="G117" s="59"/>
      <c r="H117" s="59"/>
      <c r="I117" s="59"/>
      <c r="J117" s="57"/>
      <c r="K117" s="58"/>
    </row>
    <row r="118" ht="14.25" hidden="1" customHeight="1" outlineLevel="1">
      <c r="A118" s="38">
        <v>105</v>
      </c>
      <c r="B118" s="59"/>
      <c r="C118" s="59"/>
      <c r="D118" s="59"/>
      <c r="E118" s="60"/>
      <c r="F118" s="61"/>
      <c r="G118" s="59"/>
      <c r="H118" s="59"/>
      <c r="I118" s="59"/>
      <c r="J118" s="57"/>
      <c r="K118" s="58"/>
    </row>
    <row r="119" ht="14.25" hidden="1" customHeight="1" outlineLevel="1">
      <c r="A119" s="38">
        <v>106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hidden="1" customHeight="1" outlineLevel="1">
      <c r="A120" s="38">
        <v>107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ht="14.25" hidden="1" customHeight="1" outlineLevel="1">
      <c r="A121" s="38">
        <v>108</v>
      </c>
      <c r="B121" s="59"/>
      <c r="C121" s="59"/>
      <c r="D121" s="59"/>
      <c r="E121" s="60"/>
      <c r="F121" s="61"/>
      <c r="G121" s="61"/>
      <c r="H121" s="59"/>
      <c r="I121" s="59"/>
      <c r="J121" s="57"/>
      <c r="K121" s="58"/>
    </row>
    <row r="122" ht="14.25" hidden="1" customHeight="1" outlineLevel="1">
      <c r="A122" s="38">
        <v>109</v>
      </c>
      <c r="B122" s="59"/>
      <c r="C122" s="59"/>
      <c r="D122" s="59"/>
      <c r="E122" s="60"/>
      <c r="F122" s="61"/>
      <c r="G122" s="61"/>
      <c r="H122" s="59"/>
      <c r="I122" s="59"/>
      <c r="J122" s="57"/>
      <c r="K122" s="58"/>
    </row>
    <row r="123" ht="14.25" hidden="1" customHeight="1" outlineLevel="1">
      <c r="A123" s="38">
        <v>110</v>
      </c>
      <c r="B123" s="59"/>
      <c r="C123" s="59"/>
      <c r="D123" s="59"/>
      <c r="E123" s="60"/>
      <c r="F123" s="61"/>
      <c r="G123" s="61"/>
      <c r="H123" s="59"/>
      <c r="I123" s="59"/>
      <c r="J123" s="57"/>
      <c r="K123" s="58"/>
    </row>
    <row r="124" s="21" customFormat="1" ht="18.75" customHeight="1" outlineLevel="1">
      <c r="A124" s="22"/>
      <c r="B124" s="23" t="s">
        <v>18</v>
      </c>
      <c r="C124" s="24"/>
      <c r="D124" s="25"/>
      <c r="E124" s="26"/>
      <c r="F124" s="23"/>
      <c r="G124" s="172"/>
      <c r="H124" s="23"/>
      <c r="I124" s="23"/>
      <c r="J124" s="23"/>
      <c r="K124" s="27"/>
    </row>
    <row r="125" ht="14.25" customHeight="1" outlineLevel="1">
      <c r="A125" s="62">
        <v>1</v>
      </c>
      <c r="B125" s="696" t="s">
        <v>209</v>
      </c>
      <c r="C125" s="696" t="s">
        <v>213</v>
      </c>
      <c r="D125" s="696" t="s">
        <v>467</v>
      </c>
      <c r="E125" s="697" t="s">
        <v>468</v>
      </c>
      <c r="F125" s="696" t="s">
        <v>469</v>
      </c>
      <c r="G125" s="698"/>
      <c r="H125" s="349"/>
      <c r="I125" s="107"/>
      <c r="J125" s="354"/>
      <c r="K125" s="355"/>
    </row>
    <row r="126" ht="14.25" customHeight="1" outlineLevel="1">
      <c r="A126" s="256">
        <v>2</v>
      </c>
      <c r="B126" s="249" t="s">
        <v>199</v>
      </c>
      <c r="C126" s="249" t="s">
        <v>200</v>
      </c>
      <c r="D126" s="249" t="s">
        <v>201</v>
      </c>
      <c r="E126" s="250" t="s">
        <v>202</v>
      </c>
      <c r="F126" s="330" t="s">
        <v>203</v>
      </c>
      <c r="G126" s="182" t="s">
        <v>62</v>
      </c>
      <c r="H126" s="245"/>
      <c r="I126" s="59"/>
      <c r="J126" s="57"/>
      <c r="K126" s="58"/>
    </row>
    <row r="127" ht="14.25" customHeight="1" outlineLevel="1">
      <c r="A127" s="68">
        <v>3</v>
      </c>
      <c r="B127" s="253" t="s">
        <v>204</v>
      </c>
      <c r="C127" s="253" t="s">
        <v>205</v>
      </c>
      <c r="D127" s="253" t="s">
        <v>206</v>
      </c>
      <c r="E127" s="552" t="s">
        <v>207</v>
      </c>
      <c r="F127" s="255" t="s">
        <v>208</v>
      </c>
      <c r="G127" s="182" t="s">
        <v>62</v>
      </c>
      <c r="H127" s="245"/>
      <c r="I127" s="59"/>
      <c r="J127" s="57"/>
      <c r="K127" s="58"/>
    </row>
    <row r="128" ht="14.25" customHeight="1" outlineLevel="1">
      <c r="A128" s="68">
        <v>4</v>
      </c>
      <c r="B128" s="553" t="s">
        <v>406</v>
      </c>
      <c r="C128" s="553" t="s">
        <v>407</v>
      </c>
      <c r="D128" s="553" t="s">
        <v>408</v>
      </c>
      <c r="E128" s="254" t="s">
        <v>409</v>
      </c>
      <c r="F128" s="558" t="s">
        <v>410</v>
      </c>
      <c r="G128" s="476"/>
      <c r="H128" s="245"/>
      <c r="I128" s="59"/>
      <c r="J128" s="57"/>
      <c r="K128" s="58"/>
    </row>
    <row r="129" ht="14.25" customHeight="1" outlineLevel="1">
      <c r="A129" s="256">
        <v>5</v>
      </c>
      <c r="B129" s="555" t="s">
        <v>406</v>
      </c>
      <c r="C129" s="555" t="s">
        <v>411</v>
      </c>
      <c r="D129" s="556" t="s">
        <v>412</v>
      </c>
      <c r="E129" s="663" t="s">
        <v>413</v>
      </c>
      <c r="F129" s="558" t="s">
        <v>410</v>
      </c>
      <c r="G129" s="476"/>
      <c r="H129" s="245"/>
      <c r="I129" s="59"/>
      <c r="J129" s="57"/>
      <c r="K129" s="58"/>
    </row>
    <row r="130" ht="14.25" customHeight="1" outlineLevel="1">
      <c r="A130" s="68">
        <v>6</v>
      </c>
      <c r="B130" s="59"/>
      <c r="C130" s="59"/>
      <c r="D130" s="59"/>
      <c r="E130" s="60"/>
      <c r="F130" s="101"/>
      <c r="G130" s="99"/>
      <c r="H130" s="59"/>
      <c r="I130" s="59"/>
      <c r="J130" s="57"/>
      <c r="K130" s="58"/>
    </row>
    <row r="131" ht="14.25" customHeight="1" outlineLevel="1">
      <c r="A131" s="68">
        <v>7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8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9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10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11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12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13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14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15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16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8">
        <v>17</v>
      </c>
      <c r="B141" s="59"/>
      <c r="C141" s="59"/>
      <c r="D141" s="59"/>
      <c r="E141" s="60"/>
      <c r="F141" s="61"/>
      <c r="G141" s="59"/>
      <c r="H141" s="59"/>
      <c r="I141" s="59"/>
      <c r="J141" s="57"/>
      <c r="K141" s="58"/>
    </row>
    <row r="142" ht="14.25" customHeight="1" outlineLevel="1">
      <c r="A142" s="68">
        <v>18</v>
      </c>
      <c r="B142" s="59"/>
      <c r="C142" s="59"/>
      <c r="D142" s="59"/>
      <c r="E142" s="60"/>
      <c r="F142" s="61"/>
      <c r="G142" s="59"/>
      <c r="H142" s="59"/>
      <c r="I142" s="59"/>
      <c r="J142" s="57"/>
      <c r="K142" s="58"/>
    </row>
    <row r="143" ht="14.25" customHeight="1" outlineLevel="1">
      <c r="A143" s="68">
        <v>19</v>
      </c>
      <c r="B143" s="59"/>
      <c r="C143" s="59"/>
      <c r="D143" s="59"/>
      <c r="E143" s="60"/>
      <c r="F143" s="61"/>
      <c r="G143" s="59"/>
      <c r="H143" s="59"/>
      <c r="I143" s="59"/>
      <c r="J143" s="57"/>
      <c r="K143" s="58"/>
    </row>
    <row r="144" ht="14.25" customHeight="1" outlineLevel="1">
      <c r="A144" s="69">
        <v>20</v>
      </c>
      <c r="B144" s="70"/>
      <c r="C144" s="70"/>
      <c r="D144" s="70"/>
      <c r="E144" s="71"/>
      <c r="F144" s="72"/>
      <c r="G144" s="70"/>
      <c r="H144" s="70"/>
      <c r="I144" s="70"/>
      <c r="J144" s="73"/>
      <c r="K144" s="74"/>
    </row>
    <row r="145" s="21" customFormat="1" ht="18.75" customHeight="1" outlineLevel="1">
      <c r="A145" s="22"/>
      <c r="B145" s="172" t="s">
        <v>19</v>
      </c>
      <c r="C145" s="173"/>
      <c r="D145" s="174"/>
      <c r="E145" s="26"/>
      <c r="F145" s="172"/>
      <c r="G145" s="23"/>
      <c r="H145" s="23"/>
      <c r="I145" s="23"/>
      <c r="J145" s="23"/>
      <c r="K145" s="27"/>
    </row>
    <row r="146" ht="14.25" customHeight="1" outlineLevel="1">
      <c r="A146" s="62">
        <v>1</v>
      </c>
      <c r="B146" s="734" t="s">
        <v>222</v>
      </c>
      <c r="C146" s="290" t="s">
        <v>223</v>
      </c>
      <c r="D146" s="290" t="s">
        <v>227</v>
      </c>
      <c r="E146" s="679" t="s">
        <v>494</v>
      </c>
      <c r="F146" s="290" t="s">
        <v>460</v>
      </c>
      <c r="G146" s="63"/>
      <c r="H146" s="63"/>
      <c r="I146" s="63"/>
      <c r="J146" s="66"/>
      <c r="K146" s="67"/>
    </row>
    <row r="147" ht="14.25" customHeight="1" outlineLevel="1">
      <c r="A147" s="68">
        <v>2</v>
      </c>
      <c r="B147" s="572" t="s">
        <v>153</v>
      </c>
      <c r="C147" s="276" t="s">
        <v>223</v>
      </c>
      <c r="D147" s="735" t="s">
        <v>227</v>
      </c>
      <c r="E147" s="443" t="s">
        <v>242</v>
      </c>
      <c r="F147" s="572" t="s">
        <v>228</v>
      </c>
      <c r="G147" s="575"/>
      <c r="H147" s="575"/>
      <c r="I147" s="575" t="s">
        <v>231</v>
      </c>
      <c r="J147" s="576"/>
      <c r="K147" s="577" t="s">
        <v>230</v>
      </c>
    </row>
    <row r="148" ht="14.25" customHeight="1" outlineLevel="1">
      <c r="A148" s="68">
        <v>3</v>
      </c>
      <c r="B148" s="76" t="s">
        <v>153</v>
      </c>
      <c r="C148" s="300" t="s">
        <v>243</v>
      </c>
      <c r="D148" s="61" t="s">
        <v>244</v>
      </c>
      <c r="E148" s="443" t="s">
        <v>245</v>
      </c>
      <c r="F148" s="61" t="s">
        <v>246</v>
      </c>
      <c r="G148" s="99"/>
      <c r="H148" s="99" t="s">
        <v>141</v>
      </c>
      <c r="I148" s="99"/>
      <c r="J148" s="302"/>
      <c r="K148" s="303"/>
    </row>
    <row r="149" ht="14.25" customHeight="1" outlineLevel="1">
      <c r="A149" s="68">
        <v>4</v>
      </c>
      <c r="B149" s="281" t="s">
        <v>153</v>
      </c>
      <c r="C149" s="736" t="s">
        <v>233</v>
      </c>
      <c r="D149" s="59" t="s">
        <v>510</v>
      </c>
      <c r="E149" s="443" t="s">
        <v>511</v>
      </c>
      <c r="F149" s="61" t="s">
        <v>512</v>
      </c>
      <c r="G149" s="59"/>
      <c r="H149" s="59"/>
      <c r="I149" s="59"/>
      <c r="J149" s="57"/>
      <c r="K149" s="58"/>
    </row>
    <row r="150" ht="14.25" customHeight="1" outlineLevel="1">
      <c r="A150" s="68">
        <v>5</v>
      </c>
      <c r="B150" s="56"/>
      <c r="C150" s="56"/>
      <c r="D150" s="56"/>
      <c r="E150" s="78"/>
      <c r="F150" s="79"/>
      <c r="G150" s="56"/>
      <c r="H150" s="56"/>
      <c r="I150" s="56"/>
      <c r="J150" s="80"/>
      <c r="K150" s="81"/>
    </row>
    <row r="151" ht="14.25" customHeight="1" outlineLevel="1">
      <c r="A151" s="68">
        <v>6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7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8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s="21" customFormat="1" ht="18.75" customHeight="1" outlineLevel="1">
      <c r="A154" s="22"/>
      <c r="B154" s="23" t="s">
        <v>20</v>
      </c>
      <c r="C154" s="173"/>
      <c r="D154" s="174"/>
      <c r="E154" s="175"/>
      <c r="F154" s="172"/>
      <c r="G154" s="172"/>
      <c r="H154" s="23"/>
      <c r="I154" s="23"/>
      <c r="J154" s="23"/>
      <c r="K154" s="27"/>
    </row>
    <row r="155" ht="14.25" customHeight="1" outlineLevel="1">
      <c r="A155" s="68">
        <v>1</v>
      </c>
      <c r="B155" s="737" t="s">
        <v>45</v>
      </c>
      <c r="C155" s="310" t="s">
        <v>256</v>
      </c>
      <c r="D155" s="310"/>
      <c r="E155" s="706" t="s">
        <v>424</v>
      </c>
      <c r="F155" s="312" t="s">
        <v>257</v>
      </c>
      <c r="G155" s="310"/>
      <c r="H155" s="102"/>
      <c r="I155" s="102"/>
      <c r="J155" s="274"/>
      <c r="K155" s="275"/>
    </row>
    <row r="156" ht="14.25" customHeight="1" outlineLevel="1">
      <c r="A156" s="256">
        <v>2</v>
      </c>
      <c r="B156" s="707" t="s">
        <v>45</v>
      </c>
      <c r="C156" s="707" t="s">
        <v>256</v>
      </c>
      <c r="D156" s="707"/>
      <c r="E156" s="250" t="s">
        <v>424</v>
      </c>
      <c r="F156" s="708" t="s">
        <v>257</v>
      </c>
      <c r="G156" s="707"/>
      <c r="H156" s="191"/>
      <c r="I156" s="191"/>
      <c r="J156" s="277"/>
      <c r="K156" s="277"/>
    </row>
    <row r="157" ht="14.25" customHeight="1" outlineLevel="1">
      <c r="A157" s="68">
        <v>3</v>
      </c>
      <c r="B157" s="579"/>
      <c r="C157" s="579"/>
      <c r="D157" s="579"/>
      <c r="E157" s="358"/>
      <c r="F157" s="710"/>
      <c r="G157" s="579"/>
      <c r="H157" s="579"/>
      <c r="I157" s="579"/>
      <c r="J157" s="580"/>
      <c r="K157" s="581"/>
    </row>
    <row r="158" ht="14.25" customHeight="1" outlineLevel="1">
      <c r="A158" s="68">
        <v>4</v>
      </c>
      <c r="B158" s="56"/>
      <c r="C158" s="56"/>
      <c r="D158" s="56"/>
      <c r="E158" s="78"/>
      <c r="F158" s="79"/>
      <c r="G158" s="56"/>
      <c r="H158" s="56"/>
      <c r="I158" s="56"/>
      <c r="J158" s="80"/>
      <c r="K158" s="81"/>
    </row>
    <row r="159" ht="14.25" customHeight="1" outlineLevel="1">
      <c r="A159" s="68">
        <v>5</v>
      </c>
      <c r="B159" s="56"/>
      <c r="C159" s="56"/>
      <c r="D159" s="56"/>
      <c r="E159" s="78"/>
      <c r="F159" s="79"/>
      <c r="G159" s="56"/>
      <c r="H159" s="56"/>
      <c r="I159" s="56"/>
      <c r="J159" s="80"/>
      <c r="K159" s="81"/>
    </row>
    <row r="160" ht="14.25" customHeight="1" outlineLevel="1">
      <c r="A160" s="68">
        <v>6</v>
      </c>
      <c r="B160" s="70"/>
      <c r="C160" s="70"/>
      <c r="D160" s="70"/>
      <c r="E160" s="71"/>
      <c r="F160" s="72"/>
      <c r="G160" s="70"/>
      <c r="H160" s="70"/>
      <c r="I160" s="70"/>
      <c r="J160" s="73"/>
      <c r="K160" s="74"/>
    </row>
    <row r="161" s="21" customFormat="1" ht="23.25" customHeight="1">
      <c r="A161" s="82" t="s">
        <v>21</v>
      </c>
      <c r="B161" s="83"/>
      <c r="C161" s="83"/>
      <c r="D161" s="84"/>
      <c r="E161" s="85">
        <f>SUM(E10:E160)</f>
        <v>0</v>
      </c>
    </row>
    <row r="162" s="21" customFormat="1" ht="23.25" customHeight="1">
      <c r="A162" s="82" t="s">
        <v>22</v>
      </c>
      <c r="B162" s="83"/>
      <c r="C162" s="83"/>
      <c r="D162" s="84"/>
      <c r="E162" s="85">
        <f>E4-E161</f>
        <v>462371.07000000001</v>
      </c>
      <c r="F162" s="86"/>
    </row>
    <row r="163" ht="27.75" customHeight="1">
      <c r="E163" s="1"/>
    </row>
    <row r="164" ht="29.25" customHeight="1">
      <c r="A164" s="9" t="s">
        <v>23</v>
      </c>
      <c r="B164" s="10"/>
      <c r="C164" s="10"/>
      <c r="D164" s="11"/>
      <c r="E164" s="12">
        <f>SUM(E165:E166)</f>
        <v>661496.80000000005</v>
      </c>
      <c r="F164" s="163" t="s">
        <v>44</v>
      </c>
      <c r="G164" s="13"/>
      <c r="H164" s="13"/>
      <c r="I164" s="13"/>
    </row>
    <row r="165" ht="15" customHeight="1">
      <c r="A165" s="14"/>
      <c r="B165" s="15"/>
      <c r="C165" s="15"/>
      <c r="D165" s="16"/>
      <c r="E165" s="17"/>
      <c r="F165" s="13"/>
      <c r="G165" s="13"/>
      <c r="H165" s="13"/>
      <c r="I165" s="13"/>
    </row>
    <row r="166" ht="15" customHeight="1">
      <c r="A166" s="14" t="s">
        <v>24</v>
      </c>
      <c r="B166" s="15"/>
      <c r="C166" s="15"/>
      <c r="D166" s="16"/>
      <c r="E166" s="17">
        <v>661496.80000000005</v>
      </c>
      <c r="F166" s="13"/>
      <c r="G166" s="13"/>
      <c r="H166" s="13"/>
      <c r="I166" s="13"/>
    </row>
    <row r="167" ht="6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26.25" customHeight="1" outlineLevel="1">
      <c r="A168" s="87" t="s">
        <v>6</v>
      </c>
      <c r="B168" s="87" t="s">
        <v>7</v>
      </c>
      <c r="C168" s="87" t="s">
        <v>8</v>
      </c>
      <c r="D168" s="87" t="s">
        <v>9</v>
      </c>
      <c r="E168" s="88" t="s">
        <v>10</v>
      </c>
      <c r="F168" s="87" t="s">
        <v>11</v>
      </c>
      <c r="G168" s="87" t="s">
        <v>12</v>
      </c>
      <c r="H168" s="89" t="s">
        <v>13</v>
      </c>
      <c r="I168" s="87" t="s">
        <v>14</v>
      </c>
      <c r="J168" s="87" t="s">
        <v>15</v>
      </c>
      <c r="K168" s="87" t="s">
        <v>16</v>
      </c>
    </row>
    <row r="169" s="21" customFormat="1" ht="20.25" customHeight="1" outlineLevel="1">
      <c r="A169" s="22"/>
      <c r="B169" s="172" t="s">
        <v>25</v>
      </c>
      <c r="C169" s="24"/>
      <c r="D169" s="25"/>
      <c r="E169" s="26"/>
      <c r="F169" s="23"/>
      <c r="G169" s="23"/>
      <c r="H169" s="23"/>
      <c r="I169" s="23"/>
      <c r="J169" s="23"/>
      <c r="K169" s="27"/>
    </row>
    <row r="170" ht="14.25" customHeight="1" outlineLevel="1">
      <c r="A170" s="62">
        <v>1</v>
      </c>
      <c r="B170" s="39" t="s">
        <v>259</v>
      </c>
      <c r="C170" s="39" t="s">
        <v>260</v>
      </c>
      <c r="D170" s="39" t="s">
        <v>261</v>
      </c>
      <c r="E170" s="211" t="s">
        <v>262</v>
      </c>
      <c r="F170" s="41" t="s">
        <v>263</v>
      </c>
      <c r="G170" s="39"/>
      <c r="H170" s="42"/>
      <c r="I170" s="59"/>
      <c r="J170" s="66"/>
      <c r="K170" s="67"/>
    </row>
    <row r="171" ht="14.25" customHeight="1" outlineLevel="1">
      <c r="A171" s="68">
        <v>2</v>
      </c>
      <c r="B171" s="39" t="s">
        <v>259</v>
      </c>
      <c r="C171" s="39" t="s">
        <v>260</v>
      </c>
      <c r="D171" s="39" t="s">
        <v>264</v>
      </c>
      <c r="E171" s="211" t="s">
        <v>475</v>
      </c>
      <c r="F171" s="323" t="s">
        <v>266</v>
      </c>
      <c r="G171" s="39"/>
      <c r="H171" s="42"/>
      <c r="I171" s="59"/>
      <c r="J171" s="57"/>
      <c r="K171" s="58"/>
    </row>
    <row r="172" ht="14.25" customHeight="1" outlineLevel="1">
      <c r="A172" s="68">
        <v>3</v>
      </c>
      <c r="B172" s="185" t="s">
        <v>259</v>
      </c>
      <c r="C172" s="185" t="s">
        <v>260</v>
      </c>
      <c r="D172" s="323" t="s">
        <v>484</v>
      </c>
      <c r="E172" s="738" t="s">
        <v>514</v>
      </c>
      <c r="F172" s="228" t="s">
        <v>486</v>
      </c>
      <c r="G172" s="177"/>
      <c r="H172" s="42"/>
      <c r="I172" s="59"/>
      <c r="J172" s="57"/>
      <c r="K172" s="58"/>
    </row>
    <row r="173" ht="14.25" customHeight="1" outlineLevel="1">
      <c r="A173" s="256">
        <v>4</v>
      </c>
      <c r="B173" s="210" t="s">
        <v>259</v>
      </c>
      <c r="C173" s="249" t="s">
        <v>267</v>
      </c>
      <c r="D173" s="228" t="s">
        <v>515</v>
      </c>
      <c r="E173" s="213" t="s">
        <v>516</v>
      </c>
      <c r="F173" s="228" t="s">
        <v>517</v>
      </c>
      <c r="G173" s="177"/>
      <c r="H173" s="42"/>
      <c r="I173" s="59"/>
      <c r="J173" s="57"/>
      <c r="K173" s="58"/>
    </row>
    <row r="174" ht="14.25" customHeight="1" outlineLevel="1">
      <c r="A174" s="68">
        <v>5</v>
      </c>
      <c r="B174" s="739" t="s">
        <v>259</v>
      </c>
      <c r="C174" s="551" t="s">
        <v>267</v>
      </c>
      <c r="D174" s="551" t="s">
        <v>268</v>
      </c>
      <c r="E174" s="595" t="s">
        <v>550</v>
      </c>
      <c r="F174" s="594" t="s">
        <v>270</v>
      </c>
      <c r="G174" s="39"/>
      <c r="H174" s="42"/>
      <c r="I174" s="59"/>
      <c r="J174" s="57"/>
      <c r="K174" s="58"/>
    </row>
    <row r="175" ht="14.25" customHeight="1" outlineLevel="1">
      <c r="A175" s="68">
        <v>6</v>
      </c>
      <c r="B175" s="39" t="s">
        <v>259</v>
      </c>
      <c r="C175" s="39" t="s">
        <v>109</v>
      </c>
      <c r="D175" s="39" t="s">
        <v>271</v>
      </c>
      <c r="E175" s="314" t="s">
        <v>272</v>
      </c>
      <c r="F175" s="315" t="s">
        <v>273</v>
      </c>
      <c r="G175" s="177"/>
      <c r="H175" s="42"/>
      <c r="I175" s="59"/>
      <c r="J175" s="57"/>
      <c r="K175" s="58"/>
    </row>
    <row r="176" ht="14.25" customHeight="1" outlineLevel="1">
      <c r="A176" s="68">
        <v>7</v>
      </c>
      <c r="B176" s="185" t="s">
        <v>274</v>
      </c>
      <c r="C176" s="39" t="s">
        <v>275</v>
      </c>
      <c r="D176" s="185" t="s">
        <v>276</v>
      </c>
      <c r="E176" s="314" t="s">
        <v>277</v>
      </c>
      <c r="F176" s="316" t="s">
        <v>278</v>
      </c>
      <c r="G176" s="177"/>
      <c r="H176" s="42"/>
      <c r="I176" s="59"/>
      <c r="J176" s="57"/>
      <c r="K176" s="58"/>
    </row>
    <row r="177" ht="14.25" customHeight="1" outlineLevel="1">
      <c r="A177" s="256">
        <v>8</v>
      </c>
      <c r="B177" s="321" t="s">
        <v>279</v>
      </c>
      <c r="C177" s="318" t="s">
        <v>136</v>
      </c>
      <c r="D177" s="322" t="s">
        <v>280</v>
      </c>
      <c r="E177" s="320" t="s">
        <v>281</v>
      </c>
      <c r="F177" s="322" t="s">
        <v>282</v>
      </c>
      <c r="G177" s="177"/>
      <c r="H177" s="42"/>
      <c r="I177" s="59"/>
      <c r="J177" s="57"/>
      <c r="K177" s="58"/>
    </row>
    <row r="178" ht="14.25" customHeight="1" outlineLevel="1">
      <c r="A178" s="256">
        <v>10</v>
      </c>
      <c r="B178" s="317" t="s">
        <v>283</v>
      </c>
      <c r="C178" s="319" t="s">
        <v>284</v>
      </c>
      <c r="D178" s="319" t="s">
        <v>285</v>
      </c>
      <c r="E178" s="719" t="s">
        <v>286</v>
      </c>
      <c r="F178" s="319" t="s">
        <v>287</v>
      </c>
      <c r="G178" s="177"/>
      <c r="H178" s="42"/>
      <c r="I178" s="59"/>
      <c r="J178" s="57"/>
      <c r="K178" s="58"/>
    </row>
    <row r="179" ht="14.25" customHeight="1" outlineLevel="1">
      <c r="A179" s="256">
        <v>11</v>
      </c>
      <c r="B179" s="210" t="s">
        <v>259</v>
      </c>
      <c r="C179" s="228" t="s">
        <v>275</v>
      </c>
      <c r="D179" s="228" t="s">
        <v>520</v>
      </c>
      <c r="E179" s="720" t="s">
        <v>277</v>
      </c>
      <c r="F179" s="228" t="s">
        <v>521</v>
      </c>
      <c r="G179" s="177"/>
      <c r="H179" s="42"/>
      <c r="I179" s="59"/>
      <c r="J179" s="57"/>
      <c r="K179" s="58"/>
    </row>
    <row r="180" ht="14.25" customHeight="1" outlineLevel="1">
      <c r="A180" s="256">
        <v>12</v>
      </c>
      <c r="B180" s="210" t="s">
        <v>259</v>
      </c>
      <c r="C180" s="249" t="s">
        <v>275</v>
      </c>
      <c r="D180" s="210" t="s">
        <v>291</v>
      </c>
      <c r="E180" s="326" t="s">
        <v>277</v>
      </c>
      <c r="F180" s="228" t="s">
        <v>292</v>
      </c>
      <c r="G180" s="177"/>
      <c r="H180" s="42"/>
      <c r="I180" s="59"/>
      <c r="J180" s="57"/>
      <c r="K180" s="58"/>
    </row>
    <row r="181" ht="14.25" customHeight="1" outlineLevel="1">
      <c r="A181" s="256">
        <v>13</v>
      </c>
      <c r="B181" s="210" t="s">
        <v>259</v>
      </c>
      <c r="C181" s="249" t="s">
        <v>275</v>
      </c>
      <c r="D181" s="228" t="s">
        <v>293</v>
      </c>
      <c r="E181" s="326" t="s">
        <v>277</v>
      </c>
      <c r="F181" s="228" t="s">
        <v>294</v>
      </c>
      <c r="G181" s="177"/>
      <c r="H181" s="42"/>
      <c r="I181" s="59"/>
      <c r="J181" s="57"/>
      <c r="K181" s="58"/>
    </row>
    <row r="182" ht="14.25" customHeight="1" outlineLevel="1">
      <c r="A182" s="256">
        <v>14</v>
      </c>
      <c r="B182" s="210" t="s">
        <v>259</v>
      </c>
      <c r="C182" s="249" t="s">
        <v>275</v>
      </c>
      <c r="D182" s="228" t="s">
        <v>295</v>
      </c>
      <c r="E182" s="326" t="s">
        <v>277</v>
      </c>
      <c r="F182" s="228" t="s">
        <v>296</v>
      </c>
      <c r="G182" s="177"/>
      <c r="H182" s="42"/>
      <c r="I182" s="59"/>
      <c r="J182" s="57"/>
      <c r="K182" s="58"/>
    </row>
    <row r="183" ht="14.25" customHeight="1" outlineLevel="1">
      <c r="A183" s="256">
        <v>15</v>
      </c>
      <c r="B183" s="210" t="s">
        <v>259</v>
      </c>
      <c r="C183" s="249" t="s">
        <v>275</v>
      </c>
      <c r="D183" s="228" t="s">
        <v>297</v>
      </c>
      <c r="E183" s="326" t="s">
        <v>277</v>
      </c>
      <c r="F183" s="228" t="s">
        <v>298</v>
      </c>
      <c r="G183" s="177"/>
      <c r="H183" s="42"/>
      <c r="I183" s="59"/>
      <c r="J183" s="57"/>
      <c r="K183" s="58"/>
    </row>
    <row r="184" ht="14.25" customHeight="1" outlineLevel="1">
      <c r="A184" s="256">
        <v>16</v>
      </c>
      <c r="B184" s="210" t="s">
        <v>259</v>
      </c>
      <c r="C184" s="249" t="s">
        <v>275</v>
      </c>
      <c r="D184" s="228" t="s">
        <v>289</v>
      </c>
      <c r="E184" s="213" t="s">
        <v>277</v>
      </c>
      <c r="F184" s="228" t="s">
        <v>290</v>
      </c>
      <c r="G184" s="177"/>
      <c r="H184" s="42"/>
      <c r="I184" s="59"/>
      <c r="J184" s="57"/>
      <c r="K184" s="58"/>
    </row>
    <row r="185" ht="14.25" customHeight="1" outlineLevel="1">
      <c r="A185" s="256">
        <v>17</v>
      </c>
      <c r="B185" s="327" t="s">
        <v>259</v>
      </c>
      <c r="C185" s="329" t="s">
        <v>275</v>
      </c>
      <c r="D185" s="330" t="s">
        <v>299</v>
      </c>
      <c r="E185" s="331" t="s">
        <v>277</v>
      </c>
      <c r="F185" s="330" t="s">
        <v>300</v>
      </c>
      <c r="G185" s="177"/>
      <c r="H185" s="42"/>
      <c r="I185" s="59"/>
      <c r="J185" s="57"/>
      <c r="K185" s="58"/>
    </row>
    <row r="186" ht="14.25" customHeight="1" outlineLevel="1">
      <c r="A186" s="68">
        <v>18</v>
      </c>
      <c r="B186" s="39" t="s">
        <v>259</v>
      </c>
      <c r="C186" s="42" t="s">
        <v>275</v>
      </c>
      <c r="D186" s="94" t="s">
        <v>301</v>
      </c>
      <c r="E186" s="332" t="s">
        <v>277</v>
      </c>
      <c r="F186" s="333" t="s">
        <v>302</v>
      </c>
      <c r="G186" s="177"/>
      <c r="H186" s="42"/>
      <c r="I186" s="59"/>
      <c r="J186" s="57"/>
      <c r="K186" s="58"/>
    </row>
    <row r="187" ht="14.25" customHeight="1" outlineLevel="1">
      <c r="A187" s="68">
        <v>19</v>
      </c>
      <c r="B187" s="39" t="s">
        <v>259</v>
      </c>
      <c r="C187" s="39" t="s">
        <v>303</v>
      </c>
      <c r="D187" s="39" t="s">
        <v>304</v>
      </c>
      <c r="E187" s="314" t="s">
        <v>551</v>
      </c>
      <c r="F187" s="315" t="s">
        <v>306</v>
      </c>
      <c r="G187" s="177"/>
      <c r="H187" s="42"/>
      <c r="I187" s="59"/>
      <c r="J187" s="57"/>
      <c r="K187" s="58"/>
    </row>
    <row r="188" ht="14.25" customHeight="1" outlineLevel="1">
      <c r="A188" s="68">
        <v>20</v>
      </c>
      <c r="B188" s="39" t="s">
        <v>279</v>
      </c>
      <c r="C188" s="334" t="s">
        <v>136</v>
      </c>
      <c r="D188" s="335" t="s">
        <v>311</v>
      </c>
      <c r="E188" s="324" t="s">
        <v>312</v>
      </c>
      <c r="F188" s="336" t="s">
        <v>313</v>
      </c>
      <c r="G188" s="177"/>
      <c r="H188" s="42"/>
      <c r="I188" s="59"/>
      <c r="J188" s="57"/>
      <c r="K188" s="58"/>
    </row>
    <row r="189" ht="14.25" customHeight="1" outlineLevel="1">
      <c r="A189" s="68">
        <v>21</v>
      </c>
      <c r="B189" s="39" t="s">
        <v>259</v>
      </c>
      <c r="C189" s="740" t="s">
        <v>267</v>
      </c>
      <c r="D189" s="741" t="s">
        <v>317</v>
      </c>
      <c r="E189" s="742" t="s">
        <v>552</v>
      </c>
      <c r="F189" s="743" t="s">
        <v>319</v>
      </c>
      <c r="G189" s="177"/>
      <c r="H189" s="42"/>
      <c r="I189" s="59"/>
      <c r="J189" s="57"/>
      <c r="K189" s="58"/>
    </row>
    <row r="190" ht="14.25" customHeight="1" outlineLevel="1">
      <c r="A190" s="68">
        <v>23</v>
      </c>
      <c r="B190" s="39" t="s">
        <v>259</v>
      </c>
      <c r="C190" s="39" t="s">
        <v>329</v>
      </c>
      <c r="D190" s="41" t="s">
        <v>330</v>
      </c>
      <c r="E190" s="211" t="s">
        <v>331</v>
      </c>
      <c r="F190" s="323" t="s">
        <v>332</v>
      </c>
      <c r="G190" s="39"/>
      <c r="H190" s="42"/>
      <c r="I190" s="59"/>
      <c r="J190" s="57"/>
      <c r="K190" s="58"/>
    </row>
    <row r="191" ht="14.25" customHeight="1" outlineLevel="1">
      <c r="A191" s="68">
        <v>24</v>
      </c>
      <c r="B191" s="39" t="s">
        <v>259</v>
      </c>
      <c r="C191" s="39" t="s">
        <v>329</v>
      </c>
      <c r="D191" s="41" t="s">
        <v>333</v>
      </c>
      <c r="E191" s="314" t="s">
        <v>334</v>
      </c>
      <c r="F191" s="228" t="s">
        <v>335</v>
      </c>
      <c r="G191" s="216"/>
      <c r="H191" s="42"/>
      <c r="I191" s="59"/>
      <c r="J191" s="57"/>
      <c r="K191" s="58"/>
    </row>
    <row r="192" ht="14.25" customHeight="1" outlineLevel="1">
      <c r="A192" s="68">
        <v>25</v>
      </c>
      <c r="B192" s="39" t="s">
        <v>283</v>
      </c>
      <c r="C192" s="39" t="s">
        <v>336</v>
      </c>
      <c r="D192" s="41" t="s">
        <v>308</v>
      </c>
      <c r="E192" s="314" t="s">
        <v>337</v>
      </c>
      <c r="F192" s="727" t="s">
        <v>338</v>
      </c>
      <c r="G192" s="216"/>
      <c r="H192" s="42"/>
      <c r="I192" s="59"/>
      <c r="J192" s="57"/>
      <c r="K192" s="58"/>
    </row>
    <row r="193" ht="14.25" customHeight="1" outlineLevel="1">
      <c r="A193" s="68">
        <v>26</v>
      </c>
      <c r="B193" s="42" t="s">
        <v>283</v>
      </c>
      <c r="C193" s="42" t="s">
        <v>336</v>
      </c>
      <c r="D193" s="94" t="s">
        <v>339</v>
      </c>
      <c r="E193" s="332" t="s">
        <v>337</v>
      </c>
      <c r="F193" s="316" t="s">
        <v>341</v>
      </c>
      <c r="G193" s="216"/>
      <c r="H193" s="42"/>
      <c r="I193" s="59"/>
      <c r="J193" s="57"/>
      <c r="K193" s="58"/>
    </row>
    <row r="194" ht="14.25" customHeight="1" outlineLevel="1">
      <c r="A194" s="68">
        <v>27</v>
      </c>
      <c r="B194" s="39" t="s">
        <v>259</v>
      </c>
      <c r="C194" s="551" t="s">
        <v>329</v>
      </c>
      <c r="D194" s="594" t="s">
        <v>478</v>
      </c>
      <c r="E194" s="314" t="s">
        <v>479</v>
      </c>
      <c r="F194" s="228" t="s">
        <v>480</v>
      </c>
      <c r="G194" s="216"/>
      <c r="H194" s="95"/>
      <c r="I194" s="98"/>
      <c r="J194" s="57"/>
      <c r="K194" s="58"/>
    </row>
    <row r="195" ht="14.25" customHeight="1" outlineLevel="1">
      <c r="A195" s="68">
        <v>28</v>
      </c>
      <c r="B195" s="39" t="s">
        <v>259</v>
      </c>
      <c r="C195" s="551" t="s">
        <v>329</v>
      </c>
      <c r="D195" s="594" t="s">
        <v>481</v>
      </c>
      <c r="E195" s="314" t="s">
        <v>482</v>
      </c>
      <c r="F195" s="727" t="s">
        <v>483</v>
      </c>
      <c r="G195" s="216"/>
      <c r="H195" s="95"/>
      <c r="I195" s="98"/>
      <c r="J195" s="57"/>
      <c r="K195" s="58"/>
    </row>
    <row r="196" ht="14.25" customHeight="1" outlineLevel="1">
      <c r="A196" s="77">
        <v>30</v>
      </c>
      <c r="B196" s="56" t="s">
        <v>259</v>
      </c>
      <c r="C196" s="79" t="s">
        <v>325</v>
      </c>
      <c r="D196" s="79" t="s">
        <v>326</v>
      </c>
      <c r="E196" s="717" t="s">
        <v>519</v>
      </c>
      <c r="F196" s="718" t="s">
        <v>328</v>
      </c>
      <c r="G196" s="244"/>
      <c r="H196" s="99"/>
      <c r="I196" s="98"/>
      <c r="J196" s="57"/>
      <c r="K196" s="58"/>
    </row>
    <row r="197" ht="14.25" customHeight="1" outlineLevel="1">
      <c r="A197" s="191">
        <v>33</v>
      </c>
      <c r="B197" s="327" t="s">
        <v>259</v>
      </c>
      <c r="C197" s="330" t="s">
        <v>267</v>
      </c>
      <c r="D197" s="727" t="s">
        <v>523</v>
      </c>
      <c r="E197" s="510" t="s">
        <v>524</v>
      </c>
      <c r="F197" s="727" t="s">
        <v>525</v>
      </c>
      <c r="G197" s="191"/>
      <c r="H197" s="344"/>
      <c r="I197" s="98"/>
      <c r="J197" s="57"/>
      <c r="K197" s="58"/>
    </row>
    <row r="198" ht="14.25" customHeight="1" outlineLevel="1">
      <c r="A198" s="191">
        <v>34</v>
      </c>
      <c r="B198" s="327" t="s">
        <v>259</v>
      </c>
      <c r="C198" s="744" t="s">
        <v>553</v>
      </c>
      <c r="D198" s="744" t="s">
        <v>554</v>
      </c>
      <c r="E198" s="745">
        <v>39033.900000000001</v>
      </c>
      <c r="F198" s="744" t="s">
        <v>555</v>
      </c>
      <c r="G198" s="191"/>
      <c r="H198" s="344"/>
      <c r="I198" s="98"/>
      <c r="J198" s="57" t="s">
        <v>47</v>
      </c>
      <c r="K198" s="58"/>
    </row>
    <row r="199" ht="14.25" customHeight="1" outlineLevel="1">
      <c r="A199" s="191">
        <v>35</v>
      </c>
      <c r="B199" s="723" t="s">
        <v>345</v>
      </c>
      <c r="C199" s="265" t="s">
        <v>556</v>
      </c>
      <c r="D199" s="671" t="s">
        <v>557</v>
      </c>
      <c r="E199" s="746">
        <v>23575</v>
      </c>
      <c r="F199" s="671" t="s">
        <v>558</v>
      </c>
      <c r="G199" s="191"/>
      <c r="H199" s="344"/>
      <c r="I199" s="98"/>
      <c r="J199" s="57" t="s">
        <v>47</v>
      </c>
      <c r="K199" s="58"/>
    </row>
    <row r="200" ht="14.25" customHeight="1" outlineLevel="1">
      <c r="A200" s="191">
        <v>36</v>
      </c>
      <c r="B200" s="723"/>
      <c r="C200" s="265"/>
      <c r="D200" s="671"/>
      <c r="E200" s="747"/>
      <c r="F200" s="671"/>
      <c r="G200" s="191"/>
      <c r="H200" s="344"/>
      <c r="I200" s="98"/>
      <c r="J200" s="57"/>
      <c r="K200" s="58"/>
    </row>
    <row r="201" ht="14.25" customHeight="1" outlineLevel="1">
      <c r="A201" s="610">
        <v>37</v>
      </c>
      <c r="B201" s="39" t="s">
        <v>259</v>
      </c>
      <c r="C201" s="55" t="s">
        <v>267</v>
      </c>
      <c r="D201" s="55" t="s">
        <v>317</v>
      </c>
      <c r="E201" s="748">
        <v>100000</v>
      </c>
      <c r="F201" s="726" t="s">
        <v>319</v>
      </c>
      <c r="G201" s="191"/>
      <c r="H201" s="344"/>
      <c r="I201" s="98"/>
      <c r="J201" s="57" t="s">
        <v>47</v>
      </c>
      <c r="K201" s="58"/>
    </row>
    <row r="202" ht="14.25" customHeight="1" outlineLevel="1">
      <c r="A202" s="749">
        <v>38</v>
      </c>
      <c r="B202" s="39" t="s">
        <v>259</v>
      </c>
      <c r="C202" s="39" t="s">
        <v>303</v>
      </c>
      <c r="D202" s="39" t="s">
        <v>304</v>
      </c>
      <c r="E202" s="470">
        <v>50000</v>
      </c>
      <c r="F202" s="315" t="s">
        <v>306</v>
      </c>
      <c r="G202" s="191"/>
      <c r="H202" s="344"/>
      <c r="I202" s="98"/>
      <c r="J202" s="57" t="s">
        <v>47</v>
      </c>
      <c r="K202" s="58"/>
    </row>
    <row r="203" s="21" customFormat="1" ht="20.25" customHeight="1" outlineLevel="1">
      <c r="A203" s="246"/>
      <c r="B203" s="465" t="s">
        <v>26</v>
      </c>
      <c r="C203" s="466"/>
      <c r="D203" s="467"/>
      <c r="E203" s="468"/>
      <c r="F203" s="465"/>
      <c r="G203" s="465"/>
      <c r="H203" s="23"/>
      <c r="I203" s="23"/>
      <c r="J203" s="23"/>
      <c r="K203" s="27"/>
    </row>
    <row r="204" ht="14.25" customHeight="1" outlineLevel="1">
      <c r="A204" s="62">
        <v>1</v>
      </c>
      <c r="B204" s="63"/>
      <c r="C204" s="63"/>
      <c r="D204" s="63"/>
      <c r="E204" s="64"/>
      <c r="F204" s="65"/>
      <c r="G204" s="63"/>
      <c r="H204" s="63"/>
      <c r="I204" s="102"/>
      <c r="J204" s="66"/>
      <c r="K204" s="67"/>
    </row>
    <row r="205" ht="14.25" customHeight="1" outlineLevel="1">
      <c r="A205" s="68">
        <v>2</v>
      </c>
      <c r="B205" s="99"/>
      <c r="C205" s="99"/>
      <c r="D205" s="99"/>
      <c r="E205" s="60"/>
      <c r="F205" s="61"/>
      <c r="G205" s="59"/>
      <c r="H205" s="59"/>
      <c r="I205" s="59"/>
      <c r="J205" s="57"/>
      <c r="K205" s="58"/>
    </row>
    <row r="206" ht="14.25" customHeight="1" outlineLevel="1">
      <c r="A206" s="68">
        <v>3</v>
      </c>
      <c r="B206" s="56"/>
      <c r="C206" s="750"/>
      <c r="D206" s="56"/>
      <c r="E206" s="78"/>
      <c r="F206" s="79"/>
      <c r="G206" s="59"/>
      <c r="H206" s="59"/>
      <c r="I206" s="59"/>
      <c r="J206" s="57"/>
      <c r="K206" s="58"/>
    </row>
    <row r="207" ht="14.25" customHeight="1" outlineLevel="1">
      <c r="A207" s="68">
        <v>4</v>
      </c>
      <c r="B207" s="59"/>
      <c r="C207" s="59"/>
      <c r="D207" s="59"/>
      <c r="E207" s="60"/>
      <c r="F207" s="61"/>
      <c r="G207" s="59"/>
      <c r="H207" s="59"/>
      <c r="I207" s="59"/>
      <c r="J207" s="57"/>
      <c r="K207" s="58"/>
    </row>
    <row r="208" ht="14.25" customHeight="1" outlineLevel="1">
      <c r="A208" s="69">
        <v>5</v>
      </c>
      <c r="B208" s="70"/>
      <c r="C208" s="70"/>
      <c r="D208" s="70"/>
      <c r="E208" s="71"/>
      <c r="F208" s="72"/>
      <c r="G208" s="70"/>
      <c r="H208" s="70"/>
      <c r="I208" s="70"/>
      <c r="J208" s="73"/>
      <c r="K208" s="74"/>
    </row>
    <row r="209" s="21" customFormat="1" ht="20.25" customHeight="1" outlineLevel="1">
      <c r="A209" s="22"/>
      <c r="B209" s="172" t="s">
        <v>19</v>
      </c>
      <c r="C209" s="173"/>
      <c r="D209" s="174"/>
      <c r="E209" s="26"/>
      <c r="F209" s="172"/>
      <c r="G209" s="23"/>
      <c r="H209" s="23"/>
      <c r="I209" s="23"/>
      <c r="J209" s="23"/>
      <c r="K209" s="27"/>
    </row>
    <row r="210" ht="14.25" customHeight="1" outlineLevel="1">
      <c r="A210" s="248">
        <v>1</v>
      </c>
      <c r="B210" s="191" t="s">
        <v>222</v>
      </c>
      <c r="C210" s="191" t="s">
        <v>440</v>
      </c>
      <c r="D210" s="190" t="s">
        <v>415</v>
      </c>
      <c r="E210" s="751">
        <v>30458.380000000001</v>
      </c>
      <c r="F210" s="61" t="s">
        <v>398</v>
      </c>
      <c r="G210" s="63"/>
      <c r="H210" s="63"/>
      <c r="I210" s="59"/>
      <c r="J210" s="66" t="s">
        <v>47</v>
      </c>
      <c r="K210" s="67"/>
    </row>
    <row r="211" ht="14.25" customHeight="1" outlineLevel="1">
      <c r="A211" s="256">
        <v>2</v>
      </c>
      <c r="B211" s="191" t="s">
        <v>222</v>
      </c>
      <c r="C211" s="191" t="s">
        <v>396</v>
      </c>
      <c r="D211" s="191" t="s">
        <v>397</v>
      </c>
      <c r="E211" s="297">
        <v>13302.870000000001</v>
      </c>
      <c r="F211" s="61" t="s">
        <v>398</v>
      </c>
      <c r="G211" s="59"/>
      <c r="H211" s="59"/>
      <c r="I211" s="59"/>
      <c r="J211" s="57" t="s">
        <v>47</v>
      </c>
      <c r="K211" s="58"/>
    </row>
    <row r="212" ht="14.25" customHeight="1" outlineLevel="1">
      <c r="A212" s="68">
        <v>3</v>
      </c>
      <c r="B212" s="99"/>
      <c r="C212" s="99"/>
      <c r="D212" s="9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4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9">
        <v>5</v>
      </c>
      <c r="B214" s="70"/>
      <c r="C214" s="70"/>
      <c r="D214" s="70"/>
      <c r="E214" s="71"/>
      <c r="F214" s="72"/>
      <c r="G214" s="70"/>
      <c r="H214" s="70"/>
      <c r="I214" s="70"/>
      <c r="J214" s="73"/>
      <c r="K214" s="74"/>
    </row>
    <row r="215" s="21" customFormat="1" ht="23.25" customHeight="1">
      <c r="A215" s="82" t="s">
        <v>27</v>
      </c>
      <c r="B215" s="83"/>
      <c r="C215" s="83"/>
      <c r="D215" s="103"/>
      <c r="E215" s="104">
        <f>SUM(E169:E214)</f>
        <v>256370.14999999999</v>
      </c>
    </row>
    <row r="216" s="21" customFormat="1" ht="23.25" customHeight="1">
      <c r="A216" s="82" t="s">
        <v>22</v>
      </c>
      <c r="B216" s="83"/>
      <c r="C216" s="83"/>
      <c r="D216" s="103"/>
      <c r="E216" s="104">
        <f>E164-E215</f>
        <v>405126.65000000002</v>
      </c>
      <c r="F216" s="86"/>
    </row>
    <row r="217" ht="28.5" customHeight="1">
      <c r="E217" s="1"/>
    </row>
    <row r="218" ht="30.75" customHeight="1">
      <c r="A218" s="9" t="s">
        <v>28</v>
      </c>
      <c r="B218" s="10"/>
      <c r="C218" s="10"/>
      <c r="D218" s="11"/>
      <c r="E218" s="12">
        <f>SUM(E219:E219)</f>
        <v>5242</v>
      </c>
      <c r="F218" s="163" t="s">
        <v>44</v>
      </c>
      <c r="G218" s="13"/>
      <c r="H218" s="13"/>
      <c r="I218" s="13"/>
    </row>
    <row r="219" ht="15" customHeight="1">
      <c r="A219" s="105" t="s">
        <v>29</v>
      </c>
      <c r="B219" s="15"/>
      <c r="C219" s="15"/>
      <c r="D219" s="16"/>
      <c r="E219" s="17">
        <v>5242</v>
      </c>
      <c r="F219" s="13"/>
      <c r="G219" s="13"/>
      <c r="H219" s="13"/>
      <c r="I219" s="13"/>
    </row>
    <row r="220" ht="5.25" customHeight="1">
      <c r="A220" s="13"/>
      <c r="B220" s="13"/>
      <c r="C220" s="13"/>
      <c r="D220" s="13"/>
      <c r="E220" s="13"/>
      <c r="F220" s="13"/>
      <c r="G220" s="13"/>
      <c r="H220" s="13"/>
      <c r="I220" s="13"/>
    </row>
    <row r="221" ht="25.5" customHeight="1" outlineLevel="1">
      <c r="A221" s="87" t="s">
        <v>6</v>
      </c>
      <c r="B221" s="87" t="s">
        <v>7</v>
      </c>
      <c r="C221" s="87" t="s">
        <v>8</v>
      </c>
      <c r="D221" s="87" t="s">
        <v>9</v>
      </c>
      <c r="E221" s="88" t="s">
        <v>10</v>
      </c>
      <c r="F221" s="87" t="s">
        <v>11</v>
      </c>
      <c r="G221" s="87" t="s">
        <v>12</v>
      </c>
      <c r="H221" s="89" t="s">
        <v>13</v>
      </c>
      <c r="I221" s="87" t="s">
        <v>14</v>
      </c>
      <c r="J221" s="87" t="s">
        <v>15</v>
      </c>
      <c r="K221" s="87" t="s">
        <v>16</v>
      </c>
    </row>
    <row r="222" s="21" customFormat="1" ht="18.75" customHeight="1" outlineLevel="1">
      <c r="A222" s="22"/>
      <c r="B222" s="23" t="s">
        <v>30</v>
      </c>
      <c r="C222" s="24"/>
      <c r="D222" s="25"/>
      <c r="E222" s="26"/>
      <c r="F222" s="23"/>
      <c r="G222" s="23"/>
      <c r="H222" s="23"/>
      <c r="I222" s="23"/>
      <c r="J222" s="23"/>
      <c r="K222" s="27"/>
    </row>
    <row r="223" ht="14.25" customHeight="1" outlineLevel="1">
      <c r="A223" s="62">
        <v>1</v>
      </c>
      <c r="B223" s="63"/>
      <c r="C223" s="63"/>
      <c r="D223" s="63"/>
      <c r="E223" s="64"/>
      <c r="F223" s="65"/>
      <c r="G223" s="63"/>
      <c r="H223" s="63"/>
      <c r="I223" s="63"/>
      <c r="J223" s="66"/>
      <c r="K223" s="67"/>
    </row>
    <row r="224" ht="14.25" customHeight="1" outlineLevel="1">
      <c r="A224" s="68">
        <v>2</v>
      </c>
      <c r="B224" s="59"/>
      <c r="C224" s="59"/>
      <c r="D224" s="59"/>
      <c r="E224" s="60"/>
      <c r="F224" s="61"/>
      <c r="G224" s="59"/>
      <c r="H224" s="59"/>
      <c r="I224" s="59"/>
      <c r="J224" s="57"/>
      <c r="K224" s="58"/>
    </row>
    <row r="225" ht="14.25" customHeight="1" outlineLevel="1">
      <c r="A225" s="68">
        <v>3</v>
      </c>
      <c r="B225" s="59"/>
      <c r="C225" s="59"/>
      <c r="D225" s="59"/>
      <c r="E225" s="60"/>
      <c r="F225" s="61"/>
      <c r="G225" s="59"/>
      <c r="H225" s="59"/>
      <c r="I225" s="59"/>
      <c r="J225" s="57"/>
      <c r="K225" s="58"/>
    </row>
    <row r="226" ht="14.25" customHeight="1" outlineLevel="1">
      <c r="A226" s="68">
        <v>4</v>
      </c>
      <c r="B226" s="59"/>
      <c r="C226" s="59"/>
      <c r="D226" s="59"/>
      <c r="E226" s="60"/>
      <c r="F226" s="61"/>
      <c r="G226" s="59"/>
      <c r="H226" s="59"/>
      <c r="I226" s="59"/>
      <c r="J226" s="57"/>
      <c r="K226" s="58"/>
    </row>
    <row r="227" ht="14.25" customHeight="1" outlineLevel="1">
      <c r="A227" s="68">
        <v>5</v>
      </c>
      <c r="B227" s="59"/>
      <c r="C227" s="59"/>
      <c r="D227" s="59"/>
      <c r="E227" s="60"/>
      <c r="F227" s="61"/>
      <c r="G227" s="59"/>
      <c r="H227" s="59"/>
      <c r="I227" s="59"/>
      <c r="J227" s="57"/>
      <c r="K227" s="58"/>
    </row>
    <row r="228" ht="14.25" customHeight="1" outlineLevel="1">
      <c r="A228" s="68">
        <v>6</v>
      </c>
      <c r="B228" s="59"/>
      <c r="C228" s="59"/>
      <c r="D228" s="59"/>
      <c r="E228" s="60"/>
      <c r="F228" s="61"/>
      <c r="G228" s="59"/>
      <c r="H228" s="59"/>
      <c r="I228" s="59"/>
      <c r="J228" s="57"/>
      <c r="K228" s="58"/>
    </row>
    <row r="229" ht="14.25" customHeight="1" outlineLevel="1">
      <c r="A229" s="68">
        <v>7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5.75" customHeight="1" outlineLevel="1">
      <c r="A230" s="68">
        <v>8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5.75" customHeight="1" outlineLevel="1">
      <c r="A231" s="68">
        <v>9</v>
      </c>
      <c r="B231" s="59"/>
      <c r="C231" s="59"/>
      <c r="D231" s="59"/>
      <c r="E231" s="60"/>
      <c r="F231" s="61"/>
      <c r="G231" s="59"/>
      <c r="H231" s="59"/>
      <c r="I231" s="59"/>
      <c r="J231" s="57"/>
      <c r="K231" s="58"/>
    </row>
    <row r="232" ht="15.75" customHeight="1" outlineLevel="1">
      <c r="A232" s="68">
        <v>10</v>
      </c>
      <c r="B232" s="59"/>
      <c r="C232" s="59"/>
      <c r="D232" s="59"/>
      <c r="E232" s="60"/>
      <c r="F232" s="61"/>
      <c r="G232" s="59"/>
      <c r="H232" s="59"/>
      <c r="I232" s="59"/>
      <c r="J232" s="57"/>
      <c r="K232" s="58"/>
    </row>
    <row r="233" ht="15.75" customHeight="1" outlineLevel="1">
      <c r="A233" s="68">
        <v>11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5.75" customHeight="1" outlineLevel="1">
      <c r="A234" s="68">
        <v>12</v>
      </c>
      <c r="B234" s="59"/>
      <c r="C234" s="59"/>
      <c r="D234" s="59"/>
      <c r="E234" s="60"/>
      <c r="F234" s="61"/>
      <c r="G234" s="59"/>
      <c r="H234" s="59"/>
      <c r="I234" s="59"/>
      <c r="J234" s="57"/>
      <c r="K234" s="58"/>
    </row>
    <row r="235" ht="15.75" customHeight="1" outlineLevel="1">
      <c r="A235" s="68">
        <v>13</v>
      </c>
      <c r="B235" s="59"/>
      <c r="C235" s="59"/>
      <c r="D235" s="59"/>
      <c r="E235" s="60"/>
      <c r="F235" s="61"/>
      <c r="G235" s="59"/>
      <c r="H235" s="59"/>
      <c r="I235" s="59"/>
      <c r="J235" s="57"/>
      <c r="K235" s="58"/>
    </row>
    <row r="236" ht="15.75" customHeight="1" outlineLevel="1">
      <c r="A236" s="68">
        <v>14</v>
      </c>
      <c r="B236" s="59"/>
      <c r="C236" s="59"/>
      <c r="D236" s="59"/>
      <c r="E236" s="60"/>
      <c r="F236" s="61"/>
      <c r="G236" s="59"/>
      <c r="H236" s="59"/>
      <c r="I236" s="59"/>
      <c r="J236" s="57"/>
      <c r="K236" s="58"/>
    </row>
    <row r="237" ht="15.75" customHeight="1" outlineLevel="1">
      <c r="A237" s="69">
        <v>15</v>
      </c>
      <c r="B237" s="70"/>
      <c r="C237" s="70"/>
      <c r="D237" s="70"/>
      <c r="E237" s="71"/>
      <c r="F237" s="72"/>
      <c r="G237" s="70"/>
      <c r="H237" s="70"/>
      <c r="I237" s="70"/>
      <c r="J237" s="73"/>
      <c r="K237" s="74"/>
    </row>
    <row r="238" s="21" customFormat="1" ht="21.75" customHeight="1">
      <c r="A238" s="82" t="s">
        <v>31</v>
      </c>
      <c r="B238" s="83"/>
      <c r="C238" s="83"/>
      <c r="D238" s="103"/>
      <c r="E238" s="104">
        <f>SUM(E222:E237)</f>
        <v>0</v>
      </c>
    </row>
    <row r="239" s="21" customFormat="1" ht="21.75" customHeight="1">
      <c r="A239" s="82" t="s">
        <v>22</v>
      </c>
      <c r="B239" s="83"/>
      <c r="C239" s="83"/>
      <c r="D239" s="103"/>
      <c r="E239" s="104">
        <f>E218-E238</f>
        <v>5242</v>
      </c>
      <c r="F239" s="86"/>
    </row>
    <row r="240" ht="15.75">
      <c r="E240" s="1"/>
    </row>
    <row r="241" ht="25.5" customHeight="1">
      <c r="A241" s="9" t="s">
        <v>32</v>
      </c>
      <c r="B241" s="10"/>
      <c r="C241" s="10"/>
      <c r="D241" s="11"/>
      <c r="E241" s="12">
        <f>SUM(E242:E243)</f>
        <v>10945.25</v>
      </c>
      <c r="F241" s="163" t="s">
        <v>44</v>
      </c>
      <c r="G241" s="13"/>
      <c r="H241" s="13"/>
      <c r="I241" s="13"/>
    </row>
    <row r="242" ht="15.75">
      <c r="A242" s="14" t="s">
        <v>33</v>
      </c>
      <c r="B242" s="15"/>
      <c r="C242" s="15"/>
      <c r="D242" s="16"/>
      <c r="E242" s="17">
        <v>3132.9499999999998</v>
      </c>
      <c r="F242" s="13"/>
      <c r="G242" s="13"/>
      <c r="H242" s="13"/>
      <c r="I242" s="13"/>
    </row>
    <row r="243" ht="15.75">
      <c r="A243" s="14" t="s">
        <v>34</v>
      </c>
      <c r="B243" s="15"/>
      <c r="C243" s="15"/>
      <c r="D243" s="16"/>
      <c r="E243" s="17">
        <v>7812.3000000000002</v>
      </c>
      <c r="F243" s="13"/>
      <c r="G243" s="13"/>
      <c r="H243" s="13"/>
      <c r="I243" s="13"/>
    </row>
    <row r="244" ht="15.75">
      <c r="A244" s="13"/>
      <c r="B244" s="13"/>
      <c r="C244" s="13"/>
      <c r="D244" s="13"/>
      <c r="E244" s="13"/>
      <c r="F244" s="13"/>
      <c r="G244" s="13"/>
      <c r="H244" s="13"/>
      <c r="I244" s="13"/>
    </row>
    <row r="245" ht="22.5">
      <c r="A245" s="87" t="s">
        <v>6</v>
      </c>
      <c r="B245" s="87" t="s">
        <v>7</v>
      </c>
      <c r="C245" s="87" t="s">
        <v>8</v>
      </c>
      <c r="D245" s="87" t="s">
        <v>9</v>
      </c>
      <c r="E245" s="88" t="s">
        <v>10</v>
      </c>
      <c r="F245" s="87" t="s">
        <v>11</v>
      </c>
      <c r="G245" s="87" t="s">
        <v>12</v>
      </c>
      <c r="H245" s="89" t="s">
        <v>13</v>
      </c>
      <c r="I245" s="87" t="s">
        <v>14</v>
      </c>
      <c r="J245" s="87" t="s">
        <v>15</v>
      </c>
      <c r="K245" s="87" t="s">
        <v>16</v>
      </c>
    </row>
    <row r="246" ht="15.75">
      <c r="A246" s="22"/>
      <c r="B246" s="23" t="s">
        <v>25</v>
      </c>
      <c r="C246" s="24"/>
      <c r="D246" s="25"/>
      <c r="E246" s="26"/>
      <c r="F246" s="23"/>
      <c r="G246" s="23"/>
      <c r="H246" s="23"/>
      <c r="I246" s="23"/>
      <c r="J246" s="23"/>
      <c r="K246" s="27"/>
    </row>
    <row r="247">
      <c r="A247" s="68">
        <v>1</v>
      </c>
      <c r="B247" s="106"/>
      <c r="C247" s="106"/>
      <c r="D247" s="107"/>
      <c r="E247" s="92"/>
      <c r="F247" s="107"/>
      <c r="G247" s="42"/>
      <c r="H247" s="42"/>
      <c r="I247" s="42" t="s">
        <v>35</v>
      </c>
      <c r="J247" s="57"/>
      <c r="K247" s="58"/>
    </row>
    <row r="248">
      <c r="A248" s="68">
        <v>2</v>
      </c>
      <c r="B248" s="106"/>
      <c r="C248" s="106"/>
      <c r="D248" s="107"/>
      <c r="E248" s="93"/>
      <c r="F248" s="107"/>
      <c r="G248" s="59"/>
      <c r="H248" s="59"/>
      <c r="I248" s="42"/>
      <c r="J248" s="57"/>
      <c r="K248" s="58"/>
    </row>
    <row r="249">
      <c r="A249" s="68">
        <v>3</v>
      </c>
      <c r="B249" s="108"/>
      <c r="C249" s="109"/>
      <c r="D249" s="110"/>
      <c r="E249" s="111"/>
      <c r="F249" s="110"/>
      <c r="G249" s="112"/>
      <c r="H249" s="113"/>
      <c r="I249" s="35"/>
      <c r="J249" s="114"/>
      <c r="K249" s="115"/>
    </row>
    <row r="250">
      <c r="A250" s="68">
        <v>4</v>
      </c>
      <c r="B250" s="108"/>
      <c r="C250" s="109"/>
      <c r="D250" s="110"/>
      <c r="E250" s="111"/>
      <c r="F250" s="110"/>
      <c r="G250" s="112"/>
      <c r="H250" s="113"/>
      <c r="I250" s="35"/>
      <c r="J250" s="114"/>
      <c r="K250" s="116"/>
    </row>
    <row r="251">
      <c r="A251" s="68">
        <v>5</v>
      </c>
      <c r="B251" s="42"/>
      <c r="C251" s="42"/>
      <c r="D251" s="42"/>
      <c r="E251" s="93"/>
      <c r="F251" s="94"/>
      <c r="G251" s="42"/>
      <c r="H251" s="42"/>
      <c r="I251" s="42"/>
      <c r="J251" s="43"/>
      <c r="K251" s="44"/>
    </row>
    <row r="252">
      <c r="A252" s="68">
        <v>6</v>
      </c>
      <c r="B252" s="43"/>
      <c r="C252" s="43"/>
      <c r="D252" s="43"/>
      <c r="E252" s="43"/>
      <c r="F252" s="43"/>
      <c r="G252" s="43"/>
      <c r="H252" s="42"/>
      <c r="I252" s="42"/>
      <c r="J252" s="43"/>
      <c r="K252" s="44"/>
    </row>
    <row r="253">
      <c r="A253" s="68">
        <v>7</v>
      </c>
      <c r="B253" s="43"/>
      <c r="C253" s="43"/>
      <c r="D253" s="43"/>
      <c r="E253" s="43"/>
      <c r="F253" s="43"/>
      <c r="G253" s="43"/>
      <c r="H253" s="42"/>
      <c r="I253" s="42"/>
      <c r="J253" s="43"/>
      <c r="K253" s="44"/>
    </row>
    <row r="254">
      <c r="A254" s="68">
        <v>8</v>
      </c>
      <c r="B254" s="42"/>
      <c r="C254" s="94"/>
      <c r="D254" s="94"/>
      <c r="E254" s="93"/>
      <c r="F254" s="94"/>
      <c r="G254" s="42"/>
      <c r="H254" s="42"/>
      <c r="I254" s="42"/>
      <c r="J254" s="43"/>
      <c r="K254" s="44"/>
    </row>
    <row r="255">
      <c r="A255" s="68">
        <v>9</v>
      </c>
      <c r="B255" s="42"/>
      <c r="C255" s="94"/>
      <c r="D255" s="94"/>
      <c r="E255" s="93"/>
      <c r="F255" s="94"/>
      <c r="G255" s="42"/>
      <c r="H255" s="42"/>
      <c r="I255" s="42"/>
      <c r="J255" s="43"/>
      <c r="K255" s="44"/>
    </row>
    <row r="256">
      <c r="A256" s="68">
        <v>10</v>
      </c>
      <c r="B256" s="42"/>
      <c r="C256" s="94"/>
      <c r="D256" s="94"/>
      <c r="E256" s="93"/>
      <c r="F256" s="94"/>
      <c r="G256" s="42"/>
      <c r="H256" s="42"/>
      <c r="I256" s="42"/>
      <c r="J256" s="43"/>
      <c r="K256" s="44"/>
    </row>
    <row r="257">
      <c r="A257" s="68">
        <v>11</v>
      </c>
      <c r="B257" s="42"/>
      <c r="C257" s="94"/>
      <c r="D257" s="94"/>
      <c r="E257" s="93"/>
      <c r="F257" s="94"/>
      <c r="G257" s="42"/>
      <c r="H257" s="42"/>
      <c r="I257" s="42"/>
      <c r="J257" s="43"/>
      <c r="K257" s="44"/>
    </row>
    <row r="258">
      <c r="A258" s="68">
        <v>12</v>
      </c>
      <c r="B258" s="59"/>
      <c r="C258" s="61"/>
      <c r="D258" s="61"/>
      <c r="E258" s="93"/>
      <c r="F258" s="61"/>
      <c r="G258" s="59"/>
      <c r="H258" s="59"/>
      <c r="I258" s="42"/>
      <c r="J258" s="57"/>
      <c r="K258" s="58"/>
    </row>
    <row r="259">
      <c r="A259" s="68">
        <v>13</v>
      </c>
      <c r="B259" s="59"/>
      <c r="C259" s="61"/>
      <c r="D259" s="61"/>
      <c r="E259" s="93"/>
      <c r="F259" s="61"/>
      <c r="G259" s="59"/>
      <c r="H259" s="59"/>
      <c r="I259" s="42"/>
      <c r="J259" s="57"/>
      <c r="K259" s="58"/>
    </row>
    <row r="260">
      <c r="A260" s="68">
        <v>14</v>
      </c>
      <c r="B260" s="59"/>
      <c r="C260" s="61"/>
      <c r="D260" s="61"/>
      <c r="E260" s="93"/>
      <c r="F260" s="61"/>
      <c r="G260" s="59"/>
      <c r="H260" s="59"/>
      <c r="I260" s="42"/>
      <c r="J260" s="57"/>
      <c r="K260" s="58"/>
    </row>
    <row r="261" ht="15.75">
      <c r="A261" s="68">
        <v>15</v>
      </c>
      <c r="B261" s="59"/>
      <c r="C261" s="61"/>
      <c r="D261" s="61"/>
      <c r="E261" s="93"/>
      <c r="F261" s="61"/>
      <c r="G261" s="59"/>
      <c r="H261" s="59"/>
      <c r="I261" s="42"/>
      <c r="J261" s="57"/>
      <c r="K261" s="58"/>
    </row>
    <row r="262" ht="15.75">
      <c r="A262" s="22"/>
      <c r="B262" s="23" t="s">
        <v>26</v>
      </c>
      <c r="C262" s="24"/>
      <c r="D262" s="25"/>
      <c r="E262" s="26"/>
      <c r="F262" s="23"/>
      <c r="G262" s="23"/>
      <c r="H262" s="23"/>
      <c r="I262" s="23"/>
      <c r="J262" s="23"/>
      <c r="K262" s="27"/>
    </row>
    <row r="263">
      <c r="A263" s="62">
        <v>1</v>
      </c>
      <c r="B263" s="63"/>
      <c r="C263" s="63"/>
      <c r="D263" s="63"/>
      <c r="E263" s="64"/>
      <c r="F263" s="65"/>
      <c r="G263" s="63"/>
      <c r="H263" s="63"/>
      <c r="I263" s="63"/>
      <c r="J263" s="66"/>
      <c r="K263" s="67"/>
    </row>
    <row r="264">
      <c r="A264" s="68">
        <v>2</v>
      </c>
      <c r="B264" s="59"/>
      <c r="C264" s="59"/>
      <c r="D264" s="59"/>
      <c r="E264" s="60"/>
      <c r="F264" s="61"/>
      <c r="G264" s="59"/>
      <c r="H264" s="59"/>
      <c r="I264" s="59"/>
      <c r="J264" s="57"/>
      <c r="K264" s="58"/>
    </row>
    <row r="265">
      <c r="A265" s="68">
        <v>3</v>
      </c>
      <c r="B265" s="59"/>
      <c r="C265" s="59"/>
      <c r="D265" s="59"/>
      <c r="E265" s="60"/>
      <c r="F265" s="61"/>
      <c r="G265" s="59"/>
      <c r="H265" s="59"/>
      <c r="I265" s="59"/>
      <c r="J265" s="57"/>
      <c r="K265" s="58"/>
    </row>
    <row r="266">
      <c r="A266" s="68">
        <v>4</v>
      </c>
      <c r="B266" s="59"/>
      <c r="C266" s="59"/>
      <c r="D266" s="59"/>
      <c r="E266" s="60"/>
      <c r="F266" s="61"/>
      <c r="G266" s="59"/>
      <c r="H266" s="59"/>
      <c r="I266" s="59"/>
      <c r="J266" s="57"/>
      <c r="K266" s="58"/>
    </row>
    <row r="267" ht="15.75">
      <c r="A267" s="69">
        <v>5</v>
      </c>
      <c r="B267" s="70"/>
      <c r="C267" s="70"/>
      <c r="D267" s="70"/>
      <c r="E267" s="71"/>
      <c r="F267" s="72"/>
      <c r="G267" s="70"/>
      <c r="H267" s="70"/>
      <c r="I267" s="70"/>
      <c r="J267" s="73"/>
      <c r="K267" s="74"/>
    </row>
    <row r="268" ht="15.75">
      <c r="A268" s="22"/>
      <c r="B268" s="23" t="s">
        <v>19</v>
      </c>
      <c r="C268" s="24"/>
      <c r="D268" s="25"/>
      <c r="E268" s="26"/>
      <c r="F268" s="23"/>
      <c r="G268" s="23"/>
      <c r="H268" s="23"/>
      <c r="I268" s="23"/>
      <c r="J268" s="23"/>
      <c r="K268" s="27"/>
    </row>
    <row r="269">
      <c r="A269" s="62">
        <v>1</v>
      </c>
      <c r="B269" s="39"/>
      <c r="C269" s="56"/>
      <c r="D269" s="59"/>
      <c r="E269" s="60"/>
      <c r="F269" s="101"/>
      <c r="G269" s="63"/>
      <c r="H269" s="63"/>
      <c r="I269" s="63"/>
      <c r="J269" s="66"/>
      <c r="K269" s="67"/>
    </row>
    <row r="270">
      <c r="A270" s="68">
        <v>2</v>
      </c>
      <c r="B270" s="117"/>
      <c r="C270" s="117"/>
      <c r="D270" s="118"/>
      <c r="E270" s="60"/>
      <c r="F270" s="119"/>
      <c r="G270" s="59"/>
      <c r="H270" s="59"/>
      <c r="I270" s="59"/>
      <c r="J270" s="57"/>
      <c r="K270" s="58"/>
    </row>
    <row r="271">
      <c r="A271" s="68">
        <v>3</v>
      </c>
      <c r="B271" s="59"/>
      <c r="C271" s="59"/>
      <c r="D271" s="59"/>
      <c r="E271" s="60"/>
      <c r="F271" s="61"/>
      <c r="G271" s="59"/>
      <c r="H271" s="59"/>
      <c r="I271" s="59"/>
      <c r="J271" s="57"/>
      <c r="K271" s="58"/>
    </row>
    <row r="272">
      <c r="A272" s="68">
        <v>4</v>
      </c>
      <c r="B272" s="59"/>
      <c r="C272" s="59"/>
      <c r="D272" s="59"/>
      <c r="E272" s="60"/>
      <c r="F272" s="61"/>
      <c r="G272" s="59"/>
      <c r="H272" s="59"/>
      <c r="I272" s="59"/>
      <c r="J272" s="57"/>
      <c r="K272" s="58"/>
    </row>
    <row r="273" ht="15.75">
      <c r="A273" s="69">
        <v>5</v>
      </c>
      <c r="B273" s="70"/>
      <c r="C273" s="70"/>
      <c r="D273" s="70"/>
      <c r="E273" s="71"/>
      <c r="F273" s="72"/>
      <c r="G273" s="70"/>
      <c r="H273" s="70"/>
      <c r="I273" s="70"/>
      <c r="J273" s="73"/>
      <c r="K273" s="74"/>
    </row>
    <row r="274" s="21" customFormat="1" ht="26.25" customHeight="1">
      <c r="A274" s="82" t="s">
        <v>36</v>
      </c>
      <c r="B274" s="83"/>
      <c r="C274" s="83"/>
      <c r="D274" s="103"/>
      <c r="E274" s="104">
        <f>SUM(E247:E273)</f>
        <v>0</v>
      </c>
    </row>
    <row r="275" s="21" customFormat="1" ht="27" customHeight="1">
      <c r="A275" s="82" t="s">
        <v>22</v>
      </c>
      <c r="B275" s="83"/>
      <c r="C275" s="83"/>
      <c r="D275" s="103"/>
      <c r="E275" s="104">
        <f>E241-E274</f>
        <v>10945.25</v>
      </c>
      <c r="F275" s="86"/>
    </row>
    <row r="276" ht="14.25">
      <c r="E276" s="1"/>
    </row>
    <row r="277" ht="15.75">
      <c r="E277" s="1"/>
    </row>
    <row r="278" ht="36" customHeight="1">
      <c r="A278" s="120" t="s">
        <v>37</v>
      </c>
      <c r="B278" s="120"/>
      <c r="C278" s="120"/>
      <c r="D278" s="120"/>
      <c r="E278" s="121">
        <f>E279+E280</f>
        <v>2715</v>
      </c>
      <c r="F278" s="163" t="s">
        <v>44</v>
      </c>
      <c r="G278" s="123"/>
      <c r="H278" s="123"/>
      <c r="I278" s="123"/>
      <c r="J278" s="124"/>
      <c r="K278" s="124"/>
    </row>
    <row r="279" ht="15.75" customHeight="1">
      <c r="A279" s="125" t="s">
        <v>38</v>
      </c>
      <c r="B279" s="125"/>
      <c r="C279" s="125"/>
      <c r="D279" s="125"/>
      <c r="E279" s="126">
        <v>0</v>
      </c>
      <c r="F279" s="123"/>
      <c r="G279" s="123"/>
      <c r="H279" s="123"/>
      <c r="I279" s="123"/>
      <c r="J279" s="124"/>
      <c r="K279" s="124"/>
    </row>
    <row r="280" ht="15.75" customHeight="1">
      <c r="A280" s="125" t="s">
        <v>39</v>
      </c>
      <c r="B280" s="125"/>
      <c r="C280" s="125"/>
      <c r="D280" s="125"/>
      <c r="E280" s="126">
        <v>2715</v>
      </c>
      <c r="F280" s="123"/>
      <c r="G280" s="123"/>
      <c r="H280" s="123"/>
      <c r="I280" s="123"/>
      <c r="J280" s="124"/>
      <c r="K280" s="124"/>
    </row>
    <row r="281" ht="15.75">
      <c r="A281" s="123"/>
      <c r="B281" s="123"/>
      <c r="C281" s="123"/>
      <c r="D281" s="123"/>
      <c r="E281" s="123"/>
      <c r="F281" s="123"/>
      <c r="G281" s="123"/>
      <c r="H281" s="123"/>
      <c r="I281" s="123"/>
      <c r="J281" s="124"/>
      <c r="K281" s="124"/>
    </row>
    <row r="282" ht="22.5">
      <c r="A282" s="127" t="s">
        <v>6</v>
      </c>
      <c r="B282" s="127" t="s">
        <v>7</v>
      </c>
      <c r="C282" s="127" t="s">
        <v>8</v>
      </c>
      <c r="D282" s="127" t="s">
        <v>9</v>
      </c>
      <c r="E282" s="127" t="s">
        <v>40</v>
      </c>
      <c r="F282" s="127" t="s">
        <v>11</v>
      </c>
      <c r="G282" s="127" t="s">
        <v>12</v>
      </c>
      <c r="H282" s="128" t="s">
        <v>13</v>
      </c>
      <c r="I282" s="127" t="s">
        <v>14</v>
      </c>
      <c r="J282" s="127" t="s">
        <v>15</v>
      </c>
      <c r="K282" s="127" t="s">
        <v>16</v>
      </c>
    </row>
    <row r="283" ht="15.75">
      <c r="A283" s="129" t="s">
        <v>41</v>
      </c>
      <c r="B283" s="130"/>
      <c r="C283" s="130"/>
      <c r="D283" s="130"/>
      <c r="E283" s="130"/>
      <c r="F283" s="130"/>
      <c r="G283" s="130"/>
      <c r="H283" s="130"/>
      <c r="I283" s="130"/>
      <c r="J283" s="130"/>
      <c r="K283" s="131"/>
    </row>
    <row r="284">
      <c r="A284" s="132">
        <v>1</v>
      </c>
      <c r="B284" s="133"/>
      <c r="C284" s="133"/>
      <c r="D284" s="134"/>
      <c r="E284" s="135"/>
      <c r="F284" s="134"/>
      <c r="G284" s="136"/>
      <c r="H284" s="136"/>
      <c r="I284" s="136"/>
      <c r="J284" s="137"/>
      <c r="K284" s="138"/>
    </row>
    <row r="285">
      <c r="A285" s="139">
        <v>2</v>
      </c>
      <c r="B285" s="140"/>
      <c r="C285" s="140"/>
      <c r="D285" s="141"/>
      <c r="E285" s="142"/>
      <c r="F285" s="141"/>
      <c r="G285" s="143"/>
      <c r="H285" s="143"/>
      <c r="I285" s="142"/>
      <c r="J285" s="144"/>
      <c r="K285" s="145"/>
    </row>
    <row r="286">
      <c r="A286" s="139">
        <v>3</v>
      </c>
      <c r="B286" s="143"/>
      <c r="C286" s="143"/>
      <c r="D286" s="143"/>
      <c r="E286" s="142"/>
      <c r="F286" s="146"/>
      <c r="G286" s="143"/>
      <c r="H286" s="143"/>
      <c r="I286" s="142"/>
      <c r="J286" s="144"/>
      <c r="K286" s="145"/>
    </row>
    <row r="287">
      <c r="A287" s="139">
        <v>4</v>
      </c>
      <c r="B287" s="143"/>
      <c r="C287" s="146"/>
      <c r="D287" s="146"/>
      <c r="E287" s="142"/>
      <c r="F287" s="146"/>
      <c r="G287" s="143"/>
      <c r="H287" s="143"/>
      <c r="I287" s="142"/>
      <c r="J287" s="144"/>
      <c r="K287" s="145"/>
    </row>
    <row r="288">
      <c r="A288" s="139">
        <v>5</v>
      </c>
      <c r="B288" s="143"/>
      <c r="C288" s="143"/>
      <c r="D288" s="143"/>
      <c r="E288" s="143"/>
      <c r="F288" s="146"/>
      <c r="G288" s="143"/>
      <c r="H288" s="143"/>
      <c r="I288" s="142"/>
      <c r="J288" s="144"/>
      <c r="K288" s="145"/>
    </row>
    <row r="289">
      <c r="A289" s="139">
        <v>6</v>
      </c>
      <c r="B289" s="144"/>
      <c r="C289" s="144"/>
      <c r="D289" s="144"/>
      <c r="E289" s="144"/>
      <c r="F289" s="144"/>
      <c r="G289" s="144"/>
      <c r="H289" s="143"/>
      <c r="I289" s="142"/>
      <c r="J289" s="144"/>
      <c r="K289" s="145"/>
    </row>
    <row r="290">
      <c r="A290" s="139">
        <v>7</v>
      </c>
      <c r="B290" s="144"/>
      <c r="C290" s="144"/>
      <c r="D290" s="144"/>
      <c r="E290" s="144"/>
      <c r="F290" s="144"/>
      <c r="G290" s="144"/>
      <c r="H290" s="143"/>
      <c r="I290" s="143"/>
      <c r="J290" s="144"/>
      <c r="K290" s="145"/>
    </row>
    <row r="291">
      <c r="A291" s="139">
        <v>8</v>
      </c>
      <c r="B291" s="143"/>
      <c r="C291" s="146"/>
      <c r="D291" s="146"/>
      <c r="E291" s="142"/>
      <c r="F291" s="146"/>
      <c r="G291" s="143"/>
      <c r="H291" s="143"/>
      <c r="I291" s="142"/>
      <c r="J291" s="144"/>
      <c r="K291" s="145"/>
    </row>
    <row r="292">
      <c r="A292" s="139">
        <v>9</v>
      </c>
      <c r="B292" s="143"/>
      <c r="C292" s="146"/>
      <c r="D292" s="146"/>
      <c r="E292" s="142"/>
      <c r="F292" s="146"/>
      <c r="G292" s="143"/>
      <c r="H292" s="143"/>
      <c r="I292" s="142"/>
      <c r="J292" s="144"/>
      <c r="K292" s="145"/>
    </row>
    <row r="293">
      <c r="A293" s="139">
        <v>10</v>
      </c>
      <c r="B293" s="143"/>
      <c r="C293" s="146"/>
      <c r="D293" s="146"/>
      <c r="E293" s="142"/>
      <c r="F293" s="146"/>
      <c r="G293" s="143"/>
      <c r="H293" s="143"/>
      <c r="I293" s="142"/>
      <c r="J293" s="144"/>
      <c r="K293" s="145"/>
    </row>
    <row r="294">
      <c r="A294" s="139">
        <v>11</v>
      </c>
      <c r="B294" s="143"/>
      <c r="C294" s="146"/>
      <c r="D294" s="146"/>
      <c r="E294" s="142"/>
      <c r="F294" s="146"/>
      <c r="G294" s="143"/>
      <c r="H294" s="143"/>
      <c r="I294" s="142"/>
      <c r="J294" s="144"/>
      <c r="K294" s="145"/>
    </row>
    <row r="295">
      <c r="A295" s="139">
        <v>12</v>
      </c>
      <c r="B295" s="143"/>
      <c r="C295" s="146"/>
      <c r="D295" s="146"/>
      <c r="E295" s="142"/>
      <c r="F295" s="146"/>
      <c r="G295" s="143"/>
      <c r="H295" s="143"/>
      <c r="I295" s="142"/>
      <c r="J295" s="144"/>
      <c r="K295" s="145"/>
    </row>
    <row r="296">
      <c r="A296" s="139">
        <v>13</v>
      </c>
      <c r="B296" s="143"/>
      <c r="C296" s="146"/>
      <c r="D296" s="146"/>
      <c r="E296" s="142"/>
      <c r="F296" s="146"/>
      <c r="G296" s="143"/>
      <c r="H296" s="143"/>
      <c r="I296" s="142"/>
      <c r="J296" s="144"/>
      <c r="K296" s="145"/>
    </row>
    <row r="297">
      <c r="A297" s="139">
        <v>14</v>
      </c>
      <c r="B297" s="143"/>
      <c r="C297" s="146"/>
      <c r="D297" s="146"/>
      <c r="E297" s="142"/>
      <c r="F297" s="146"/>
      <c r="G297" s="143"/>
      <c r="H297" s="143"/>
      <c r="I297" s="142"/>
      <c r="J297" s="144"/>
      <c r="K297" s="145"/>
    </row>
    <row r="298" ht="15.75">
      <c r="A298" s="147">
        <v>15</v>
      </c>
      <c r="B298" s="148"/>
      <c r="C298" s="149"/>
      <c r="D298" s="149"/>
      <c r="E298" s="150"/>
      <c r="F298" s="149"/>
      <c r="G298" s="148"/>
      <c r="H298" s="148"/>
      <c r="I298" s="150"/>
      <c r="J298" s="151"/>
      <c r="K298" s="152"/>
    </row>
    <row r="299" ht="15.75">
      <c r="A299" s="22"/>
      <c r="B299" s="23" t="s">
        <v>26</v>
      </c>
      <c r="C299" s="24"/>
      <c r="D299" s="25"/>
      <c r="E299" s="26"/>
      <c r="F299" s="23"/>
      <c r="G299" s="23"/>
      <c r="H299" s="23"/>
      <c r="I299" s="23"/>
      <c r="J299" s="23"/>
      <c r="K299" s="27"/>
    </row>
    <row r="300">
      <c r="A300" s="132">
        <v>1</v>
      </c>
      <c r="B300" s="153"/>
      <c r="C300" s="153"/>
      <c r="D300" s="153"/>
      <c r="E300" s="153"/>
      <c r="F300" s="154"/>
      <c r="G300" s="153"/>
      <c r="H300" s="153"/>
      <c r="I300" s="153"/>
      <c r="J300" s="137"/>
      <c r="K300" s="138"/>
    </row>
    <row r="301">
      <c r="A301" s="139">
        <v>2</v>
      </c>
      <c r="B301" s="143"/>
      <c r="C301" s="143"/>
      <c r="D301" s="143"/>
      <c r="E301" s="143"/>
      <c r="F301" s="146"/>
      <c r="G301" s="143"/>
      <c r="H301" s="143"/>
      <c r="I301" s="143"/>
      <c r="J301" s="144"/>
      <c r="K301" s="145"/>
    </row>
    <row r="302">
      <c r="A302" s="139">
        <v>3</v>
      </c>
      <c r="B302" s="143"/>
      <c r="C302" s="143"/>
      <c r="D302" s="143"/>
      <c r="E302" s="143"/>
      <c r="F302" s="146"/>
      <c r="G302" s="143"/>
      <c r="H302" s="143"/>
      <c r="I302" s="143"/>
      <c r="J302" s="144"/>
      <c r="K302" s="145"/>
    </row>
    <row r="303">
      <c r="A303" s="139">
        <v>4</v>
      </c>
      <c r="B303" s="143"/>
      <c r="C303" s="143"/>
      <c r="D303" s="143"/>
      <c r="E303" s="143"/>
      <c r="F303" s="146"/>
      <c r="G303" s="143"/>
      <c r="H303" s="143"/>
      <c r="I303" s="143"/>
      <c r="J303" s="144"/>
      <c r="K303" s="145"/>
    </row>
    <row r="304" ht="15.75">
      <c r="A304" s="147">
        <v>5</v>
      </c>
      <c r="B304" s="148"/>
      <c r="C304" s="148"/>
      <c r="D304" s="148"/>
      <c r="E304" s="148"/>
      <c r="F304" s="149"/>
      <c r="G304" s="148"/>
      <c r="H304" s="148"/>
      <c r="I304" s="148"/>
      <c r="J304" s="151"/>
      <c r="K304" s="152"/>
    </row>
    <row r="305" ht="15.75">
      <c r="A305" s="22"/>
      <c r="B305" s="23" t="s">
        <v>19</v>
      </c>
      <c r="C305" s="24"/>
      <c r="D305" s="25"/>
      <c r="E305" s="26"/>
      <c r="F305" s="23"/>
      <c r="G305" s="23"/>
      <c r="H305" s="23"/>
      <c r="I305" s="23"/>
      <c r="J305" s="23"/>
      <c r="K305" s="27"/>
    </row>
    <row r="306">
      <c r="A306" s="132">
        <v>1</v>
      </c>
      <c r="B306" s="136"/>
      <c r="C306" s="153"/>
      <c r="D306" s="153"/>
      <c r="E306" s="153"/>
      <c r="F306" s="154"/>
      <c r="G306" s="153"/>
      <c r="H306" s="153"/>
      <c r="I306" s="153"/>
      <c r="J306" s="137"/>
      <c r="K306" s="138"/>
    </row>
    <row r="307">
      <c r="A307" s="139">
        <v>2</v>
      </c>
      <c r="B307" s="155"/>
      <c r="C307" s="155"/>
      <c r="D307" s="156"/>
      <c r="E307" s="143"/>
      <c r="F307" s="157"/>
      <c r="G307" s="143"/>
      <c r="H307" s="143"/>
      <c r="I307" s="143"/>
      <c r="J307" s="144"/>
      <c r="K307" s="145"/>
    </row>
    <row r="308">
      <c r="A308" s="139">
        <v>3</v>
      </c>
      <c r="B308" s="143"/>
      <c r="C308" s="143"/>
      <c r="D308" s="143"/>
      <c r="E308" s="143"/>
      <c r="F308" s="146"/>
      <c r="G308" s="143"/>
      <c r="H308" s="143"/>
      <c r="I308" s="143"/>
      <c r="J308" s="144"/>
      <c r="K308" s="145"/>
    </row>
    <row r="309">
      <c r="A309" s="139">
        <v>4</v>
      </c>
      <c r="B309" s="143"/>
      <c r="C309" s="143"/>
      <c r="D309" s="143"/>
      <c r="E309" s="143"/>
      <c r="F309" s="146"/>
      <c r="G309" s="143"/>
      <c r="H309" s="143"/>
      <c r="I309" s="143"/>
      <c r="J309" s="144"/>
      <c r="K309" s="145"/>
    </row>
    <row r="310" ht="15.75">
      <c r="A310" s="147">
        <v>5</v>
      </c>
      <c r="B310" s="148"/>
      <c r="C310" s="148"/>
      <c r="D310" s="148"/>
      <c r="E310" s="148"/>
      <c r="F310" s="149"/>
      <c r="G310" s="148"/>
      <c r="H310" s="148"/>
      <c r="I310" s="148"/>
      <c r="J310" s="151"/>
      <c r="K310" s="152"/>
    </row>
    <row r="311" ht="27.75" customHeight="1">
      <c r="A311" s="158" t="s">
        <v>42</v>
      </c>
      <c r="B311" s="158"/>
      <c r="C311" s="158"/>
      <c r="D311" s="158"/>
      <c r="E311" s="159">
        <f>SUM(E284:E310)</f>
        <v>0</v>
      </c>
      <c r="F311" s="160"/>
      <c r="G311" s="160"/>
      <c r="H311" s="160"/>
      <c r="I311" s="160"/>
      <c r="J311" s="160"/>
      <c r="K311" s="160"/>
    </row>
    <row r="312" ht="27.75" customHeight="1">
      <c r="A312" s="158" t="s">
        <v>43</v>
      </c>
      <c r="B312" s="158"/>
      <c r="C312" s="158"/>
      <c r="D312" s="158"/>
      <c r="E312" s="161">
        <f>E278-E311</f>
        <v>2715</v>
      </c>
      <c r="F312" s="162"/>
      <c r="G312" s="160"/>
      <c r="H312" s="160"/>
      <c r="I312" s="160"/>
      <c r="J312" s="160"/>
      <c r="K312" s="160"/>
    </row>
    <row r="313" ht="14.25">
      <c r="E313" s="1"/>
    </row>
    <row r="314" ht="14.25">
      <c r="E314" s="1"/>
    </row>
    <row r="315" ht="14.25">
      <c r="E315" s="1"/>
    </row>
  </sheetData>
  <mergeCells count="26">
    <mergeCell ref="E1:F1"/>
    <mergeCell ref="A4:D4"/>
    <mergeCell ref="A5:D5"/>
    <mergeCell ref="A7:D7"/>
    <mergeCell ref="A161:D161"/>
    <mergeCell ref="A162:D162"/>
    <mergeCell ref="A164:D164"/>
    <mergeCell ref="A165:D165"/>
    <mergeCell ref="A166:D166"/>
    <mergeCell ref="A215:D215"/>
    <mergeCell ref="A216:D216"/>
    <mergeCell ref="A218:D218"/>
    <mergeCell ref="A219:D219"/>
    <mergeCell ref="A238:D238"/>
    <mergeCell ref="A239:D239"/>
    <mergeCell ref="A241:D241"/>
    <mergeCell ref="A242:D242"/>
    <mergeCell ref="A243:D243"/>
    <mergeCell ref="A274:D274"/>
    <mergeCell ref="A275:D275"/>
    <mergeCell ref="A278:D278"/>
    <mergeCell ref="A279:D279"/>
    <mergeCell ref="A280:D280"/>
    <mergeCell ref="A283:K283"/>
    <mergeCell ref="A311:D311"/>
    <mergeCell ref="A312:D312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23006F-00A8-412B-84AC-004B009200E0}" type="list" allowBlank="1" errorStyle="stop" imeMode="noControl" operator="between" showDropDown="0" showErrorMessage="1" showInputMessage="1">
          <x14:formula1>
            <xm:f>ДаНет</xm:f>
          </x14:formula1>
          <xm:sqref>H130:H144 H150:H153 H155 H157:H160 H223:H237 H210:H214 H263:H267 H204:H208 H170:H202 H112:H123 H269:H273 H47:H83 H247:H248 H251:H261</xm:sqref>
        </x14:dataValidation>
        <x14:dataValidation xr:uid="{006800F1-0058-4837-843F-00EE002400F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H84:H111 H249:H250</xm:sqref>
        </x14:dataValidation>
        <x14:dataValidation xr:uid="{00450072-00A7-4282-9BB5-004C00F40052}" type="list" allowBlank="1" errorStyle="stop" imeMode="noControl" operator="between" showDropDown="0" showErrorMessage="1" showInputMessage="1">
          <x14:formula1>
            <xm:f>ДаНет</xm:f>
          </x14:formula1>
          <xm:sqref>H45:H46</xm:sqref>
        </x14:dataValidation>
        <x14:dataValidation xr:uid="{0054004D-0022-4674-9D5D-007100320062}" type="list" allowBlank="1" errorStyle="stop" imeMode="noControl" operator="between" showDropDown="0" showErrorMessage="1" showInputMessage="1">
          <x14:formula1>
            <xm:f>ДаНет</xm:f>
          </x14:formula1>
          <xm:sqref>H42:H43</xm:sqref>
        </x14:dataValidation>
        <x14:dataValidation xr:uid="{00390002-008F-4340-A3E8-0020009800B4}" type="list" allowBlank="1" errorStyle="stop" imeMode="noControl" operator="between" showDropDown="0" showErrorMessage="1" showInputMessage="1">
          <x14:formula1>
            <xm:f>ДаНет</xm:f>
          </x14:formula1>
          <xm:sqref>H125:H129</xm:sqref>
        </x14:dataValidation>
        <x14:dataValidation xr:uid="{009B0053-0066-4649-838F-007500F100B4}" type="list" allowBlank="1" errorStyle="stop" imeMode="noControl" operator="between" showDropDown="0" showErrorMessage="1" showInputMessage="1">
          <x14:formula1>
            <xm:f>ДаНет</xm:f>
          </x14:formula1>
          <xm:sqref>H146 H149</xm:sqref>
        </x14:dataValidation>
        <x14:dataValidation xr:uid="{00A90022-00B3-4346-B6E3-0041009F005A}" type="list" allowBlank="1" errorStyle="stop" imeMode="noControl" operator="between" showDropDown="0" showErrorMessage="1" showInputMessage="1">
          <x14:formula1>
            <xm:f>ДаНет</xm:f>
          </x14:formula1>
          <xm:sqref>H148</xm:sqref>
        </x14:dataValidation>
        <x14:dataValidation xr:uid="{006A00AD-002D-49B6-92B1-00E0009400E5}" type="list" allowBlank="1" errorStyle="stop" imeMode="noControl" operator="between" showDropDown="0" showErrorMessage="1" showInputMessage="1">
          <x14:formula1>
            <xm:f>ДаНет</xm:f>
          </x14:formula1>
          <xm:sqref>H147</xm:sqref>
        </x14:dataValidation>
        <x14:dataValidation xr:uid="{00110040-004B-435D-9777-004900CE00C6}" type="list" allowBlank="1" errorStyle="stop" imeMode="noControl" operator="between" showDropDown="0" showErrorMessage="1" showInputMessage="1">
          <x14:formula1>
            <xm:f>ДаНет</xm:f>
          </x14:formula1>
          <xm:sqref>H156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0">
    <tabColor theme="3"/>
    <outlinePr applyStyles="0" summaryBelow="1" summaryRight="1" showOutlineSymbols="1"/>
    <pageSetUpPr autoPageBreaks="1" fitToPage="0"/>
  </sheetPr>
  <sheetViews>
    <sheetView showGridLines="0" showRuler="1" topLeftCell="A250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'19'!C2+1</f>
        <v>46101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462031.07000000001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450050.38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11357.24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462031.07000000001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540654.39000000001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540654.39000000001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540654.39000000001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10945.25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7812.3000000000002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10945.25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50021-0050-441B-8D7A-00FC00B5003C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FA00DF-0075-4215-9DE8-0052006200E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1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'20'!C2+1</f>
        <v>46102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30029-0001-49ED-B9AC-005300BF0009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FA003E-00F9-4CBD-85D1-00B9007200CF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2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'21'!C2+1</f>
        <v>46103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7A003F-00A1-488A-B965-0080003A00AE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0F0014-008F-4E06-9F8B-00B000910004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3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'22'!C2+1</f>
        <v>46104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551182.96999999997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540362.28000000003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752" t="s">
        <v>48</v>
      </c>
      <c r="C11" s="753" t="s">
        <v>49</v>
      </c>
      <c r="D11" s="752" t="s">
        <v>50</v>
      </c>
      <c r="E11" s="180">
        <v>2290000</v>
      </c>
      <c r="F11" s="753" t="s">
        <v>51</v>
      </c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2290000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-1738817.03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689769.63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689769.63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689769.63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10945.25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3132.9499999999998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7812.3000000000002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10945.25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EE-00F7-4268-A6D6-00CE0067004E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500021-00A2-46A1-A7A1-006400A80069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4">
    <outlinePr applyStyles="0" summaryBelow="1" summaryRight="1" showOutlineSymbols="1"/>
    <pageSetUpPr autoPageBreaks="1" fitToPage="0"/>
  </sheetPr>
  <sheetViews>
    <sheetView showGridLines="0" showRuler="1" topLeftCell="A11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45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'23'!C2+1</f>
        <v>46105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551182.96999999997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540362.28000000003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87" t="s">
        <v>6</v>
      </c>
      <c r="B9" s="87" t="s">
        <v>7</v>
      </c>
      <c r="C9" s="87" t="s">
        <v>8</v>
      </c>
      <c r="D9" s="87" t="s">
        <v>9</v>
      </c>
      <c r="E9" s="88" t="s">
        <v>10</v>
      </c>
      <c r="F9" s="87" t="s">
        <v>11</v>
      </c>
      <c r="G9" s="87" t="s">
        <v>12</v>
      </c>
      <c r="H9" s="89" t="s">
        <v>13</v>
      </c>
      <c r="I9" s="87" t="s">
        <v>14</v>
      </c>
      <c r="J9" s="87" t="s">
        <v>15</v>
      </c>
      <c r="K9" s="87" t="s">
        <v>16</v>
      </c>
    </row>
    <row r="10" s="21" customFormat="1" ht="18.75" customHeight="1" outlineLevel="1">
      <c r="A10" s="370"/>
      <c r="B10" s="371" t="s">
        <v>17</v>
      </c>
      <c r="C10" s="372"/>
      <c r="D10" s="373"/>
      <c r="E10" s="374"/>
      <c r="F10" s="371"/>
      <c r="G10" s="371"/>
      <c r="H10" s="371"/>
      <c r="I10" s="371"/>
      <c r="J10" s="371"/>
      <c r="K10" s="375"/>
    </row>
    <row r="11" ht="28.5" outlineLevel="1">
      <c r="A11" s="376">
        <v>1</v>
      </c>
      <c r="B11" s="754" t="s">
        <v>57</v>
      </c>
      <c r="C11" s="754" t="s">
        <v>58</v>
      </c>
      <c r="D11" s="754" t="s">
        <v>59</v>
      </c>
      <c r="E11" s="755" t="s">
        <v>60</v>
      </c>
      <c r="F11" s="756" t="s">
        <v>61</v>
      </c>
      <c r="G11" s="380" t="s">
        <v>62</v>
      </c>
      <c r="H11" s="381"/>
      <c r="I11" s="757"/>
      <c r="J11" s="653"/>
      <c r="K11" s="758"/>
    </row>
    <row r="12" ht="14.25" customHeight="1" outlineLevel="1">
      <c r="A12" s="385">
        <v>2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387" t="s">
        <v>66</v>
      </c>
      <c r="G12" s="182" t="s">
        <v>62</v>
      </c>
      <c r="H12" s="490"/>
      <c r="I12" s="94"/>
      <c r="J12" s="655"/>
      <c r="K12" s="759"/>
    </row>
    <row r="13" ht="14.25" customHeight="1" outlineLevel="1">
      <c r="A13" s="385">
        <v>3</v>
      </c>
      <c r="B13" s="190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202"/>
      <c r="J13" s="655"/>
      <c r="K13" s="759"/>
    </row>
    <row r="14" ht="14.25" customHeight="1" outlineLevel="1">
      <c r="A14" s="385">
        <v>4</v>
      </c>
      <c r="B14" s="190" t="s">
        <v>57</v>
      </c>
      <c r="C14" s="190" t="s">
        <v>72</v>
      </c>
      <c r="D14" s="190" t="s">
        <v>73</v>
      </c>
      <c r="E14" s="492" t="s">
        <v>74</v>
      </c>
      <c r="F14" s="190" t="s">
        <v>75</v>
      </c>
      <c r="G14" s="182"/>
      <c r="H14" s="193"/>
      <c r="I14" s="202"/>
      <c r="J14" s="655"/>
      <c r="K14" s="759"/>
    </row>
    <row r="15" ht="14.25" customHeight="1" outlineLevel="1">
      <c r="A15" s="385">
        <v>5</v>
      </c>
      <c r="B15" s="190" t="s">
        <v>57</v>
      </c>
      <c r="C15" s="190" t="s">
        <v>72</v>
      </c>
      <c r="D15" s="190" t="s">
        <v>76</v>
      </c>
      <c r="E15" s="492" t="s">
        <v>77</v>
      </c>
      <c r="F15" s="190" t="s">
        <v>78</v>
      </c>
      <c r="G15" s="182"/>
      <c r="H15" s="193"/>
      <c r="I15" s="202"/>
      <c r="J15" s="655"/>
      <c r="K15" s="759"/>
    </row>
    <row r="16" ht="14.25" customHeight="1" outlineLevel="1">
      <c r="A16" s="385">
        <v>6</v>
      </c>
      <c r="B16" s="190" t="s">
        <v>57</v>
      </c>
      <c r="C16" s="190" t="s">
        <v>79</v>
      </c>
      <c r="D16" s="267" t="s">
        <v>80</v>
      </c>
      <c r="E16" s="495" t="s">
        <v>81</v>
      </c>
      <c r="F16" s="190" t="s">
        <v>82</v>
      </c>
      <c r="G16" s="182" t="s">
        <v>62</v>
      </c>
      <c r="H16" s="193"/>
      <c r="I16" s="202"/>
      <c r="J16" s="655"/>
      <c r="K16" s="759"/>
    </row>
    <row r="17" ht="14.25" customHeight="1" outlineLevel="1">
      <c r="A17" s="385">
        <v>7</v>
      </c>
      <c r="B17" s="190" t="s">
        <v>57</v>
      </c>
      <c r="C17" s="190" t="s">
        <v>79</v>
      </c>
      <c r="D17" s="496" t="s">
        <v>370</v>
      </c>
      <c r="E17" s="497" t="s">
        <v>371</v>
      </c>
      <c r="F17" s="190" t="s">
        <v>372</v>
      </c>
      <c r="G17" s="182"/>
      <c r="H17" s="193"/>
      <c r="I17" s="202"/>
      <c r="J17" s="655"/>
      <c r="K17" s="759"/>
    </row>
    <row r="18" ht="14.25" customHeight="1" outlineLevel="1">
      <c r="A18" s="385">
        <v>8</v>
      </c>
      <c r="B18" s="190" t="s">
        <v>57</v>
      </c>
      <c r="C18" s="190" t="s">
        <v>171</v>
      </c>
      <c r="D18" s="337" t="s">
        <v>538</v>
      </c>
      <c r="E18" s="499" t="s">
        <v>539</v>
      </c>
      <c r="F18" s="190" t="s">
        <v>540</v>
      </c>
      <c r="G18" s="182"/>
      <c r="H18" s="193"/>
      <c r="I18" s="202" t="s">
        <v>541</v>
      </c>
      <c r="J18" s="655"/>
      <c r="K18" s="759"/>
    </row>
    <row r="19" ht="14.25" customHeight="1" outlineLevel="1">
      <c r="A19" s="385">
        <v>9</v>
      </c>
      <c r="B19" s="190" t="s">
        <v>57</v>
      </c>
      <c r="C19" s="190" t="s">
        <v>542</v>
      </c>
      <c r="D19" s="337" t="s">
        <v>543</v>
      </c>
      <c r="E19" s="499" t="s">
        <v>544</v>
      </c>
      <c r="F19" s="190" t="s">
        <v>545</v>
      </c>
      <c r="G19" s="182"/>
      <c r="H19" s="193"/>
      <c r="I19" s="202"/>
      <c r="J19" s="655"/>
      <c r="K19" s="759"/>
    </row>
    <row r="20" ht="14.25" customHeight="1" outlineLevel="1">
      <c r="A20" s="385">
        <v>10</v>
      </c>
      <c r="B20" s="190" t="s">
        <v>57</v>
      </c>
      <c r="C20" s="190" t="s">
        <v>373</v>
      </c>
      <c r="D20" s="337" t="s">
        <v>374</v>
      </c>
      <c r="E20" s="499" t="s">
        <v>375</v>
      </c>
      <c r="F20" s="190" t="s">
        <v>376</v>
      </c>
      <c r="G20" s="182"/>
      <c r="H20" s="193"/>
      <c r="I20" s="202"/>
      <c r="J20" s="655"/>
      <c r="K20" s="759"/>
    </row>
    <row r="21" ht="14.25" customHeight="1" outlineLevel="1">
      <c r="A21" s="385">
        <v>11</v>
      </c>
      <c r="B21" s="190" t="s">
        <v>57</v>
      </c>
      <c r="C21" s="190" t="s">
        <v>546</v>
      </c>
      <c r="D21" s="337" t="s">
        <v>547</v>
      </c>
      <c r="E21" s="499" t="s">
        <v>559</v>
      </c>
      <c r="F21" s="190" t="s">
        <v>549</v>
      </c>
      <c r="G21" s="182"/>
      <c r="H21" s="193"/>
      <c r="I21" s="202" t="s">
        <v>501</v>
      </c>
      <c r="J21" s="655"/>
      <c r="K21" s="759"/>
    </row>
    <row r="22" ht="14.25" customHeight="1" outlineLevel="1">
      <c r="A22" s="385">
        <v>12</v>
      </c>
      <c r="B22" s="209" t="s">
        <v>83</v>
      </c>
      <c r="C22" s="209" t="s">
        <v>84</v>
      </c>
      <c r="D22" s="500" t="s">
        <v>85</v>
      </c>
      <c r="E22" s="501" t="s">
        <v>86</v>
      </c>
      <c r="F22" s="182" t="s">
        <v>87</v>
      </c>
      <c r="G22" s="182" t="s">
        <v>62</v>
      </c>
      <c r="H22" s="193"/>
      <c r="I22" s="202"/>
      <c r="J22" s="655"/>
      <c r="K22" s="759"/>
    </row>
    <row r="23" ht="14.25" customHeight="1" outlineLevel="1">
      <c r="A23" s="385">
        <v>13</v>
      </c>
      <c r="B23" s="209" t="s">
        <v>83</v>
      </c>
      <c r="C23" s="209" t="s">
        <v>84</v>
      </c>
      <c r="D23" s="500" t="s">
        <v>88</v>
      </c>
      <c r="E23" s="501" t="s">
        <v>89</v>
      </c>
      <c r="F23" s="182" t="s">
        <v>90</v>
      </c>
      <c r="G23" s="182" t="s">
        <v>62</v>
      </c>
      <c r="H23" s="193"/>
      <c r="I23" s="202"/>
      <c r="J23" s="655"/>
      <c r="K23" s="759"/>
    </row>
    <row r="24" ht="14.25" customHeight="1" outlineLevel="1">
      <c r="A24" s="385">
        <v>14</v>
      </c>
      <c r="B24" s="209" t="s">
        <v>83</v>
      </c>
      <c r="C24" s="209" t="s">
        <v>84</v>
      </c>
      <c r="D24" s="500" t="s">
        <v>404</v>
      </c>
      <c r="E24" s="501" t="s">
        <v>89</v>
      </c>
      <c r="F24" s="182" t="s">
        <v>405</v>
      </c>
      <c r="G24" s="182"/>
      <c r="H24" s="193"/>
      <c r="I24" s="202"/>
      <c r="J24" s="655"/>
      <c r="K24" s="759"/>
    </row>
    <row r="25" ht="14.25" customHeight="1" outlineLevel="1">
      <c r="A25" s="385">
        <v>15</v>
      </c>
      <c r="B25" s="209" t="s">
        <v>83</v>
      </c>
      <c r="C25" s="182" t="s">
        <v>91</v>
      </c>
      <c r="D25" s="503" t="s">
        <v>92</v>
      </c>
      <c r="E25" s="659" t="s">
        <v>93</v>
      </c>
      <c r="F25" s="182" t="s">
        <v>94</v>
      </c>
      <c r="G25" s="182" t="s">
        <v>62</v>
      </c>
      <c r="H25" s="193"/>
      <c r="I25" s="202"/>
      <c r="J25" s="655"/>
      <c r="K25" s="759"/>
    </row>
    <row r="26" ht="14.25" customHeight="1" outlineLevel="1">
      <c r="A26" s="385">
        <v>16</v>
      </c>
      <c r="B26" s="198" t="s">
        <v>83</v>
      </c>
      <c r="C26" s="204" t="s">
        <v>91</v>
      </c>
      <c r="D26" s="658" t="s">
        <v>95</v>
      </c>
      <c r="E26" s="505" t="s">
        <v>96</v>
      </c>
      <c r="F26" s="660" t="s">
        <v>94</v>
      </c>
      <c r="G26" s="182" t="s">
        <v>62</v>
      </c>
      <c r="H26" s="400"/>
      <c r="I26" s="94"/>
      <c r="J26" s="655"/>
      <c r="K26" s="759"/>
    </row>
    <row r="27" ht="14.25" customHeight="1" outlineLevel="1">
      <c r="A27" s="385">
        <v>17</v>
      </c>
      <c r="B27" s="198" t="s">
        <v>83</v>
      </c>
      <c r="C27" s="204" t="s">
        <v>91</v>
      </c>
      <c r="D27" s="658" t="s">
        <v>97</v>
      </c>
      <c r="E27" s="505" t="s">
        <v>98</v>
      </c>
      <c r="F27" s="401" t="s">
        <v>94</v>
      </c>
      <c r="G27" s="182" t="s">
        <v>62</v>
      </c>
      <c r="H27" s="202"/>
      <c r="I27" s="94"/>
      <c r="J27" s="655"/>
      <c r="K27" s="759"/>
    </row>
    <row r="28" ht="14.25" customHeight="1" outlineLevel="1">
      <c r="A28" s="385">
        <v>18</v>
      </c>
      <c r="B28" s="198" t="s">
        <v>83</v>
      </c>
      <c r="C28" s="204" t="s">
        <v>91</v>
      </c>
      <c r="D28" s="658" t="s">
        <v>99</v>
      </c>
      <c r="E28" s="505" t="s">
        <v>100</v>
      </c>
      <c r="F28" s="401" t="s">
        <v>94</v>
      </c>
      <c r="G28" s="182" t="s">
        <v>62</v>
      </c>
      <c r="H28" s="202"/>
      <c r="I28" s="94"/>
      <c r="J28" s="655"/>
      <c r="K28" s="759"/>
    </row>
    <row r="29" ht="14.25" customHeight="1" outlineLevel="1">
      <c r="A29" s="385">
        <v>19</v>
      </c>
      <c r="B29" s="198" t="s">
        <v>83</v>
      </c>
      <c r="C29" s="204" t="s">
        <v>91</v>
      </c>
      <c r="D29" s="658" t="s">
        <v>101</v>
      </c>
      <c r="E29" s="505" t="s">
        <v>102</v>
      </c>
      <c r="F29" s="401" t="s">
        <v>94</v>
      </c>
      <c r="G29" s="182" t="s">
        <v>62</v>
      </c>
      <c r="H29" s="202"/>
      <c r="I29" s="94"/>
      <c r="J29" s="655"/>
      <c r="K29" s="759"/>
    </row>
    <row r="30" ht="14.25" customHeight="1" outlineLevel="1">
      <c r="A30" s="385">
        <v>20</v>
      </c>
      <c r="B30" s="198" t="s">
        <v>83</v>
      </c>
      <c r="C30" s="204" t="s">
        <v>91</v>
      </c>
      <c r="D30" s="658" t="s">
        <v>103</v>
      </c>
      <c r="E30" s="505" t="s">
        <v>104</v>
      </c>
      <c r="F30" s="401" t="s">
        <v>94</v>
      </c>
      <c r="G30" s="182" t="s">
        <v>62</v>
      </c>
      <c r="H30" s="202"/>
      <c r="I30" s="94"/>
      <c r="J30" s="655"/>
      <c r="K30" s="759"/>
    </row>
    <row r="31" ht="14.25" customHeight="1" outlineLevel="1">
      <c r="A31" s="385">
        <v>21</v>
      </c>
      <c r="B31" s="198" t="s">
        <v>83</v>
      </c>
      <c r="C31" s="204" t="s">
        <v>91</v>
      </c>
      <c r="D31" s="658" t="s">
        <v>105</v>
      </c>
      <c r="E31" s="505" t="s">
        <v>106</v>
      </c>
      <c r="F31" s="401" t="s">
        <v>94</v>
      </c>
      <c r="G31" s="182" t="s">
        <v>62</v>
      </c>
      <c r="H31" s="202"/>
      <c r="I31" s="94"/>
      <c r="J31" s="655"/>
      <c r="K31" s="759"/>
    </row>
    <row r="32" ht="14.25" customHeight="1" outlineLevel="1">
      <c r="A32" s="385">
        <v>22</v>
      </c>
      <c r="B32" s="198" t="s">
        <v>83</v>
      </c>
      <c r="C32" s="204" t="s">
        <v>91</v>
      </c>
      <c r="D32" s="658" t="s">
        <v>107</v>
      </c>
      <c r="E32" s="505" t="s">
        <v>108</v>
      </c>
      <c r="F32" s="401" t="s">
        <v>94</v>
      </c>
      <c r="G32" s="182" t="s">
        <v>62</v>
      </c>
      <c r="H32" s="202"/>
      <c r="I32" s="42"/>
      <c r="J32" s="43"/>
      <c r="K32" s="759"/>
    </row>
    <row r="33" ht="14.25" customHeight="1" outlineLevel="1">
      <c r="A33" s="385">
        <v>23</v>
      </c>
      <c r="B33" s="198" t="s">
        <v>83</v>
      </c>
      <c r="C33" s="204" t="s">
        <v>91</v>
      </c>
      <c r="D33" s="658" t="s">
        <v>560</v>
      </c>
      <c r="E33" s="505" t="s">
        <v>561</v>
      </c>
      <c r="F33" s="401" t="s">
        <v>94</v>
      </c>
      <c r="G33" s="182"/>
      <c r="H33" s="202"/>
      <c r="I33" s="42"/>
      <c r="J33" s="43"/>
      <c r="K33" s="759"/>
    </row>
    <row r="34" ht="14.25" customHeight="1" outlineLevel="1">
      <c r="A34" s="385">
        <v>24</v>
      </c>
      <c r="B34" s="198" t="s">
        <v>83</v>
      </c>
      <c r="C34" s="204" t="s">
        <v>91</v>
      </c>
      <c r="D34" s="658" t="s">
        <v>562</v>
      </c>
      <c r="E34" s="505" t="s">
        <v>563</v>
      </c>
      <c r="F34" s="401" t="s">
        <v>94</v>
      </c>
      <c r="G34" s="182"/>
      <c r="H34" s="202"/>
      <c r="I34" s="42"/>
      <c r="J34" s="43"/>
      <c r="K34" s="759"/>
    </row>
    <row r="35" ht="14.25" customHeight="1" outlineLevel="1">
      <c r="A35" s="385">
        <v>25</v>
      </c>
      <c r="B35" s="198" t="s">
        <v>83</v>
      </c>
      <c r="C35" s="204" t="s">
        <v>91</v>
      </c>
      <c r="D35" s="658" t="s">
        <v>564</v>
      </c>
      <c r="E35" s="505" t="s">
        <v>565</v>
      </c>
      <c r="F35" s="401" t="s">
        <v>94</v>
      </c>
      <c r="G35" s="182"/>
      <c r="H35" s="202"/>
      <c r="I35" s="42"/>
      <c r="J35" s="43"/>
      <c r="K35" s="759"/>
    </row>
    <row r="36" ht="14.25" customHeight="1" outlineLevel="1">
      <c r="A36" s="385">
        <v>26</v>
      </c>
      <c r="B36" s="198" t="s">
        <v>83</v>
      </c>
      <c r="C36" s="198" t="s">
        <v>109</v>
      </c>
      <c r="D36" s="657" t="s">
        <v>110</v>
      </c>
      <c r="E36" s="507" t="s">
        <v>111</v>
      </c>
      <c r="F36" s="401" t="s">
        <v>112</v>
      </c>
      <c r="G36" s="182" t="s">
        <v>62</v>
      </c>
      <c r="H36" s="202"/>
      <c r="I36" s="42"/>
      <c r="J36" s="43"/>
      <c r="K36" s="759"/>
    </row>
    <row r="37" ht="14.25" customHeight="1" outlineLevel="1">
      <c r="A37" s="385">
        <v>27</v>
      </c>
      <c r="B37" s="198" t="s">
        <v>83</v>
      </c>
      <c r="C37" s="198" t="s">
        <v>109</v>
      </c>
      <c r="D37" s="657" t="s">
        <v>113</v>
      </c>
      <c r="E37" s="507" t="s">
        <v>114</v>
      </c>
      <c r="F37" s="401" t="s">
        <v>115</v>
      </c>
      <c r="G37" s="182" t="s">
        <v>62</v>
      </c>
      <c r="H37" s="202"/>
      <c r="I37" s="42"/>
      <c r="J37" s="43"/>
      <c r="K37" s="759"/>
    </row>
    <row r="38" ht="14.25" customHeight="1" outlineLevel="1">
      <c r="A38" s="385">
        <v>28</v>
      </c>
      <c r="B38" s="209" t="s">
        <v>83</v>
      </c>
      <c r="C38" s="198" t="s">
        <v>109</v>
      </c>
      <c r="D38" s="657" t="s">
        <v>116</v>
      </c>
      <c r="E38" s="507" t="s">
        <v>117</v>
      </c>
      <c r="F38" s="401" t="s">
        <v>118</v>
      </c>
      <c r="G38" s="182" t="s">
        <v>62</v>
      </c>
      <c r="H38" s="202"/>
      <c r="I38" s="42"/>
      <c r="J38" s="43"/>
      <c r="K38" s="759"/>
    </row>
    <row r="39" ht="14.25" customHeight="1" outlineLevel="1">
      <c r="A39" s="385">
        <v>29</v>
      </c>
      <c r="B39" s="182" t="s">
        <v>83</v>
      </c>
      <c r="C39" s="182" t="s">
        <v>119</v>
      </c>
      <c r="D39" s="658" t="s">
        <v>120</v>
      </c>
      <c r="E39" s="508" t="s">
        <v>377</v>
      </c>
      <c r="F39" s="401" t="s">
        <v>122</v>
      </c>
      <c r="G39" s="182" t="s">
        <v>62</v>
      </c>
      <c r="H39" s="202"/>
      <c r="I39" s="42"/>
      <c r="J39" s="43"/>
      <c r="K39" s="759"/>
    </row>
    <row r="40" ht="14.25" customHeight="1" outlineLevel="1">
      <c r="A40" s="385">
        <v>30</v>
      </c>
      <c r="B40" s="209" t="s">
        <v>123</v>
      </c>
      <c r="C40" s="182" t="s">
        <v>124</v>
      </c>
      <c r="D40" s="658" t="s">
        <v>125</v>
      </c>
      <c r="E40" s="507" t="s">
        <v>126</v>
      </c>
      <c r="F40" s="401" t="s">
        <v>127</v>
      </c>
      <c r="G40" s="182" t="s">
        <v>62</v>
      </c>
      <c r="H40" s="202"/>
      <c r="I40" s="42"/>
      <c r="J40" s="43"/>
      <c r="K40" s="759"/>
    </row>
    <row r="41" ht="14.25" customHeight="1" outlineLevel="1">
      <c r="A41" s="385">
        <v>31</v>
      </c>
      <c r="B41" s="209" t="s">
        <v>128</v>
      </c>
      <c r="C41" s="182" t="s">
        <v>37</v>
      </c>
      <c r="D41" s="658" t="s">
        <v>129</v>
      </c>
      <c r="E41" s="507" t="s">
        <v>130</v>
      </c>
      <c r="F41" s="401" t="s">
        <v>131</v>
      </c>
      <c r="G41" s="182" t="s">
        <v>62</v>
      </c>
      <c r="H41" s="202"/>
      <c r="I41" s="42"/>
      <c r="J41" s="43"/>
      <c r="K41" s="759"/>
    </row>
    <row r="42" ht="14.25" customHeight="1" outlineLevel="1">
      <c r="A42" s="385">
        <v>32</v>
      </c>
      <c r="B42" s="182" t="s">
        <v>83</v>
      </c>
      <c r="C42" s="210" t="s">
        <v>132</v>
      </c>
      <c r="D42" s="760" t="s">
        <v>133</v>
      </c>
      <c r="E42" s="488" t="s">
        <v>134</v>
      </c>
      <c r="F42" s="387" t="s">
        <v>135</v>
      </c>
      <c r="G42" s="182" t="s">
        <v>62</v>
      </c>
      <c r="H42" s="202"/>
      <c r="I42" s="42"/>
      <c r="J42" s="43"/>
      <c r="K42" s="759"/>
    </row>
    <row r="43" ht="14.25" customHeight="1" outlineLevel="1">
      <c r="A43" s="385">
        <v>33</v>
      </c>
      <c r="B43" s="182" t="s">
        <v>83</v>
      </c>
      <c r="C43" s="190" t="s">
        <v>136</v>
      </c>
      <c r="D43" s="267" t="s">
        <v>137</v>
      </c>
      <c r="E43" s="510" t="s">
        <v>378</v>
      </c>
      <c r="F43" s="267" t="s">
        <v>139</v>
      </c>
      <c r="G43" s="182" t="s">
        <v>62</v>
      </c>
      <c r="H43" s="202"/>
      <c r="I43" s="42"/>
      <c r="J43" s="43"/>
      <c r="K43" s="759"/>
    </row>
    <row r="44" ht="14.25" customHeight="1" outlineLevel="1">
      <c r="A44" s="385">
        <v>34</v>
      </c>
      <c r="B44" s="182" t="s">
        <v>83</v>
      </c>
      <c r="C44" s="190" t="s">
        <v>136</v>
      </c>
      <c r="D44" s="395" t="s">
        <v>566</v>
      </c>
      <c r="E44" s="761" t="s">
        <v>567</v>
      </c>
      <c r="F44" s="511" t="s">
        <v>568</v>
      </c>
      <c r="G44" s="409"/>
      <c r="H44" s="202"/>
      <c r="I44" s="42"/>
      <c r="J44" s="43"/>
      <c r="K44" s="759"/>
    </row>
    <row r="45" ht="14.25" customHeight="1" outlineLevel="1">
      <c r="A45" s="385">
        <v>35</v>
      </c>
      <c r="B45" s="182" t="s">
        <v>83</v>
      </c>
      <c r="C45" s="762" t="s">
        <v>143</v>
      </c>
      <c r="D45" s="41" t="s">
        <v>144</v>
      </c>
      <c r="E45" s="516" t="s">
        <v>145</v>
      </c>
      <c r="F45" s="410" t="s">
        <v>146</v>
      </c>
      <c r="G45" s="514" t="s">
        <v>62</v>
      </c>
      <c r="H45" s="202"/>
      <c r="I45" s="42"/>
      <c r="J45" s="43"/>
      <c r="K45" s="759"/>
    </row>
    <row r="46" ht="14.25" customHeight="1" outlineLevel="1">
      <c r="A46" s="385">
        <v>36</v>
      </c>
      <c r="B46" s="182" t="s">
        <v>83</v>
      </c>
      <c r="C46" s="518" t="s">
        <v>147</v>
      </c>
      <c r="D46" s="41" t="s">
        <v>148</v>
      </c>
      <c r="E46" s="516" t="s">
        <v>379</v>
      </c>
      <c r="F46" s="410" t="s">
        <v>150</v>
      </c>
      <c r="G46" s="514" t="s">
        <v>62</v>
      </c>
      <c r="H46" s="94"/>
      <c r="I46" s="42"/>
      <c r="J46" s="43"/>
      <c r="K46" s="759"/>
    </row>
    <row r="47" ht="14.25" customHeight="1" outlineLevel="1">
      <c r="A47" s="385">
        <v>37</v>
      </c>
      <c r="B47" s="204" t="s">
        <v>83</v>
      </c>
      <c r="C47" s="518" t="s">
        <v>147</v>
      </c>
      <c r="D47" s="41" t="s">
        <v>461</v>
      </c>
      <c r="E47" s="516" t="s">
        <v>462</v>
      </c>
      <c r="F47" s="410" t="s">
        <v>463</v>
      </c>
      <c r="G47" s="514" t="s">
        <v>62</v>
      </c>
      <c r="H47" s="94"/>
      <c r="I47" s="42"/>
      <c r="J47" s="43"/>
      <c r="K47" s="759"/>
    </row>
    <row r="48" ht="14.25" customHeight="1" outlineLevel="1">
      <c r="A48" s="385">
        <v>38</v>
      </c>
      <c r="B48" s="182" t="s">
        <v>83</v>
      </c>
      <c r="C48" s="518" t="s">
        <v>147</v>
      </c>
      <c r="D48" s="41" t="s">
        <v>464</v>
      </c>
      <c r="E48" s="516" t="s">
        <v>465</v>
      </c>
      <c r="F48" s="410" t="s">
        <v>466</v>
      </c>
      <c r="G48" s="514" t="s">
        <v>62</v>
      </c>
      <c r="H48" s="94"/>
      <c r="I48" s="42"/>
      <c r="J48" s="43"/>
      <c r="K48" s="759"/>
    </row>
    <row r="49" ht="14.25" customHeight="1" outlineLevel="1">
      <c r="A49" s="385">
        <v>39</v>
      </c>
      <c r="B49" s="182" t="s">
        <v>83</v>
      </c>
      <c r="C49" s="518" t="s">
        <v>569</v>
      </c>
      <c r="D49" s="39" t="s">
        <v>570</v>
      </c>
      <c r="E49" s="516" t="s">
        <v>571</v>
      </c>
      <c r="F49" s="41" t="s">
        <v>572</v>
      </c>
      <c r="G49" s="763"/>
      <c r="H49" s="42"/>
      <c r="I49" s="42"/>
      <c r="J49" s="43"/>
      <c r="K49" s="759"/>
    </row>
    <row r="50" ht="14.25" customHeight="1" outlineLevel="1">
      <c r="A50" s="385">
        <v>40</v>
      </c>
      <c r="B50" s="182"/>
      <c r="C50" s="518"/>
      <c r="D50" s="39"/>
      <c r="E50" s="527"/>
      <c r="F50" s="410"/>
      <c r="G50" s="764"/>
      <c r="H50" s="42"/>
      <c r="I50" s="42"/>
      <c r="J50" s="43"/>
      <c r="K50" s="759"/>
    </row>
    <row r="51" ht="14.25" customHeight="1" outlineLevel="1">
      <c r="A51" s="385">
        <v>41</v>
      </c>
      <c r="B51" s="765"/>
      <c r="C51" s="177"/>
      <c r="D51" s="39"/>
      <c r="E51" s="268"/>
      <c r="F51" s="594"/>
      <c r="G51" s="551"/>
      <c r="H51" s="42"/>
      <c r="I51" s="42"/>
      <c r="J51" s="43"/>
      <c r="K51" s="44"/>
    </row>
    <row r="52" ht="14.25" customHeight="1" outlineLevel="1">
      <c r="A52" s="385">
        <v>42</v>
      </c>
      <c r="B52" s="536" t="s">
        <v>573</v>
      </c>
      <c r="C52" s="543" t="s">
        <v>49</v>
      </c>
      <c r="D52" s="536" t="s">
        <v>50</v>
      </c>
      <c r="E52" s="165">
        <v>1290000</v>
      </c>
      <c r="F52" s="543" t="s">
        <v>51</v>
      </c>
      <c r="G52" s="39"/>
      <c r="H52" s="42"/>
      <c r="I52" s="42"/>
      <c r="J52" s="43" t="s">
        <v>47</v>
      </c>
      <c r="K52" s="44"/>
    </row>
    <row r="53" ht="14.25" customHeight="1" outlineLevel="1">
      <c r="A53" s="385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5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5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5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5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5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5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5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5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5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5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5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5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5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5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5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5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5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5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5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5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5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5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5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5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5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5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5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5">
        <v>71</v>
      </c>
      <c r="B81" s="39"/>
      <c r="C81" s="39"/>
      <c r="D81" s="39"/>
      <c r="E81" s="40"/>
      <c r="F81" s="41"/>
      <c r="G81" s="39"/>
      <c r="H81" s="42"/>
      <c r="I81" s="42"/>
      <c r="J81" s="43"/>
      <c r="K81" s="44"/>
    </row>
    <row r="82" ht="14.25" customHeight="1" outlineLevel="1">
      <c r="A82" s="385">
        <v>72</v>
      </c>
      <c r="B82" s="39"/>
      <c r="C82" s="39"/>
      <c r="D82" s="39"/>
      <c r="E82" s="40"/>
      <c r="F82" s="41"/>
      <c r="G82" s="39"/>
      <c r="H82" s="42"/>
      <c r="I82" s="42"/>
      <c r="J82" s="43"/>
      <c r="K82" s="44"/>
    </row>
    <row r="83" ht="14.25" customHeight="1" outlineLevel="1">
      <c r="A83" s="385">
        <v>73</v>
      </c>
      <c r="B83" s="39"/>
      <c r="C83" s="39"/>
      <c r="D83" s="39"/>
      <c r="E83" s="40"/>
      <c r="F83" s="41"/>
      <c r="G83" s="39"/>
      <c r="H83" s="42"/>
      <c r="I83" s="42"/>
      <c r="J83" s="43"/>
      <c r="K83" s="44"/>
    </row>
    <row r="84" ht="14.25" customHeight="1" outlineLevel="1">
      <c r="A84" s="385">
        <v>74</v>
      </c>
      <c r="B84" s="39"/>
      <c r="C84" s="39"/>
      <c r="D84" s="39"/>
      <c r="E84" s="40"/>
      <c r="F84" s="41"/>
      <c r="G84" s="39"/>
      <c r="H84" s="42"/>
      <c r="I84" s="42"/>
      <c r="J84" s="43"/>
      <c r="K84" s="44"/>
    </row>
    <row r="85" ht="14.25" customHeight="1" outlineLevel="1">
      <c r="A85" s="385">
        <v>75</v>
      </c>
      <c r="B85" s="39"/>
      <c r="C85" s="39"/>
      <c r="D85" s="39"/>
      <c r="E85" s="40"/>
      <c r="F85" s="41"/>
      <c r="G85" s="41"/>
      <c r="H85" s="39"/>
      <c r="I85" s="43"/>
      <c r="J85" s="43"/>
      <c r="K85" s="44"/>
    </row>
    <row r="86" ht="14.25" customHeight="1" outlineLevel="1">
      <c r="A86" s="385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5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5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5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5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5">
        <v>81</v>
      </c>
      <c r="B91" s="39"/>
      <c r="C91" s="39"/>
      <c r="D91" s="39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5">
        <v>82</v>
      </c>
      <c r="B92" s="39"/>
      <c r="C92" s="39"/>
      <c r="D92" s="39"/>
      <c r="E92" s="40"/>
      <c r="F92" s="41"/>
      <c r="G92" s="39"/>
      <c r="H92" s="39"/>
      <c r="I92" s="39"/>
      <c r="J92" s="43"/>
      <c r="K92" s="44"/>
    </row>
    <row r="93" ht="14.25" customHeight="1" outlineLevel="1">
      <c r="A93" s="385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5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5">
        <v>85</v>
      </c>
      <c r="B95" s="39"/>
      <c r="C95" s="39"/>
      <c r="D95" s="41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5">
        <v>86</v>
      </c>
      <c r="B96" s="39"/>
      <c r="C96" s="39"/>
      <c r="D96" s="39"/>
      <c r="E96" s="40"/>
      <c r="F96" s="41"/>
      <c r="G96" s="41"/>
      <c r="H96" s="39"/>
      <c r="I96" s="39"/>
      <c r="J96" s="43"/>
      <c r="K96" s="44"/>
    </row>
    <row r="97" ht="14.25" customHeight="1" outlineLevel="1">
      <c r="A97" s="385">
        <v>87</v>
      </c>
      <c r="B97" s="39"/>
      <c r="C97" s="39"/>
      <c r="D97" s="39"/>
      <c r="E97" s="40"/>
      <c r="F97" s="41"/>
      <c r="G97" s="39"/>
      <c r="H97" s="39"/>
      <c r="I97" s="39"/>
      <c r="J97" s="43"/>
      <c r="K97" s="44"/>
    </row>
    <row r="98" ht="14.25" customHeight="1" outlineLevel="1">
      <c r="A98" s="385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5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5">
        <v>90</v>
      </c>
      <c r="B100" s="39"/>
      <c r="C100" s="39"/>
      <c r="D100" s="39"/>
      <c r="E100" s="40"/>
      <c r="F100" s="41"/>
      <c r="G100" s="39"/>
      <c r="H100" s="39"/>
      <c r="I100" s="39"/>
      <c r="J100" s="43"/>
      <c r="K100" s="44"/>
    </row>
    <row r="101" ht="14.25" customHeight="1" outlineLevel="1">
      <c r="A101" s="385">
        <v>91</v>
      </c>
      <c r="B101" s="39"/>
      <c r="C101" s="39"/>
      <c r="D101" s="39"/>
      <c r="E101" s="45"/>
      <c r="F101" s="41"/>
      <c r="G101" s="39"/>
      <c r="H101" s="39"/>
      <c r="I101" s="39"/>
      <c r="J101" s="43"/>
      <c r="K101" s="44"/>
    </row>
    <row r="102" ht="14.25" customHeight="1" outlineLevel="1">
      <c r="A102" s="385">
        <v>92</v>
      </c>
      <c r="B102" s="39"/>
      <c r="C102" s="39"/>
      <c r="D102" s="39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5">
        <v>93</v>
      </c>
      <c r="B103" s="39"/>
      <c r="C103" s="39"/>
      <c r="D103" s="39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5">
        <v>94</v>
      </c>
      <c r="B104" s="39"/>
      <c r="C104" s="39"/>
      <c r="D104" s="39"/>
      <c r="E104" s="40"/>
      <c r="F104" s="39"/>
      <c r="G104" s="39"/>
      <c r="H104" s="39"/>
      <c r="I104" s="39"/>
      <c r="J104" s="43"/>
      <c r="K104" s="44"/>
    </row>
    <row r="105" ht="14.25" customHeight="1" outlineLevel="1">
      <c r="A105" s="385">
        <v>95</v>
      </c>
      <c r="B105" s="46"/>
      <c r="C105" s="46"/>
      <c r="D105" s="46"/>
      <c r="E105" s="47"/>
      <c r="F105" s="48"/>
      <c r="G105" s="46"/>
      <c r="H105" s="46"/>
      <c r="I105" s="39"/>
      <c r="J105" s="43"/>
      <c r="K105" s="44"/>
    </row>
    <row r="106" ht="14.25" customHeight="1" outlineLevel="1">
      <c r="A106" s="385">
        <v>96</v>
      </c>
      <c r="B106" s="39"/>
      <c r="C106" s="39"/>
      <c r="D106" s="41"/>
      <c r="E106" s="40"/>
      <c r="F106" s="41"/>
      <c r="G106" s="39"/>
      <c r="H106" s="39"/>
      <c r="I106" s="39"/>
      <c r="J106" s="43"/>
      <c r="K106" s="44"/>
    </row>
    <row r="107" ht="14.25" customHeight="1" outlineLevel="1">
      <c r="A107" s="385">
        <v>97</v>
      </c>
      <c r="B107" s="39"/>
      <c r="C107" s="39"/>
      <c r="D107" s="41"/>
      <c r="E107" s="40"/>
      <c r="F107" s="41"/>
      <c r="G107" s="39"/>
      <c r="H107" s="39"/>
      <c r="I107" s="39"/>
      <c r="J107" s="43"/>
      <c r="K107" s="44"/>
    </row>
    <row r="108" ht="14.25" customHeight="1" outlineLevel="1">
      <c r="A108" s="385">
        <v>98</v>
      </c>
      <c r="B108" s="39"/>
      <c r="C108" s="39"/>
      <c r="D108" s="39"/>
      <c r="E108" s="45"/>
      <c r="F108" s="41"/>
      <c r="G108" s="39"/>
      <c r="H108" s="39"/>
      <c r="I108" s="39"/>
      <c r="J108" s="43"/>
      <c r="K108" s="44"/>
    </row>
    <row r="109" ht="14.25" customHeight="1" outlineLevel="1">
      <c r="A109" s="385">
        <v>99</v>
      </c>
      <c r="B109" s="49"/>
      <c r="C109" s="49"/>
      <c r="D109" s="49"/>
      <c r="E109" s="45"/>
      <c r="F109" s="50"/>
      <c r="G109" s="49"/>
      <c r="H109" s="49"/>
      <c r="I109" s="49"/>
      <c r="J109" s="43"/>
      <c r="K109" s="44"/>
    </row>
    <row r="110" ht="14.25" customHeight="1" outlineLevel="1">
      <c r="A110" s="385">
        <v>100</v>
      </c>
      <c r="B110" s="39"/>
      <c r="C110" s="39"/>
      <c r="D110" s="39"/>
      <c r="E110" s="45"/>
      <c r="F110" s="41"/>
      <c r="G110" s="51"/>
      <c r="H110" s="51"/>
      <c r="I110" s="52"/>
      <c r="J110" s="43"/>
      <c r="K110" s="44"/>
    </row>
    <row r="111" ht="14.25" customHeight="1" outlineLevel="1">
      <c r="A111" s="385">
        <v>101</v>
      </c>
      <c r="B111" s="39"/>
      <c r="C111" s="39"/>
      <c r="D111" s="39"/>
      <c r="E111" s="45"/>
      <c r="F111" s="41"/>
      <c r="G111" s="41"/>
      <c r="H111" s="39"/>
      <c r="I111" s="39"/>
      <c r="J111" s="43"/>
      <c r="K111" s="44"/>
    </row>
    <row r="112" ht="14.25" customHeight="1" outlineLevel="1">
      <c r="A112" s="385">
        <v>102</v>
      </c>
      <c r="B112" s="39"/>
      <c r="C112" s="39"/>
      <c r="D112" s="39"/>
      <c r="E112" s="45"/>
      <c r="F112" s="41"/>
      <c r="G112" s="41"/>
      <c r="H112" s="39"/>
      <c r="I112" s="39"/>
      <c r="J112" s="43"/>
      <c r="K112" s="44"/>
    </row>
    <row r="113" ht="14.25" customHeight="1" outlineLevel="1">
      <c r="A113" s="385">
        <v>103</v>
      </c>
      <c r="B113" s="53"/>
      <c r="C113" s="53"/>
      <c r="D113" s="53"/>
      <c r="E113" s="54"/>
      <c r="F113" s="55"/>
      <c r="G113" s="53"/>
      <c r="H113" s="53"/>
      <c r="I113" s="42"/>
      <c r="J113" s="43"/>
      <c r="K113" s="44"/>
    </row>
    <row r="114" ht="14.25" customHeight="1" outlineLevel="1">
      <c r="A114" s="385">
        <v>104</v>
      </c>
      <c r="B114" s="56"/>
      <c r="C114" s="56"/>
      <c r="D114" s="56"/>
      <c r="E114" s="54"/>
      <c r="F114" s="55"/>
      <c r="G114" s="53"/>
      <c r="H114" s="53"/>
      <c r="I114" s="42"/>
      <c r="J114" s="57"/>
      <c r="K114" s="58"/>
    </row>
    <row r="115" ht="14.25" customHeight="1" outlineLevel="1">
      <c r="A115" s="385">
        <v>105</v>
      </c>
      <c r="B115" s="56"/>
      <c r="C115" s="56"/>
      <c r="D115" s="56"/>
      <c r="E115" s="54"/>
      <c r="F115" s="55"/>
      <c r="G115" s="53"/>
      <c r="H115" s="53"/>
      <c r="I115" s="42"/>
      <c r="J115" s="57"/>
      <c r="K115" s="58"/>
    </row>
    <row r="116" ht="14.25" customHeight="1" outlineLevel="1">
      <c r="A116" s="385">
        <v>106</v>
      </c>
      <c r="B116" s="56"/>
      <c r="C116" s="56"/>
      <c r="D116" s="56"/>
      <c r="E116" s="54"/>
      <c r="F116" s="55"/>
      <c r="G116" s="53"/>
      <c r="H116" s="53"/>
      <c r="I116" s="42"/>
      <c r="J116" s="57"/>
      <c r="K116" s="58"/>
    </row>
    <row r="117" ht="14.25" customHeight="1" outlineLevel="1">
      <c r="A117" s="385">
        <v>107</v>
      </c>
      <c r="B117" s="56"/>
      <c r="C117" s="56"/>
      <c r="D117" s="56"/>
      <c r="E117" s="54"/>
      <c r="F117" s="55"/>
      <c r="G117" s="53"/>
      <c r="H117" s="53"/>
      <c r="I117" s="42"/>
      <c r="J117" s="57"/>
      <c r="K117" s="58"/>
    </row>
    <row r="118" ht="14.25" customHeight="1" outlineLevel="1">
      <c r="A118" s="385">
        <v>108</v>
      </c>
      <c r="B118" s="59"/>
      <c r="C118" s="59"/>
      <c r="D118" s="59"/>
      <c r="E118" s="60"/>
      <c r="F118" s="61"/>
      <c r="G118" s="59"/>
      <c r="H118" s="59"/>
      <c r="I118" s="59"/>
      <c r="J118" s="57"/>
      <c r="K118" s="58"/>
    </row>
    <row r="119" ht="14.25" customHeight="1" outlineLevel="1">
      <c r="A119" s="385">
        <v>109</v>
      </c>
      <c r="B119" s="59"/>
      <c r="C119" s="59"/>
      <c r="D119" s="59"/>
      <c r="E119" s="60"/>
      <c r="F119" s="61"/>
      <c r="G119" s="59"/>
      <c r="H119" s="59"/>
      <c r="I119" s="59"/>
      <c r="J119" s="57"/>
      <c r="K119" s="58"/>
    </row>
    <row r="120" ht="14.25" customHeight="1" outlineLevel="1">
      <c r="A120" s="385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ht="14.25" customHeight="1" outlineLevel="1">
      <c r="A121" s="385">
        <v>111</v>
      </c>
      <c r="B121" s="59"/>
      <c r="C121" s="59"/>
      <c r="D121" s="59"/>
      <c r="E121" s="60"/>
      <c r="F121" s="61"/>
      <c r="G121" s="61"/>
      <c r="H121" s="59"/>
      <c r="I121" s="59"/>
      <c r="J121" s="57"/>
      <c r="K121" s="58"/>
    </row>
    <row r="122" ht="14.25" customHeight="1" outlineLevel="1">
      <c r="A122" s="385">
        <v>112</v>
      </c>
      <c r="B122" s="59"/>
      <c r="C122" s="59"/>
      <c r="D122" s="59"/>
      <c r="E122" s="60"/>
      <c r="F122" s="61"/>
      <c r="G122" s="61"/>
      <c r="H122" s="59"/>
      <c r="I122" s="59"/>
      <c r="J122" s="57"/>
      <c r="K122" s="58"/>
    </row>
    <row r="123" ht="14.25" customHeight="1" outlineLevel="1">
      <c r="A123" s="385">
        <v>113</v>
      </c>
      <c r="B123" s="59"/>
      <c r="C123" s="59"/>
      <c r="D123" s="59"/>
      <c r="E123" s="60"/>
      <c r="F123" s="61"/>
      <c r="G123" s="61"/>
      <c r="H123" s="59"/>
      <c r="I123" s="59"/>
      <c r="J123" s="57"/>
      <c r="K123" s="58"/>
    </row>
    <row r="124" ht="14.25" customHeight="1" outlineLevel="1">
      <c r="A124" s="385">
        <v>114</v>
      </c>
      <c r="B124" s="59"/>
      <c r="C124" s="59"/>
      <c r="D124" s="59"/>
      <c r="E124" s="60"/>
      <c r="F124" s="61"/>
      <c r="G124" s="61"/>
      <c r="H124" s="59"/>
      <c r="I124" s="59"/>
      <c r="J124" s="57"/>
      <c r="K124" s="58"/>
    </row>
    <row r="125" s="21" customFormat="1" ht="18.75" customHeight="1" outlineLevel="1">
      <c r="A125" s="22"/>
      <c r="B125" s="23" t="s">
        <v>18</v>
      </c>
      <c r="C125" s="24"/>
      <c r="D125" s="25"/>
      <c r="E125" s="26"/>
      <c r="F125" s="23"/>
      <c r="G125" s="172"/>
      <c r="H125" s="23"/>
      <c r="I125" s="23"/>
      <c r="J125" s="23"/>
      <c r="K125" s="27"/>
    </row>
    <row r="126" ht="32.25" customHeight="1" outlineLevel="1">
      <c r="A126" s="62">
        <v>1</v>
      </c>
      <c r="B126" s="696" t="s">
        <v>209</v>
      </c>
      <c r="C126" s="696" t="s">
        <v>213</v>
      </c>
      <c r="D126" s="766" t="s">
        <v>574</v>
      </c>
      <c r="E126" s="767" t="s">
        <v>468</v>
      </c>
      <c r="F126" s="766" t="s">
        <v>575</v>
      </c>
      <c r="G126" s="698"/>
      <c r="H126" s="349"/>
      <c r="I126" s="107"/>
      <c r="J126" s="354"/>
      <c r="K126" s="355"/>
    </row>
    <row r="127" ht="14.25" customHeight="1" outlineLevel="1">
      <c r="A127" s="256">
        <v>2</v>
      </c>
      <c r="B127" s="249" t="s">
        <v>199</v>
      </c>
      <c r="C127" s="249" t="s">
        <v>200</v>
      </c>
      <c r="D127" s="249" t="s">
        <v>201</v>
      </c>
      <c r="E127" s="250" t="s">
        <v>202</v>
      </c>
      <c r="F127" s="330" t="s">
        <v>203</v>
      </c>
      <c r="G127" s="182" t="s">
        <v>62</v>
      </c>
      <c r="H127" s="245"/>
      <c r="I127" s="59"/>
      <c r="J127" s="57"/>
      <c r="K127" s="58"/>
    </row>
    <row r="128" ht="14.25" customHeight="1" outlineLevel="1">
      <c r="A128" s="68">
        <v>3</v>
      </c>
      <c r="B128" s="253" t="s">
        <v>204</v>
      </c>
      <c r="C128" s="253" t="s">
        <v>205</v>
      </c>
      <c r="D128" s="253" t="s">
        <v>206</v>
      </c>
      <c r="E128" s="552" t="s">
        <v>207</v>
      </c>
      <c r="F128" s="255" t="s">
        <v>208</v>
      </c>
      <c r="G128" s="182" t="s">
        <v>62</v>
      </c>
      <c r="H128" s="245"/>
      <c r="I128" s="59"/>
      <c r="J128" s="57"/>
      <c r="K128" s="58"/>
    </row>
    <row r="129" ht="14.25" customHeight="1" outlineLevel="1">
      <c r="A129" s="68">
        <v>4</v>
      </c>
      <c r="B129" s="553" t="s">
        <v>406</v>
      </c>
      <c r="C129" s="553" t="s">
        <v>407</v>
      </c>
      <c r="D129" s="553" t="s">
        <v>408</v>
      </c>
      <c r="E129" s="254" t="s">
        <v>409</v>
      </c>
      <c r="F129" s="558" t="s">
        <v>410</v>
      </c>
      <c r="G129" s="476"/>
      <c r="H129" s="245"/>
      <c r="I129" s="59"/>
      <c r="J129" s="57"/>
      <c r="K129" s="58"/>
    </row>
    <row r="130" ht="14.25" customHeight="1" outlineLevel="1">
      <c r="A130" s="256">
        <v>5</v>
      </c>
      <c r="B130" s="555" t="s">
        <v>406</v>
      </c>
      <c r="C130" s="555" t="s">
        <v>411</v>
      </c>
      <c r="D130" s="556" t="s">
        <v>412</v>
      </c>
      <c r="E130" s="663" t="s">
        <v>413</v>
      </c>
      <c r="F130" s="558" t="s">
        <v>410</v>
      </c>
      <c r="G130" s="476"/>
      <c r="H130" s="245"/>
      <c r="I130" s="59"/>
      <c r="J130" s="57"/>
      <c r="K130" s="58"/>
    </row>
    <row r="131" s="347" customFormat="1" ht="128.25" outlineLevel="1">
      <c r="A131" s="425">
        <v>6</v>
      </c>
      <c r="B131" s="107" t="s">
        <v>209</v>
      </c>
      <c r="C131" s="107" t="s">
        <v>576</v>
      </c>
      <c r="D131" s="107" t="s">
        <v>577</v>
      </c>
      <c r="E131" s="768" t="s">
        <v>578</v>
      </c>
      <c r="F131" s="426" t="s">
        <v>579</v>
      </c>
      <c r="G131" s="426"/>
      <c r="H131" s="107"/>
      <c r="I131" s="107" t="s">
        <v>580</v>
      </c>
      <c r="J131" s="428"/>
      <c r="K131" s="429"/>
    </row>
    <row r="132" s="347" customFormat="1" ht="99.75" outlineLevel="1">
      <c r="A132" s="425">
        <v>7</v>
      </c>
      <c r="B132" s="107" t="s">
        <v>209</v>
      </c>
      <c r="C132" s="107" t="s">
        <v>581</v>
      </c>
      <c r="D132" s="107" t="s">
        <v>582</v>
      </c>
      <c r="E132" s="768" t="s">
        <v>583</v>
      </c>
      <c r="F132" s="107" t="s">
        <v>584</v>
      </c>
      <c r="G132" s="107"/>
      <c r="H132" s="107"/>
      <c r="I132" s="107" t="s">
        <v>585</v>
      </c>
      <c r="J132" s="428"/>
      <c r="K132" s="429"/>
    </row>
    <row r="133" s="347" customFormat="1" ht="28.5" outlineLevel="1">
      <c r="A133" s="425">
        <v>8</v>
      </c>
      <c r="B133" s="107" t="s">
        <v>209</v>
      </c>
      <c r="C133" s="107" t="s">
        <v>586</v>
      </c>
      <c r="D133" s="107" t="s">
        <v>587</v>
      </c>
      <c r="E133" s="768" t="s">
        <v>588</v>
      </c>
      <c r="F133" s="107" t="s">
        <v>589</v>
      </c>
      <c r="G133" s="107"/>
      <c r="H133" s="107"/>
      <c r="I133" s="107"/>
      <c r="J133" s="428"/>
      <c r="K133" s="429"/>
    </row>
    <row r="134" ht="14.25" customHeight="1" outlineLevel="1">
      <c r="A134" s="68">
        <v>9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10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11</v>
      </c>
      <c r="B136" s="59"/>
      <c r="C136" s="59"/>
      <c r="D136" s="59"/>
      <c r="E136" s="60"/>
      <c r="F136" s="61"/>
      <c r="G136" s="59"/>
      <c r="H136" s="59"/>
      <c r="I136" s="106"/>
      <c r="J136" s="57"/>
      <c r="K136" s="58"/>
    </row>
    <row r="137" ht="14.25" customHeight="1" outlineLevel="1">
      <c r="A137" s="68">
        <v>12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13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14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15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8">
        <v>16</v>
      </c>
      <c r="B141" s="59"/>
      <c r="C141" s="59"/>
      <c r="D141" s="59"/>
      <c r="E141" s="60"/>
      <c r="F141" s="61"/>
      <c r="G141" s="59"/>
      <c r="H141" s="59"/>
      <c r="I141" s="59"/>
      <c r="J141" s="57"/>
      <c r="K141" s="58"/>
    </row>
    <row r="142" ht="14.25" customHeight="1" outlineLevel="1">
      <c r="A142" s="68">
        <v>17</v>
      </c>
      <c r="B142" s="59"/>
      <c r="C142" s="59"/>
      <c r="D142" s="59"/>
      <c r="E142" s="60"/>
      <c r="F142" s="61"/>
      <c r="G142" s="59"/>
      <c r="H142" s="59"/>
      <c r="I142" s="59"/>
      <c r="J142" s="57"/>
      <c r="K142" s="58"/>
    </row>
    <row r="143" ht="14.25" customHeight="1" outlineLevel="1">
      <c r="A143" s="68">
        <v>18</v>
      </c>
      <c r="B143" s="59"/>
      <c r="C143" s="59"/>
      <c r="D143" s="59"/>
      <c r="E143" s="60"/>
      <c r="F143" s="61"/>
      <c r="G143" s="59"/>
      <c r="H143" s="59"/>
      <c r="I143" s="59"/>
      <c r="J143" s="57"/>
      <c r="K143" s="58"/>
    </row>
    <row r="144" ht="14.25" customHeight="1" outlineLevel="1">
      <c r="A144" s="68">
        <v>19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9">
        <v>20</v>
      </c>
      <c r="B145" s="70"/>
      <c r="C145" s="70"/>
      <c r="D145" s="70"/>
      <c r="E145" s="71"/>
      <c r="F145" s="72"/>
      <c r="G145" s="70"/>
      <c r="H145" s="70"/>
      <c r="I145" s="70"/>
      <c r="J145" s="73"/>
      <c r="K145" s="74"/>
    </row>
    <row r="146" s="21" customFormat="1" ht="18.75" customHeight="1" outlineLevel="1">
      <c r="A146" s="22"/>
      <c r="B146" s="172" t="s">
        <v>19</v>
      </c>
      <c r="C146" s="173"/>
      <c r="D146" s="174"/>
      <c r="E146" s="26"/>
      <c r="F146" s="172"/>
      <c r="G146" s="23"/>
      <c r="H146" s="23"/>
      <c r="I146" s="23"/>
      <c r="J146" s="23"/>
      <c r="K146" s="27"/>
    </row>
    <row r="147" ht="14.25" customHeight="1" outlineLevel="1">
      <c r="A147" s="62">
        <v>1</v>
      </c>
      <c r="B147" s="734" t="s">
        <v>222</v>
      </c>
      <c r="C147" s="290" t="s">
        <v>223</v>
      </c>
      <c r="D147" s="290" t="s">
        <v>227</v>
      </c>
      <c r="E147" s="679" t="s">
        <v>494</v>
      </c>
      <c r="F147" s="290" t="s">
        <v>460</v>
      </c>
      <c r="G147" s="63"/>
      <c r="H147" s="63"/>
      <c r="I147" s="63"/>
      <c r="J147" s="66"/>
      <c r="K147" s="67"/>
    </row>
    <row r="148" ht="14.25" customHeight="1" outlineLevel="1">
      <c r="A148" s="68">
        <v>2</v>
      </c>
      <c r="B148" s="572" t="s">
        <v>153</v>
      </c>
      <c r="C148" s="276" t="s">
        <v>223</v>
      </c>
      <c r="D148" s="735" t="s">
        <v>227</v>
      </c>
      <c r="E148" s="443" t="s">
        <v>242</v>
      </c>
      <c r="F148" s="572" t="s">
        <v>228</v>
      </c>
      <c r="G148" s="575"/>
      <c r="H148" s="575"/>
      <c r="I148" s="575" t="s">
        <v>231</v>
      </c>
      <c r="J148" s="576"/>
      <c r="K148" s="577" t="s">
        <v>230</v>
      </c>
    </row>
    <row r="149" ht="14.25" customHeight="1" outlineLevel="1">
      <c r="A149" s="68">
        <v>3</v>
      </c>
      <c r="B149" s="76" t="s">
        <v>153</v>
      </c>
      <c r="C149" s="300" t="s">
        <v>243</v>
      </c>
      <c r="D149" s="61" t="s">
        <v>244</v>
      </c>
      <c r="E149" s="443" t="s">
        <v>245</v>
      </c>
      <c r="F149" s="61" t="s">
        <v>246</v>
      </c>
      <c r="G149" s="99"/>
      <c r="H149" s="99" t="s">
        <v>141</v>
      </c>
      <c r="I149" s="99"/>
      <c r="J149" s="302"/>
      <c r="K149" s="303"/>
    </row>
    <row r="150" ht="14.25" customHeight="1" outlineLevel="1">
      <c r="A150" s="68">
        <v>4</v>
      </c>
      <c r="B150" s="281" t="s">
        <v>153</v>
      </c>
      <c r="C150" s="769" t="s">
        <v>233</v>
      </c>
      <c r="D150" s="59" t="s">
        <v>510</v>
      </c>
      <c r="E150" s="443" t="s">
        <v>511</v>
      </c>
      <c r="F150" s="61" t="s">
        <v>512</v>
      </c>
      <c r="G150" s="59"/>
      <c r="H150" s="59"/>
      <c r="I150" s="59"/>
      <c r="J150" s="57"/>
      <c r="K150" s="58"/>
    </row>
    <row r="151" ht="14.25" customHeight="1" outlineLevel="1">
      <c r="A151" s="77">
        <v>5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s="21" customFormat="1" ht="18.75" customHeight="1" outlineLevel="1">
      <c r="A152" s="370"/>
      <c r="B152" s="371" t="s">
        <v>20</v>
      </c>
      <c r="C152" s="372"/>
      <c r="D152" s="373"/>
      <c r="E152" s="374"/>
      <c r="F152" s="371"/>
      <c r="G152" s="371"/>
      <c r="H152" s="371"/>
      <c r="I152" s="371"/>
      <c r="J152" s="371"/>
      <c r="K152" s="375"/>
    </row>
    <row r="153" ht="14.25" customHeight="1" outlineLevel="1">
      <c r="A153" s="430">
        <v>1</v>
      </c>
      <c r="B153" s="309" t="s">
        <v>45</v>
      </c>
      <c r="C153" s="309" t="s">
        <v>256</v>
      </c>
      <c r="D153" s="309"/>
      <c r="E153" s="770" t="s">
        <v>424</v>
      </c>
      <c r="F153" s="309" t="s">
        <v>257</v>
      </c>
      <c r="G153" s="438"/>
      <c r="H153" s="579"/>
      <c r="I153" s="579"/>
      <c r="J153" s="580"/>
      <c r="K153" s="581"/>
    </row>
    <row r="154" ht="14.25" customHeight="1" outlineLevel="1">
      <c r="A154" s="256">
        <v>2</v>
      </c>
      <c r="B154" s="707" t="s">
        <v>45</v>
      </c>
      <c r="C154" s="707" t="s">
        <v>256</v>
      </c>
      <c r="D154" s="707"/>
      <c r="E154" s="250" t="s">
        <v>424</v>
      </c>
      <c r="F154" s="707" t="s">
        <v>257</v>
      </c>
      <c r="G154" s="771"/>
      <c r="H154" s="772"/>
      <c r="I154" s="772"/>
      <c r="J154" s="773"/>
      <c r="K154" s="774"/>
    </row>
    <row r="155" ht="14.25" customHeight="1" outlineLevel="1">
      <c r="A155" s="256">
        <v>3</v>
      </c>
      <c r="B155" s="707" t="s">
        <v>45</v>
      </c>
      <c r="C155" s="707" t="s">
        <v>256</v>
      </c>
      <c r="D155" s="707"/>
      <c r="E155" s="250" t="s">
        <v>424</v>
      </c>
      <c r="F155" s="707" t="s">
        <v>257</v>
      </c>
      <c r="G155" s="707"/>
      <c r="H155" s="191"/>
      <c r="I155" s="191"/>
      <c r="J155" s="277"/>
      <c r="K155" s="277"/>
    </row>
    <row r="156" ht="14.25" customHeight="1" outlineLevel="1">
      <c r="A156" s="68">
        <v>4</v>
      </c>
      <c r="B156" s="579"/>
      <c r="C156" s="579"/>
      <c r="D156" s="579"/>
      <c r="E156" s="358"/>
      <c r="F156" s="710"/>
      <c r="G156" s="579"/>
      <c r="H156" s="579"/>
      <c r="I156" s="579"/>
      <c r="J156" s="580"/>
      <c r="K156" s="581"/>
    </row>
    <row r="157" ht="14.25" customHeight="1" outlineLevel="1">
      <c r="A157" s="68">
        <v>5</v>
      </c>
      <c r="B157" s="56"/>
      <c r="C157" s="56"/>
      <c r="D157" s="56"/>
      <c r="E157" s="78"/>
      <c r="F157" s="79"/>
      <c r="G157" s="56"/>
      <c r="H157" s="56"/>
      <c r="I157" s="56"/>
      <c r="J157" s="80"/>
      <c r="K157" s="81"/>
    </row>
    <row r="158" ht="14.25" customHeight="1" outlineLevel="1">
      <c r="A158" s="68">
        <v>6</v>
      </c>
      <c r="B158" s="70"/>
      <c r="C158" s="70"/>
      <c r="D158" s="70"/>
      <c r="E158" s="71"/>
      <c r="F158" s="72"/>
      <c r="G158" s="70"/>
      <c r="H158" s="70"/>
      <c r="I158" s="70"/>
      <c r="J158" s="73"/>
      <c r="K158" s="74"/>
    </row>
    <row r="159" s="21" customFormat="1" ht="23.25" customHeight="1">
      <c r="A159" s="82" t="s">
        <v>21</v>
      </c>
      <c r="B159" s="83"/>
      <c r="C159" s="83"/>
      <c r="D159" s="84"/>
      <c r="E159" s="85">
        <f>SUM(E10:E158)</f>
        <v>1290000</v>
      </c>
    </row>
    <row r="160" s="21" customFormat="1" ht="23.25" customHeight="1">
      <c r="A160" s="82" t="s">
        <v>22</v>
      </c>
      <c r="B160" s="83"/>
      <c r="C160" s="83"/>
      <c r="D160" s="84"/>
      <c r="E160" s="85">
        <f>E4-E159</f>
        <v>-738817.03000000003</v>
      </c>
      <c r="F160" s="86"/>
    </row>
    <row r="161" ht="27.75" customHeight="1">
      <c r="E161" s="1"/>
    </row>
    <row r="162" ht="29.25" customHeight="1">
      <c r="A162" s="9" t="s">
        <v>23</v>
      </c>
      <c r="B162" s="10"/>
      <c r="C162" s="10"/>
      <c r="D162" s="11"/>
      <c r="E162" s="12">
        <f>SUM(E163:E164)</f>
        <v>703091.56999999995</v>
      </c>
      <c r="F162" s="163" t="s">
        <v>44</v>
      </c>
      <c r="G162" s="13"/>
      <c r="H162" s="13"/>
      <c r="I162" s="13"/>
    </row>
    <row r="163" ht="15" customHeight="1">
      <c r="A163" s="14"/>
      <c r="B163" s="15"/>
      <c r="C163" s="15"/>
      <c r="D163" s="16"/>
      <c r="E163" s="17"/>
      <c r="F163" s="13"/>
      <c r="G163" s="13"/>
      <c r="H163" s="13"/>
      <c r="I163" s="13"/>
    </row>
    <row r="164" ht="15" customHeight="1">
      <c r="A164" s="14" t="s">
        <v>24</v>
      </c>
      <c r="B164" s="15"/>
      <c r="C164" s="15"/>
      <c r="D164" s="16"/>
      <c r="E164" s="17">
        <v>703091.56999999995</v>
      </c>
      <c r="F164" s="13"/>
      <c r="G164" s="13"/>
      <c r="H164" s="13"/>
      <c r="I164" s="13"/>
    </row>
    <row r="165" ht="6" customHeight="1">
      <c r="A165" s="13"/>
      <c r="B165" s="13"/>
      <c r="C165" s="13"/>
      <c r="D165" s="13"/>
      <c r="E165" s="13"/>
      <c r="F165" s="13"/>
      <c r="G165" s="13"/>
      <c r="H165" s="13"/>
      <c r="I165" s="13"/>
    </row>
    <row r="166" ht="26.25" customHeight="1" outlineLevel="1">
      <c r="A166" s="87" t="s">
        <v>6</v>
      </c>
      <c r="B166" s="87" t="s">
        <v>7</v>
      </c>
      <c r="C166" s="87" t="s">
        <v>8</v>
      </c>
      <c r="D166" s="87" t="s">
        <v>9</v>
      </c>
      <c r="E166" s="88" t="s">
        <v>10</v>
      </c>
      <c r="F166" s="87" t="s">
        <v>11</v>
      </c>
      <c r="G166" s="87" t="s">
        <v>12</v>
      </c>
      <c r="H166" s="89" t="s">
        <v>13</v>
      </c>
      <c r="I166" s="87" t="s">
        <v>14</v>
      </c>
      <c r="J166" s="87" t="s">
        <v>15</v>
      </c>
      <c r="K166" s="87" t="s">
        <v>16</v>
      </c>
    </row>
    <row r="167" s="21" customFormat="1" ht="20.25" customHeight="1" outlineLevel="1">
      <c r="A167" s="22"/>
      <c r="B167" s="23" t="s">
        <v>25</v>
      </c>
      <c r="C167" s="24"/>
      <c r="D167" s="25"/>
      <c r="E167" s="26"/>
      <c r="F167" s="23"/>
      <c r="G167" s="23"/>
      <c r="H167" s="23"/>
      <c r="I167" s="23"/>
      <c r="J167" s="23"/>
      <c r="K167" s="27"/>
    </row>
    <row r="168" ht="14.25" customHeight="1" outlineLevel="1">
      <c r="A168" s="62">
        <v>1</v>
      </c>
      <c r="B168" s="39" t="s">
        <v>430</v>
      </c>
      <c r="C168" s="39" t="s">
        <v>590</v>
      </c>
      <c r="D168" s="39" t="s">
        <v>591</v>
      </c>
      <c r="E168" s="211" t="s">
        <v>592</v>
      </c>
      <c r="F168" s="41" t="s">
        <v>593</v>
      </c>
      <c r="G168" s="39"/>
      <c r="H168" s="42"/>
      <c r="I168" s="59"/>
      <c r="J168" s="66"/>
      <c r="K168" s="67"/>
    </row>
    <row r="169" ht="14.25" customHeight="1" outlineLevel="1">
      <c r="A169" s="430">
        <v>1</v>
      </c>
      <c r="B169" s="39" t="s">
        <v>430</v>
      </c>
      <c r="C169" s="39" t="s">
        <v>590</v>
      </c>
      <c r="D169" s="39" t="s">
        <v>594</v>
      </c>
      <c r="E169" s="211" t="s">
        <v>595</v>
      </c>
      <c r="F169" s="41" t="s">
        <v>596</v>
      </c>
      <c r="G169" s="39"/>
      <c r="H169" s="42"/>
      <c r="I169" s="59"/>
      <c r="J169" s="302"/>
      <c r="K169" s="303"/>
    </row>
    <row r="170" ht="14.25" customHeight="1" outlineLevel="1">
      <c r="A170" s="68">
        <v>2</v>
      </c>
      <c r="B170" s="39" t="s">
        <v>430</v>
      </c>
      <c r="C170" s="39" t="s">
        <v>590</v>
      </c>
      <c r="D170" s="39" t="s">
        <v>597</v>
      </c>
      <c r="E170" s="211" t="s">
        <v>598</v>
      </c>
      <c r="F170" s="41" t="s">
        <v>599</v>
      </c>
      <c r="G170" s="39"/>
      <c r="H170" s="42"/>
      <c r="I170" s="59"/>
      <c r="J170" s="57"/>
      <c r="K170" s="58"/>
    </row>
    <row r="171" ht="14.25" customHeight="1" outlineLevel="1">
      <c r="A171" s="68">
        <v>3</v>
      </c>
      <c r="B171" s="39" t="s">
        <v>259</v>
      </c>
      <c r="C171" s="39" t="s">
        <v>260</v>
      </c>
      <c r="D171" s="39" t="s">
        <v>261</v>
      </c>
      <c r="E171" s="211" t="s">
        <v>262</v>
      </c>
      <c r="F171" s="41" t="s">
        <v>263</v>
      </c>
      <c r="G171" s="39"/>
      <c r="H171" s="42"/>
      <c r="I171" s="59"/>
      <c r="J171" s="57"/>
      <c r="K171" s="58"/>
    </row>
    <row r="172" ht="14.25" customHeight="1" outlineLevel="1">
      <c r="A172" s="68">
        <v>4</v>
      </c>
      <c r="B172" s="39" t="s">
        <v>259</v>
      </c>
      <c r="C172" s="39" t="s">
        <v>260</v>
      </c>
      <c r="D172" s="39" t="s">
        <v>264</v>
      </c>
      <c r="E172" s="211" t="s">
        <v>475</v>
      </c>
      <c r="F172" s="323" t="s">
        <v>266</v>
      </c>
      <c r="G172" s="39"/>
      <c r="H172" s="42"/>
      <c r="I172" s="59"/>
      <c r="J172" s="57"/>
      <c r="K172" s="58"/>
    </row>
    <row r="173" ht="14.25" customHeight="1" outlineLevel="1">
      <c r="A173" s="68">
        <v>5</v>
      </c>
      <c r="B173" s="185" t="s">
        <v>259</v>
      </c>
      <c r="C173" s="185" t="s">
        <v>260</v>
      </c>
      <c r="D173" s="323" t="s">
        <v>484</v>
      </c>
      <c r="E173" s="738" t="s">
        <v>514</v>
      </c>
      <c r="F173" s="228" t="s">
        <v>486</v>
      </c>
      <c r="G173" s="177"/>
      <c r="H173" s="42"/>
      <c r="I173" s="59"/>
      <c r="J173" s="57"/>
      <c r="K173" s="58"/>
    </row>
    <row r="174" ht="14.25" customHeight="1" outlineLevel="1">
      <c r="A174" s="68">
        <v>6</v>
      </c>
      <c r="B174" s="775" t="s">
        <v>259</v>
      </c>
      <c r="C174" s="249" t="s">
        <v>267</v>
      </c>
      <c r="D174" s="228" t="s">
        <v>515</v>
      </c>
      <c r="E174" s="213" t="s">
        <v>516</v>
      </c>
      <c r="F174" s="228" t="s">
        <v>517</v>
      </c>
      <c r="G174" s="177"/>
      <c r="H174" s="42"/>
      <c r="I174" s="59"/>
      <c r="J174" s="57"/>
      <c r="K174" s="58"/>
    </row>
    <row r="175" ht="14.25" customHeight="1" outlineLevel="1">
      <c r="A175" s="68">
        <v>7</v>
      </c>
      <c r="B175" s="551" t="s">
        <v>259</v>
      </c>
      <c r="C175" s="551" t="s">
        <v>267</v>
      </c>
      <c r="D175" s="551" t="s">
        <v>268</v>
      </c>
      <c r="E175" s="595" t="s">
        <v>550</v>
      </c>
      <c r="F175" s="594" t="s">
        <v>270</v>
      </c>
      <c r="G175" s="39"/>
      <c r="H175" s="42"/>
      <c r="I175" s="59"/>
      <c r="J175" s="57"/>
      <c r="K175" s="58"/>
    </row>
    <row r="176" ht="14.25" customHeight="1" outlineLevel="1">
      <c r="A176" s="68">
        <v>8</v>
      </c>
      <c r="B176" s="39" t="s">
        <v>259</v>
      </c>
      <c r="C176" s="39" t="s">
        <v>109</v>
      </c>
      <c r="D176" s="39" t="s">
        <v>271</v>
      </c>
      <c r="E176" s="314" t="s">
        <v>272</v>
      </c>
      <c r="F176" s="315" t="s">
        <v>273</v>
      </c>
      <c r="G176" s="177"/>
      <c r="H176" s="42"/>
      <c r="I176" s="59"/>
      <c r="J176" s="57"/>
      <c r="K176" s="58"/>
    </row>
    <row r="177" ht="14.25" customHeight="1" outlineLevel="1">
      <c r="A177" s="68">
        <v>9</v>
      </c>
      <c r="B177" s="185" t="s">
        <v>274</v>
      </c>
      <c r="C177" s="39" t="s">
        <v>275</v>
      </c>
      <c r="D177" s="185" t="s">
        <v>276</v>
      </c>
      <c r="E177" s="314" t="s">
        <v>277</v>
      </c>
      <c r="F177" s="316" t="s">
        <v>278</v>
      </c>
      <c r="G177" s="177"/>
      <c r="H177" s="42"/>
      <c r="I177" s="59"/>
      <c r="J177" s="57"/>
      <c r="K177" s="58"/>
    </row>
    <row r="178" ht="14.25" customHeight="1" outlineLevel="1">
      <c r="A178" s="68">
        <v>10</v>
      </c>
      <c r="B178" s="776" t="s">
        <v>279</v>
      </c>
      <c r="C178" s="714" t="s">
        <v>136</v>
      </c>
      <c r="D178" s="715" t="s">
        <v>280</v>
      </c>
      <c r="E178" s="716" t="s">
        <v>281</v>
      </c>
      <c r="F178" s="715" t="s">
        <v>282</v>
      </c>
      <c r="G178" s="177"/>
      <c r="H178" s="42"/>
      <c r="I178" s="59"/>
      <c r="J178" s="57"/>
      <c r="K178" s="58"/>
    </row>
    <row r="179" ht="14.25" customHeight="1" outlineLevel="1">
      <c r="A179" s="68">
        <v>11</v>
      </c>
      <c r="B179" s="777" t="s">
        <v>283</v>
      </c>
      <c r="C179" s="319" t="s">
        <v>284</v>
      </c>
      <c r="D179" s="319" t="s">
        <v>285</v>
      </c>
      <c r="E179" s="719" t="s">
        <v>286</v>
      </c>
      <c r="F179" s="319" t="s">
        <v>287</v>
      </c>
      <c r="G179" s="177"/>
      <c r="H179" s="42"/>
      <c r="I179" s="59"/>
      <c r="J179" s="57"/>
      <c r="K179" s="58"/>
    </row>
    <row r="180" ht="14.25" customHeight="1" outlineLevel="1">
      <c r="A180" s="68">
        <v>12</v>
      </c>
      <c r="B180" s="775" t="s">
        <v>259</v>
      </c>
      <c r="C180" s="228" t="s">
        <v>275</v>
      </c>
      <c r="D180" s="228" t="s">
        <v>520</v>
      </c>
      <c r="E180" s="720" t="s">
        <v>277</v>
      </c>
      <c r="F180" s="228" t="s">
        <v>521</v>
      </c>
      <c r="G180" s="177"/>
      <c r="H180" s="42"/>
      <c r="I180" s="59"/>
      <c r="J180" s="57"/>
      <c r="K180" s="58"/>
    </row>
    <row r="181" ht="14.25" customHeight="1" outlineLevel="1">
      <c r="A181" s="68">
        <v>13</v>
      </c>
      <c r="B181" s="775" t="s">
        <v>259</v>
      </c>
      <c r="C181" s="249" t="s">
        <v>275</v>
      </c>
      <c r="D181" s="210" t="s">
        <v>291</v>
      </c>
      <c r="E181" s="326" t="s">
        <v>277</v>
      </c>
      <c r="F181" s="228" t="s">
        <v>292</v>
      </c>
      <c r="G181" s="177"/>
      <c r="H181" s="42"/>
      <c r="I181" s="59"/>
      <c r="J181" s="57"/>
      <c r="K181" s="58"/>
    </row>
    <row r="182" ht="14.25" customHeight="1" outlineLevel="1">
      <c r="A182" s="68">
        <v>14</v>
      </c>
      <c r="B182" s="775" t="s">
        <v>259</v>
      </c>
      <c r="C182" s="249" t="s">
        <v>275</v>
      </c>
      <c r="D182" s="228" t="s">
        <v>293</v>
      </c>
      <c r="E182" s="326" t="s">
        <v>277</v>
      </c>
      <c r="F182" s="228" t="s">
        <v>294</v>
      </c>
      <c r="G182" s="177"/>
      <c r="H182" s="42"/>
      <c r="I182" s="59"/>
      <c r="J182" s="57"/>
      <c r="K182" s="58"/>
    </row>
    <row r="183" ht="14.25" customHeight="1" outlineLevel="1">
      <c r="A183" s="68">
        <v>15</v>
      </c>
      <c r="B183" s="775" t="s">
        <v>259</v>
      </c>
      <c r="C183" s="249" t="s">
        <v>275</v>
      </c>
      <c r="D183" s="228" t="s">
        <v>295</v>
      </c>
      <c r="E183" s="326" t="s">
        <v>277</v>
      </c>
      <c r="F183" s="228" t="s">
        <v>296</v>
      </c>
      <c r="G183" s="177"/>
      <c r="H183" s="42"/>
      <c r="I183" s="59"/>
      <c r="J183" s="57"/>
      <c r="K183" s="58"/>
    </row>
    <row r="184" ht="14.25" customHeight="1" outlineLevel="1">
      <c r="A184" s="256">
        <v>16</v>
      </c>
      <c r="B184" s="210" t="s">
        <v>259</v>
      </c>
      <c r="C184" s="249" t="s">
        <v>275</v>
      </c>
      <c r="D184" s="228" t="s">
        <v>297</v>
      </c>
      <c r="E184" s="326" t="s">
        <v>277</v>
      </c>
      <c r="F184" s="228" t="s">
        <v>298</v>
      </c>
      <c r="G184" s="177"/>
      <c r="H184" s="42"/>
      <c r="I184" s="59"/>
      <c r="J184" s="57"/>
      <c r="K184" s="58"/>
    </row>
    <row r="185" ht="14.25" customHeight="1" outlineLevel="1">
      <c r="A185" s="68">
        <v>17</v>
      </c>
      <c r="B185" s="775" t="s">
        <v>259</v>
      </c>
      <c r="C185" s="249" t="s">
        <v>275</v>
      </c>
      <c r="D185" s="228" t="s">
        <v>289</v>
      </c>
      <c r="E185" s="213" t="s">
        <v>277</v>
      </c>
      <c r="F185" s="228" t="s">
        <v>290</v>
      </c>
      <c r="G185" s="177"/>
      <c r="H185" s="42"/>
      <c r="I185" s="59"/>
      <c r="J185" s="57"/>
      <c r="K185" s="58"/>
    </row>
    <row r="186" ht="14.25" customHeight="1" outlineLevel="1">
      <c r="A186" s="68">
        <v>18</v>
      </c>
      <c r="B186" s="778" t="s">
        <v>259</v>
      </c>
      <c r="C186" s="329" t="s">
        <v>275</v>
      </c>
      <c r="D186" s="330" t="s">
        <v>299</v>
      </c>
      <c r="E186" s="331" t="s">
        <v>277</v>
      </c>
      <c r="F186" s="330" t="s">
        <v>300</v>
      </c>
      <c r="G186" s="177"/>
      <c r="H186" s="42"/>
      <c r="I186" s="59"/>
      <c r="J186" s="57"/>
      <c r="K186" s="58"/>
    </row>
    <row r="187" ht="14.25" customHeight="1" outlineLevel="1">
      <c r="A187" s="68">
        <v>19</v>
      </c>
      <c r="B187" s="39" t="s">
        <v>259</v>
      </c>
      <c r="C187" s="42" t="s">
        <v>275</v>
      </c>
      <c r="D187" s="94" t="s">
        <v>301</v>
      </c>
      <c r="E187" s="332" t="s">
        <v>277</v>
      </c>
      <c r="F187" s="333" t="s">
        <v>302</v>
      </c>
      <c r="G187" s="177"/>
      <c r="H187" s="42"/>
      <c r="I187" s="59"/>
      <c r="J187" s="57"/>
      <c r="K187" s="58"/>
    </row>
    <row r="188" ht="14.25" customHeight="1" outlineLevel="1">
      <c r="A188" s="68">
        <v>20</v>
      </c>
      <c r="B188" s="39" t="s">
        <v>259</v>
      </c>
      <c r="C188" s="39" t="s">
        <v>303</v>
      </c>
      <c r="D188" s="39" t="s">
        <v>304</v>
      </c>
      <c r="E188" s="314" t="s">
        <v>551</v>
      </c>
      <c r="F188" s="315" t="s">
        <v>306</v>
      </c>
      <c r="G188" s="177"/>
      <c r="H188" s="42"/>
      <c r="I188" s="59"/>
      <c r="J188" s="57"/>
      <c r="K188" s="58"/>
    </row>
    <row r="189" ht="14.25" customHeight="1" outlineLevel="1">
      <c r="A189" s="68">
        <v>21</v>
      </c>
      <c r="B189" s="39" t="s">
        <v>279</v>
      </c>
      <c r="C189" s="334" t="s">
        <v>136</v>
      </c>
      <c r="D189" s="335" t="s">
        <v>311</v>
      </c>
      <c r="E189" s="324" t="s">
        <v>312</v>
      </c>
      <c r="F189" s="336" t="s">
        <v>313</v>
      </c>
      <c r="G189" s="177"/>
      <c r="H189" s="42"/>
      <c r="I189" s="59"/>
      <c r="J189" s="57"/>
      <c r="K189" s="58"/>
    </row>
    <row r="190" ht="14.25" customHeight="1" outlineLevel="1">
      <c r="A190" s="68">
        <v>22</v>
      </c>
      <c r="B190" s="39" t="s">
        <v>259</v>
      </c>
      <c r="C190" s="53" t="s">
        <v>267</v>
      </c>
      <c r="D190" s="55" t="s">
        <v>317</v>
      </c>
      <c r="E190" s="598" t="s">
        <v>552</v>
      </c>
      <c r="F190" s="726" t="s">
        <v>319</v>
      </c>
      <c r="G190" s="177"/>
      <c r="H190" s="42"/>
      <c r="I190" s="59"/>
      <c r="J190" s="57"/>
      <c r="K190" s="58"/>
    </row>
    <row r="191" ht="14.25" customHeight="1" outlineLevel="1">
      <c r="A191" s="68">
        <v>23</v>
      </c>
      <c r="B191" s="39" t="s">
        <v>259</v>
      </c>
      <c r="C191" s="39" t="s">
        <v>329</v>
      </c>
      <c r="D191" s="41" t="s">
        <v>330</v>
      </c>
      <c r="E191" s="211" t="s">
        <v>331</v>
      </c>
      <c r="F191" s="323" t="s">
        <v>332</v>
      </c>
      <c r="G191" s="39"/>
      <c r="H191" s="42"/>
      <c r="I191" s="59"/>
      <c r="J191" s="57"/>
      <c r="K191" s="58"/>
    </row>
    <row r="192" ht="14.25" customHeight="1" outlineLevel="1">
      <c r="A192" s="68">
        <v>24</v>
      </c>
      <c r="B192" s="39" t="s">
        <v>259</v>
      </c>
      <c r="C192" s="39" t="s">
        <v>329</v>
      </c>
      <c r="D192" s="41" t="s">
        <v>333</v>
      </c>
      <c r="E192" s="314" t="s">
        <v>334</v>
      </c>
      <c r="F192" s="228" t="s">
        <v>335</v>
      </c>
      <c r="G192" s="177"/>
      <c r="H192" s="42"/>
      <c r="I192" s="59"/>
      <c r="J192" s="57"/>
      <c r="K192" s="58"/>
    </row>
    <row r="193" ht="14.25" customHeight="1" outlineLevel="1">
      <c r="A193" s="68">
        <v>25</v>
      </c>
      <c r="B193" s="39" t="s">
        <v>283</v>
      </c>
      <c r="C193" s="39" t="s">
        <v>336</v>
      </c>
      <c r="D193" s="41" t="s">
        <v>308</v>
      </c>
      <c r="E193" s="314" t="s">
        <v>337</v>
      </c>
      <c r="F193" s="727" t="s">
        <v>338</v>
      </c>
      <c r="G193" s="177"/>
      <c r="H193" s="42"/>
      <c r="I193" s="59"/>
      <c r="J193" s="57"/>
      <c r="K193" s="58"/>
    </row>
    <row r="194" ht="14.25" customHeight="1" outlineLevel="1">
      <c r="A194" s="68">
        <v>26</v>
      </c>
      <c r="B194" s="42" t="s">
        <v>283</v>
      </c>
      <c r="C194" s="42" t="s">
        <v>336</v>
      </c>
      <c r="D194" s="94" t="s">
        <v>339</v>
      </c>
      <c r="E194" s="332" t="s">
        <v>337</v>
      </c>
      <c r="F194" s="316" t="s">
        <v>341</v>
      </c>
      <c r="G194" s="177"/>
      <c r="H194" s="42"/>
      <c r="I194" s="59"/>
      <c r="J194" s="57"/>
      <c r="K194" s="58"/>
    </row>
    <row r="195" ht="14.25" customHeight="1" outlineLevel="1">
      <c r="A195" s="68">
        <v>27</v>
      </c>
      <c r="B195" s="39" t="s">
        <v>259</v>
      </c>
      <c r="C195" s="39" t="s">
        <v>329</v>
      </c>
      <c r="D195" s="41" t="s">
        <v>478</v>
      </c>
      <c r="E195" s="314" t="s">
        <v>479</v>
      </c>
      <c r="F195" s="228" t="s">
        <v>480</v>
      </c>
      <c r="G195" s="177"/>
      <c r="H195" s="42"/>
      <c r="I195" s="59"/>
      <c r="J195" s="57"/>
      <c r="K195" s="58"/>
    </row>
    <row r="196" ht="14.25" customHeight="1" outlineLevel="1">
      <c r="A196" s="68">
        <v>28</v>
      </c>
      <c r="B196" s="39" t="s">
        <v>259</v>
      </c>
      <c r="C196" s="39" t="s">
        <v>329</v>
      </c>
      <c r="D196" s="41" t="s">
        <v>481</v>
      </c>
      <c r="E196" s="314" t="s">
        <v>482</v>
      </c>
      <c r="F196" s="727" t="s">
        <v>483</v>
      </c>
      <c r="G196" s="177"/>
      <c r="H196" s="42"/>
      <c r="I196" s="59"/>
      <c r="J196" s="57"/>
      <c r="K196" s="58"/>
    </row>
    <row r="197" ht="14.25" customHeight="1" outlineLevel="1">
      <c r="A197" s="68">
        <v>29</v>
      </c>
      <c r="B197" s="293" t="s">
        <v>259</v>
      </c>
      <c r="C197" s="462" t="s">
        <v>325</v>
      </c>
      <c r="D197" s="462" t="s">
        <v>326</v>
      </c>
      <c r="E197" s="779" t="s">
        <v>519</v>
      </c>
      <c r="F197" s="780" t="s">
        <v>328</v>
      </c>
      <c r="G197" s="177"/>
      <c r="H197" s="42"/>
      <c r="I197" s="59"/>
      <c r="J197" s="57"/>
      <c r="K197" s="58"/>
    </row>
    <row r="198" ht="14.25" customHeight="1" outlineLevel="1">
      <c r="A198" s="256">
        <v>30</v>
      </c>
      <c r="B198" s="327" t="s">
        <v>259</v>
      </c>
      <c r="C198" s="330" t="s">
        <v>267</v>
      </c>
      <c r="D198" s="727" t="s">
        <v>523</v>
      </c>
      <c r="E198" s="510" t="s">
        <v>524</v>
      </c>
      <c r="F198" s="727" t="s">
        <v>525</v>
      </c>
      <c r="G198" s="177"/>
      <c r="H198" s="42"/>
      <c r="I198" s="59"/>
      <c r="J198" s="57"/>
      <c r="K198" s="58"/>
    </row>
    <row r="199" ht="14.25" customHeight="1" outlineLevel="1">
      <c r="A199" s="68">
        <v>31</v>
      </c>
      <c r="B199" s="39" t="s">
        <v>279</v>
      </c>
      <c r="C199" s="39" t="s">
        <v>600</v>
      </c>
      <c r="D199" s="39" t="s">
        <v>601</v>
      </c>
      <c r="E199" s="211" t="s">
        <v>126</v>
      </c>
      <c r="F199" s="41" t="s">
        <v>602</v>
      </c>
      <c r="G199" s="39"/>
      <c r="H199" s="42"/>
      <c r="I199" s="59"/>
      <c r="J199" s="57"/>
      <c r="K199" s="58"/>
    </row>
    <row r="200" ht="14.25" customHeight="1" outlineLevel="1">
      <c r="A200" s="68">
        <v>32</v>
      </c>
      <c r="B200" s="39" t="s">
        <v>279</v>
      </c>
      <c r="C200" s="90" t="s">
        <v>603</v>
      </c>
      <c r="D200" s="91" t="s">
        <v>604</v>
      </c>
      <c r="E200" s="781" t="s">
        <v>605</v>
      </c>
      <c r="F200" s="91" t="s">
        <v>606</v>
      </c>
      <c r="G200" s="42"/>
      <c r="H200" s="42"/>
      <c r="I200" s="59"/>
      <c r="J200" s="57"/>
      <c r="K200" s="58"/>
    </row>
    <row r="201" ht="14.25" customHeight="1" outlineLevel="1">
      <c r="A201" s="68">
        <v>33</v>
      </c>
      <c r="B201" s="39" t="s">
        <v>279</v>
      </c>
      <c r="C201" s="42" t="s">
        <v>607</v>
      </c>
      <c r="D201" s="42" t="s">
        <v>608</v>
      </c>
      <c r="E201" s="443" t="s">
        <v>609</v>
      </c>
      <c r="F201" s="94" t="s">
        <v>610</v>
      </c>
      <c r="G201" s="42"/>
      <c r="H201" s="42"/>
      <c r="I201" s="59"/>
      <c r="J201" s="57"/>
      <c r="K201" s="58"/>
    </row>
    <row r="202" ht="14.25" customHeight="1" outlineLevel="1">
      <c r="A202" s="68">
        <v>34</v>
      </c>
      <c r="B202" s="39" t="s">
        <v>279</v>
      </c>
      <c r="C202" s="42" t="s">
        <v>611</v>
      </c>
      <c r="D202" s="42" t="s">
        <v>612</v>
      </c>
      <c r="E202" s="443" t="s">
        <v>613</v>
      </c>
      <c r="F202" s="94" t="s">
        <v>614</v>
      </c>
      <c r="G202" s="42"/>
      <c r="H202" s="42"/>
      <c r="I202" s="59"/>
      <c r="J202" s="57"/>
      <c r="K202" s="58"/>
    </row>
    <row r="203" ht="14.25" customHeight="1" outlineLevel="1">
      <c r="A203" s="68">
        <v>35</v>
      </c>
      <c r="B203" s="551" t="s">
        <v>279</v>
      </c>
      <c r="C203" s="95" t="s">
        <v>136</v>
      </c>
      <c r="D203" s="95" t="s">
        <v>615</v>
      </c>
      <c r="E203" s="782" t="s">
        <v>616</v>
      </c>
      <c r="F203" s="97" t="s">
        <v>617</v>
      </c>
      <c r="G203" s="42"/>
      <c r="H203" s="95"/>
      <c r="I203" s="98"/>
      <c r="J203" s="57"/>
      <c r="K203" s="58"/>
    </row>
    <row r="204" ht="14.25" customHeight="1" outlineLevel="1">
      <c r="A204" s="68">
        <v>36</v>
      </c>
      <c r="B204" s="551" t="s">
        <v>279</v>
      </c>
      <c r="C204" s="95" t="s">
        <v>618</v>
      </c>
      <c r="D204" s="95" t="s">
        <v>619</v>
      </c>
      <c r="E204" s="782" t="s">
        <v>323</v>
      </c>
      <c r="F204" s="97" t="s">
        <v>620</v>
      </c>
      <c r="G204" s="42"/>
      <c r="H204" s="95"/>
      <c r="I204" s="98"/>
      <c r="J204" s="57"/>
      <c r="K204" s="58"/>
    </row>
    <row r="205" ht="14.25" customHeight="1" outlineLevel="1">
      <c r="A205" s="68">
        <v>37</v>
      </c>
      <c r="B205" s="99" t="s">
        <v>345</v>
      </c>
      <c r="C205" s="99" t="s">
        <v>346</v>
      </c>
      <c r="D205" s="99" t="s">
        <v>621</v>
      </c>
      <c r="E205" s="782" t="s">
        <v>622</v>
      </c>
      <c r="F205" s="101" t="s">
        <v>623</v>
      </c>
      <c r="G205" s="59"/>
      <c r="H205" s="99"/>
      <c r="I205" s="98"/>
      <c r="J205" s="57"/>
      <c r="K205" s="58"/>
    </row>
    <row r="206" ht="14.25" customHeight="1" outlineLevel="1">
      <c r="A206" s="68">
        <v>38</v>
      </c>
      <c r="B206" s="99"/>
      <c r="C206" s="99"/>
      <c r="D206" s="99"/>
      <c r="E206" s="100"/>
      <c r="F206" s="101"/>
      <c r="G206" s="59"/>
      <c r="H206" s="99"/>
      <c r="I206" s="98"/>
      <c r="J206" s="57"/>
      <c r="K206" s="58"/>
    </row>
    <row r="207" ht="14.25" customHeight="1" outlineLevel="1">
      <c r="A207" s="68">
        <v>39</v>
      </c>
      <c r="B207" s="99"/>
      <c r="C207" s="99"/>
      <c r="D207" s="99"/>
      <c r="E207" s="100"/>
      <c r="F207" s="101"/>
      <c r="G207" s="59"/>
      <c r="H207" s="99"/>
      <c r="I207" s="98"/>
      <c r="J207" s="57"/>
      <c r="K207" s="58"/>
    </row>
    <row r="208" s="21" customFormat="1" ht="20.25" customHeight="1" outlineLevel="1">
      <c r="A208" s="22"/>
      <c r="B208" s="23" t="s">
        <v>26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102"/>
      <c r="J209" s="66"/>
      <c r="K209" s="67"/>
    </row>
    <row r="210" ht="14.25" customHeight="1" outlineLevel="1">
      <c r="A210" s="68">
        <v>2</v>
      </c>
      <c r="B210" s="99"/>
      <c r="C210" s="99"/>
      <c r="D210" s="9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6"/>
      <c r="C211" s="56"/>
      <c r="D211" s="56"/>
      <c r="E211" s="78"/>
      <c r="F211" s="79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77">
        <v>5</v>
      </c>
      <c r="B213" s="56"/>
      <c r="C213" s="56"/>
      <c r="D213" s="56"/>
      <c r="E213" s="78"/>
      <c r="F213" s="79"/>
      <c r="G213" s="56"/>
      <c r="H213" s="56"/>
      <c r="I213" s="56"/>
      <c r="J213" s="80"/>
      <c r="K213" s="81"/>
    </row>
    <row r="214" s="21" customFormat="1" ht="20.25" customHeight="1" outlineLevel="1">
      <c r="A214" s="370"/>
      <c r="B214" s="371" t="s">
        <v>19</v>
      </c>
      <c r="C214" s="372"/>
      <c r="D214" s="373"/>
      <c r="E214" s="374"/>
      <c r="F214" s="371"/>
      <c r="G214" s="371"/>
      <c r="H214" s="371"/>
      <c r="I214" s="371"/>
      <c r="J214" s="371"/>
      <c r="K214" s="375"/>
    </row>
    <row r="215" ht="32.25" customHeight="1" outlineLevel="1">
      <c r="A215" s="420">
        <v>1</v>
      </c>
      <c r="B215" s="237" t="s">
        <v>222</v>
      </c>
      <c r="C215" s="237" t="s">
        <v>440</v>
      </c>
      <c r="D215" s="628" t="s">
        <v>415</v>
      </c>
      <c r="E215" s="783" t="s">
        <v>624</v>
      </c>
      <c r="F215" s="710" t="s">
        <v>625</v>
      </c>
      <c r="G215" s="99"/>
      <c r="H215" s="99"/>
      <c r="I215" s="99"/>
      <c r="J215" s="302"/>
      <c r="K215" s="303"/>
    </row>
    <row r="216" ht="33.75" customHeight="1" outlineLevel="1">
      <c r="A216" s="256">
        <v>2</v>
      </c>
      <c r="B216" s="191" t="s">
        <v>222</v>
      </c>
      <c r="C216" s="191" t="s">
        <v>442</v>
      </c>
      <c r="D216" s="191" t="s">
        <v>415</v>
      </c>
      <c r="E216" s="784" t="s">
        <v>626</v>
      </c>
      <c r="F216" s="190" t="s">
        <v>625</v>
      </c>
      <c r="G216" s="245"/>
      <c r="H216" s="59"/>
      <c r="I216" s="59"/>
      <c r="J216" s="57"/>
      <c r="K216" s="58"/>
    </row>
    <row r="217" ht="34.5" customHeight="1" outlineLevel="1">
      <c r="A217" s="256">
        <v>3</v>
      </c>
      <c r="B217" s="191" t="s">
        <v>222</v>
      </c>
      <c r="C217" s="191" t="s">
        <v>396</v>
      </c>
      <c r="D217" s="191" t="s">
        <v>397</v>
      </c>
      <c r="E217" s="784" t="s">
        <v>627</v>
      </c>
      <c r="F217" s="190" t="s">
        <v>625</v>
      </c>
      <c r="G217" s="245"/>
      <c r="H217" s="59"/>
      <c r="I217" s="59"/>
      <c r="J217" s="57"/>
      <c r="K217" s="58"/>
    </row>
    <row r="218" ht="36.75" customHeight="1" outlineLevel="1">
      <c r="A218" s="256">
        <v>4</v>
      </c>
      <c r="B218" s="190" t="s">
        <v>222</v>
      </c>
      <c r="C218" s="191" t="s">
        <v>446</v>
      </c>
      <c r="D218" s="190" t="s">
        <v>415</v>
      </c>
      <c r="E218" s="784" t="s">
        <v>628</v>
      </c>
      <c r="F218" s="190" t="s">
        <v>625</v>
      </c>
      <c r="G218" s="245"/>
      <c r="H218" s="59"/>
      <c r="I218" s="59"/>
      <c r="J218" s="57"/>
      <c r="K218" s="58"/>
    </row>
    <row r="219" ht="36.75" customHeight="1" outlineLevel="1">
      <c r="A219" s="785">
        <v>5</v>
      </c>
      <c r="B219" s="190" t="s">
        <v>153</v>
      </c>
      <c r="C219" s="191" t="s">
        <v>359</v>
      </c>
      <c r="D219" s="190" t="s">
        <v>629</v>
      </c>
      <c r="E219" s="784" t="s">
        <v>630</v>
      </c>
      <c r="F219" s="190" t="s">
        <v>361</v>
      </c>
      <c r="G219" s="244"/>
      <c r="H219" s="56"/>
      <c r="I219" s="56"/>
      <c r="J219" s="80"/>
      <c r="K219" s="81"/>
    </row>
    <row r="220" s="21" customFormat="1" ht="23.25" customHeight="1">
      <c r="A220" s="82" t="s">
        <v>27</v>
      </c>
      <c r="B220" s="83"/>
      <c r="C220" s="83"/>
      <c r="D220" s="103"/>
      <c r="E220" s="104">
        <f>SUM(E167:E219)</f>
        <v>0</v>
      </c>
      <c r="F220" s="21"/>
      <c r="G220" s="21"/>
      <c r="H220" s="21"/>
      <c r="I220" s="21"/>
      <c r="J220" s="21"/>
      <c r="K220" s="21"/>
    </row>
    <row r="221" s="21" customFormat="1" ht="23.25" customHeight="1">
      <c r="A221" s="82" t="s">
        <v>22</v>
      </c>
      <c r="B221" s="83"/>
      <c r="C221" s="83"/>
      <c r="D221" s="103"/>
      <c r="E221" s="104">
        <f>E162-E220</f>
        <v>703091.56999999995</v>
      </c>
      <c r="F221" s="86"/>
    </row>
    <row r="222" ht="28.5" customHeight="1">
      <c r="E222" s="1"/>
    </row>
    <row r="223" ht="30.75" customHeight="1">
      <c r="A223" s="9" t="s">
        <v>28</v>
      </c>
      <c r="B223" s="10"/>
      <c r="C223" s="10"/>
      <c r="D223" s="11"/>
      <c r="E223" s="12">
        <f>SUM(E224:E224)</f>
        <v>5242</v>
      </c>
      <c r="F223" s="163" t="s">
        <v>44</v>
      </c>
      <c r="G223" s="13"/>
      <c r="H223" s="13"/>
      <c r="I223" s="13"/>
    </row>
    <row r="224" ht="15" customHeight="1">
      <c r="A224" s="105" t="s">
        <v>29</v>
      </c>
      <c r="B224" s="15"/>
      <c r="C224" s="15"/>
      <c r="D224" s="16"/>
      <c r="E224" s="17">
        <v>5242</v>
      </c>
      <c r="F224" s="13"/>
      <c r="G224" s="13"/>
      <c r="H224" s="13"/>
      <c r="I224" s="13"/>
    </row>
    <row r="225" ht="5.25" customHeight="1">
      <c r="A225" s="13"/>
      <c r="B225" s="13"/>
      <c r="C225" s="13"/>
      <c r="D225" s="13"/>
      <c r="E225" s="13"/>
      <c r="F225" s="13"/>
      <c r="G225" s="13"/>
      <c r="H225" s="13"/>
      <c r="I225" s="13"/>
    </row>
    <row r="226" ht="25.5" customHeight="1" outlineLevel="1">
      <c r="A226" s="87" t="s">
        <v>6</v>
      </c>
      <c r="B226" s="87" t="s">
        <v>7</v>
      </c>
      <c r="C226" s="87" t="s">
        <v>8</v>
      </c>
      <c r="D226" s="87" t="s">
        <v>9</v>
      </c>
      <c r="E226" s="88" t="s">
        <v>10</v>
      </c>
      <c r="F226" s="87" t="s">
        <v>11</v>
      </c>
      <c r="G226" s="87" t="s">
        <v>12</v>
      </c>
      <c r="H226" s="89" t="s">
        <v>13</v>
      </c>
      <c r="I226" s="87" t="s">
        <v>14</v>
      </c>
      <c r="J226" s="87" t="s">
        <v>15</v>
      </c>
      <c r="K226" s="87" t="s">
        <v>16</v>
      </c>
    </row>
    <row r="227" s="21" customFormat="1" ht="18.75" customHeight="1" outlineLevel="1">
      <c r="A227" s="22"/>
      <c r="B227" s="23" t="s">
        <v>30</v>
      </c>
      <c r="C227" s="24"/>
      <c r="D227" s="25"/>
      <c r="E227" s="26"/>
      <c r="F227" s="23"/>
      <c r="G227" s="23"/>
      <c r="H227" s="23"/>
      <c r="I227" s="23"/>
      <c r="J227" s="23"/>
      <c r="K227" s="27"/>
    </row>
    <row r="228" ht="14.25" customHeight="1" outlineLevel="1">
      <c r="A228" s="62">
        <v>1</v>
      </c>
      <c r="B228" s="63"/>
      <c r="C228" s="63"/>
      <c r="D228" s="63"/>
      <c r="E228" s="64"/>
      <c r="F228" s="65"/>
      <c r="G228" s="63"/>
      <c r="H228" s="63"/>
      <c r="I228" s="63"/>
      <c r="J228" s="66"/>
      <c r="K228" s="67"/>
    </row>
    <row r="229" ht="14.25" customHeight="1" outlineLevel="1">
      <c r="A229" s="68">
        <v>2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4.25" customHeight="1" outlineLevel="1">
      <c r="A230" s="68">
        <v>3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4.25" customHeight="1" outlineLevel="1">
      <c r="A231" s="68">
        <v>4</v>
      </c>
      <c r="B231" s="59"/>
      <c r="C231" s="59"/>
      <c r="D231" s="59"/>
      <c r="E231" s="60"/>
      <c r="F231" s="61"/>
      <c r="G231" s="59"/>
      <c r="H231" s="59"/>
      <c r="I231" s="59"/>
      <c r="J231" s="57"/>
      <c r="K231" s="58"/>
    </row>
    <row r="232" ht="14.25" customHeight="1" outlineLevel="1">
      <c r="A232" s="68">
        <v>5</v>
      </c>
      <c r="B232" s="59"/>
      <c r="C232" s="59"/>
      <c r="D232" s="59"/>
      <c r="E232" s="60"/>
      <c r="F232" s="61"/>
      <c r="G232" s="59"/>
      <c r="H232" s="59"/>
      <c r="I232" s="59"/>
      <c r="J232" s="57"/>
      <c r="K232" s="58"/>
    </row>
    <row r="233" ht="14.25" customHeight="1" outlineLevel="1">
      <c r="A233" s="68">
        <v>6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4.25" customHeight="1" outlineLevel="1">
      <c r="A234" s="68">
        <v>7</v>
      </c>
      <c r="B234" s="59"/>
      <c r="C234" s="59"/>
      <c r="D234" s="59"/>
      <c r="E234" s="60"/>
      <c r="F234" s="61"/>
      <c r="G234" s="59"/>
      <c r="H234" s="59"/>
      <c r="I234" s="59"/>
      <c r="J234" s="57"/>
      <c r="K234" s="58"/>
    </row>
    <row r="235" ht="15.75" customHeight="1" outlineLevel="1">
      <c r="A235" s="68">
        <v>8</v>
      </c>
      <c r="B235" s="59"/>
      <c r="C235" s="59"/>
      <c r="D235" s="59"/>
      <c r="E235" s="60"/>
      <c r="F235" s="61"/>
      <c r="G235" s="59"/>
      <c r="H235" s="59"/>
      <c r="I235" s="59"/>
      <c r="J235" s="57"/>
      <c r="K235" s="58"/>
    </row>
    <row r="236" ht="15.75" customHeight="1" outlineLevel="1">
      <c r="A236" s="68">
        <v>9</v>
      </c>
      <c r="B236" s="59"/>
      <c r="C236" s="59"/>
      <c r="D236" s="59"/>
      <c r="E236" s="60"/>
      <c r="F236" s="61"/>
      <c r="G236" s="59"/>
      <c r="H236" s="59"/>
      <c r="I236" s="59"/>
      <c r="J236" s="57"/>
      <c r="K236" s="58"/>
    </row>
    <row r="237" ht="15.75" customHeight="1" outlineLevel="1">
      <c r="A237" s="68">
        <v>10</v>
      </c>
      <c r="B237" s="59"/>
      <c r="C237" s="59"/>
      <c r="D237" s="59"/>
      <c r="E237" s="60"/>
      <c r="F237" s="61"/>
      <c r="G237" s="59"/>
      <c r="H237" s="59"/>
      <c r="I237" s="59"/>
      <c r="J237" s="57"/>
      <c r="K237" s="58"/>
    </row>
    <row r="238" ht="15.75" customHeight="1" outlineLevel="1">
      <c r="A238" s="68">
        <v>11</v>
      </c>
      <c r="B238" s="59"/>
      <c r="C238" s="59"/>
      <c r="D238" s="59"/>
      <c r="E238" s="60"/>
      <c r="F238" s="61"/>
      <c r="G238" s="59"/>
      <c r="H238" s="59"/>
      <c r="I238" s="59"/>
      <c r="J238" s="57"/>
      <c r="K238" s="58"/>
    </row>
    <row r="239" ht="15.75" customHeight="1" outlineLevel="1">
      <c r="A239" s="68">
        <v>12</v>
      </c>
      <c r="B239" s="59"/>
      <c r="C239" s="59"/>
      <c r="D239" s="59"/>
      <c r="E239" s="60"/>
      <c r="F239" s="61"/>
      <c r="G239" s="59"/>
      <c r="H239" s="59"/>
      <c r="I239" s="59"/>
      <c r="J239" s="57"/>
      <c r="K239" s="58"/>
    </row>
    <row r="240" ht="15.75" customHeight="1" outlineLevel="1">
      <c r="A240" s="68">
        <v>13</v>
      </c>
      <c r="B240" s="59"/>
      <c r="C240" s="59"/>
      <c r="D240" s="59"/>
      <c r="E240" s="60"/>
      <c r="F240" s="61"/>
      <c r="G240" s="59"/>
      <c r="H240" s="59"/>
      <c r="I240" s="59"/>
      <c r="J240" s="57"/>
      <c r="K240" s="58"/>
    </row>
    <row r="241" ht="15.75" customHeight="1" outlineLevel="1">
      <c r="A241" s="68">
        <v>14</v>
      </c>
      <c r="B241" s="59"/>
      <c r="C241" s="59"/>
      <c r="D241" s="59"/>
      <c r="E241" s="60"/>
      <c r="F241" s="61"/>
      <c r="G241" s="59"/>
      <c r="H241" s="59"/>
      <c r="I241" s="59"/>
      <c r="J241" s="57"/>
      <c r="K241" s="58"/>
    </row>
    <row r="242" ht="15.75" customHeight="1" outlineLevel="1">
      <c r="A242" s="69">
        <v>15</v>
      </c>
      <c r="B242" s="70"/>
      <c r="C242" s="70"/>
      <c r="D242" s="70"/>
      <c r="E242" s="71"/>
      <c r="F242" s="72"/>
      <c r="G242" s="70"/>
      <c r="H242" s="70"/>
      <c r="I242" s="70"/>
      <c r="J242" s="73"/>
      <c r="K242" s="74"/>
    </row>
    <row r="243" s="21" customFormat="1" ht="21.75" customHeight="1">
      <c r="A243" s="82" t="s">
        <v>31</v>
      </c>
      <c r="B243" s="83"/>
      <c r="C243" s="83"/>
      <c r="D243" s="103"/>
      <c r="E243" s="104">
        <f>SUM(E227:E242)</f>
        <v>0</v>
      </c>
    </row>
    <row r="244" s="21" customFormat="1" ht="21.75" customHeight="1">
      <c r="A244" s="82" t="s">
        <v>22</v>
      </c>
      <c r="B244" s="83"/>
      <c r="C244" s="83"/>
      <c r="D244" s="103"/>
      <c r="E244" s="104">
        <f>E223-E243</f>
        <v>5242</v>
      </c>
      <c r="F244" s="86"/>
    </row>
    <row r="245" ht="15.75">
      <c r="E245" s="1"/>
    </row>
    <row r="246" ht="25.5" customHeight="1">
      <c r="A246" s="9" t="s">
        <v>32</v>
      </c>
      <c r="B246" s="10"/>
      <c r="C246" s="10"/>
      <c r="D246" s="11"/>
      <c r="E246" s="12">
        <f>SUM(E247:E248)</f>
        <v>10945.25</v>
      </c>
      <c r="F246" s="163" t="s">
        <v>44</v>
      </c>
      <c r="G246" s="13"/>
      <c r="H246" s="13"/>
      <c r="I246" s="13"/>
    </row>
    <row r="247" ht="15.75">
      <c r="A247" s="14" t="s">
        <v>33</v>
      </c>
      <c r="B247" s="15"/>
      <c r="C247" s="15"/>
      <c r="D247" s="16"/>
      <c r="E247" s="17">
        <v>3132.9499999999998</v>
      </c>
      <c r="F247" s="13"/>
      <c r="G247" s="13"/>
      <c r="H247" s="13"/>
      <c r="I247" s="13"/>
    </row>
    <row r="248" ht="15.75">
      <c r="A248" s="14" t="s">
        <v>34</v>
      </c>
      <c r="B248" s="15"/>
      <c r="C248" s="15"/>
      <c r="D248" s="16"/>
      <c r="E248" s="17">
        <v>7812.3000000000002</v>
      </c>
      <c r="F248" s="13"/>
      <c r="G248" s="13"/>
      <c r="H248" s="13"/>
      <c r="I248" s="13"/>
    </row>
    <row r="249" ht="15.75">
      <c r="A249" s="13"/>
      <c r="B249" s="13"/>
      <c r="C249" s="13"/>
      <c r="D249" s="13"/>
      <c r="E249" s="13"/>
      <c r="F249" s="13"/>
      <c r="G249" s="13"/>
      <c r="H249" s="13"/>
      <c r="I249" s="13"/>
    </row>
    <row r="250" ht="22.5">
      <c r="A250" s="87" t="s">
        <v>6</v>
      </c>
      <c r="B250" s="87" t="s">
        <v>7</v>
      </c>
      <c r="C250" s="87" t="s">
        <v>8</v>
      </c>
      <c r="D250" s="87" t="s">
        <v>9</v>
      </c>
      <c r="E250" s="88" t="s">
        <v>10</v>
      </c>
      <c r="F250" s="87" t="s">
        <v>11</v>
      </c>
      <c r="G250" s="87" t="s">
        <v>12</v>
      </c>
      <c r="H250" s="89" t="s">
        <v>13</v>
      </c>
      <c r="I250" s="87" t="s">
        <v>14</v>
      </c>
      <c r="J250" s="87" t="s">
        <v>15</v>
      </c>
      <c r="K250" s="87" t="s">
        <v>16</v>
      </c>
    </row>
    <row r="251" ht="15.75">
      <c r="A251" s="22"/>
      <c r="B251" s="23" t="s">
        <v>25</v>
      </c>
      <c r="C251" s="24"/>
      <c r="D251" s="25"/>
      <c r="E251" s="26"/>
      <c r="F251" s="23"/>
      <c r="G251" s="23"/>
      <c r="H251" s="23"/>
      <c r="I251" s="23"/>
      <c r="J251" s="23"/>
      <c r="K251" s="27"/>
    </row>
    <row r="252">
      <c r="A252" s="68">
        <v>1</v>
      </c>
      <c r="B252" s="106"/>
      <c r="C252" s="106"/>
      <c r="D252" s="107"/>
      <c r="E252" s="92"/>
      <c r="F252" s="107"/>
      <c r="G252" s="42"/>
      <c r="H252" s="42"/>
      <c r="I252" s="42" t="s">
        <v>35</v>
      </c>
      <c r="J252" s="57"/>
      <c r="K252" s="58"/>
    </row>
    <row r="253">
      <c r="A253" s="68">
        <v>2</v>
      </c>
      <c r="B253" s="106"/>
      <c r="C253" s="106"/>
      <c r="D253" s="107"/>
      <c r="E253" s="93"/>
      <c r="F253" s="107"/>
      <c r="G253" s="59"/>
      <c r="H253" s="59"/>
      <c r="I253" s="42"/>
      <c r="J253" s="57"/>
      <c r="K253" s="58"/>
    </row>
    <row r="254">
      <c r="A254" s="68">
        <v>3</v>
      </c>
      <c r="B254" s="108"/>
      <c r="C254" s="109"/>
      <c r="D254" s="110"/>
      <c r="E254" s="111"/>
      <c r="F254" s="110"/>
      <c r="G254" s="112"/>
      <c r="H254" s="113"/>
      <c r="I254" s="35"/>
      <c r="J254" s="114"/>
      <c r="K254" s="115"/>
    </row>
    <row r="255">
      <c r="A255" s="68">
        <v>4</v>
      </c>
      <c r="B255" s="108"/>
      <c r="C255" s="109"/>
      <c r="D255" s="110"/>
      <c r="E255" s="111"/>
      <c r="F255" s="110"/>
      <c r="G255" s="112"/>
      <c r="H255" s="113"/>
      <c r="I255" s="35"/>
      <c r="J255" s="114"/>
      <c r="K255" s="116"/>
    </row>
    <row r="256">
      <c r="A256" s="68">
        <v>5</v>
      </c>
      <c r="B256" s="42"/>
      <c r="C256" s="42"/>
      <c r="D256" s="42"/>
      <c r="E256" s="93"/>
      <c r="F256" s="94"/>
      <c r="G256" s="42"/>
      <c r="H256" s="42"/>
      <c r="I256" s="42"/>
      <c r="J256" s="43"/>
      <c r="K256" s="44"/>
    </row>
    <row r="257">
      <c r="A257" s="68">
        <v>6</v>
      </c>
      <c r="B257" s="43"/>
      <c r="C257" s="43"/>
      <c r="D257" s="43"/>
      <c r="E257" s="43"/>
      <c r="F257" s="43"/>
      <c r="G257" s="43"/>
      <c r="H257" s="42"/>
      <c r="I257" s="42"/>
      <c r="J257" s="43"/>
      <c r="K257" s="44"/>
    </row>
    <row r="258">
      <c r="A258" s="68">
        <v>7</v>
      </c>
      <c r="B258" s="43"/>
      <c r="C258" s="43"/>
      <c r="D258" s="43"/>
      <c r="E258" s="43"/>
      <c r="F258" s="43"/>
      <c r="G258" s="43"/>
      <c r="H258" s="42"/>
      <c r="I258" s="42"/>
      <c r="J258" s="43"/>
      <c r="K258" s="44"/>
    </row>
    <row r="259">
      <c r="A259" s="68">
        <v>8</v>
      </c>
      <c r="B259" s="42"/>
      <c r="C259" s="94"/>
      <c r="D259" s="94"/>
      <c r="E259" s="93"/>
      <c r="F259" s="94"/>
      <c r="G259" s="42"/>
      <c r="H259" s="42"/>
      <c r="I259" s="42"/>
      <c r="J259" s="43"/>
      <c r="K259" s="44"/>
    </row>
    <row r="260">
      <c r="A260" s="68">
        <v>9</v>
      </c>
      <c r="B260" s="42"/>
      <c r="C260" s="94"/>
      <c r="D260" s="94"/>
      <c r="E260" s="93"/>
      <c r="F260" s="94"/>
      <c r="G260" s="42"/>
      <c r="H260" s="42"/>
      <c r="I260" s="42"/>
      <c r="J260" s="43"/>
      <c r="K260" s="44"/>
    </row>
    <row r="261">
      <c r="A261" s="68">
        <v>10</v>
      </c>
      <c r="B261" s="42"/>
      <c r="C261" s="94"/>
      <c r="D261" s="94"/>
      <c r="E261" s="93"/>
      <c r="F261" s="94"/>
      <c r="G261" s="42"/>
      <c r="H261" s="42"/>
      <c r="I261" s="42"/>
      <c r="J261" s="43"/>
      <c r="K261" s="44"/>
    </row>
    <row r="262">
      <c r="A262" s="68">
        <v>11</v>
      </c>
      <c r="B262" s="42"/>
      <c r="C262" s="94"/>
      <c r="D262" s="94"/>
      <c r="E262" s="93"/>
      <c r="F262" s="94"/>
      <c r="G262" s="42"/>
      <c r="H262" s="42"/>
      <c r="I262" s="42"/>
      <c r="J262" s="43"/>
      <c r="K262" s="44"/>
    </row>
    <row r="263">
      <c r="A263" s="68">
        <v>12</v>
      </c>
      <c r="B263" s="59"/>
      <c r="C263" s="61"/>
      <c r="D263" s="61"/>
      <c r="E263" s="93"/>
      <c r="F263" s="61"/>
      <c r="G263" s="59"/>
      <c r="H263" s="59"/>
      <c r="I263" s="42"/>
      <c r="J263" s="57"/>
      <c r="K263" s="58"/>
    </row>
    <row r="264">
      <c r="A264" s="68">
        <v>13</v>
      </c>
      <c r="B264" s="59"/>
      <c r="C264" s="61"/>
      <c r="D264" s="61"/>
      <c r="E264" s="93"/>
      <c r="F264" s="61"/>
      <c r="G264" s="59"/>
      <c r="H264" s="59"/>
      <c r="I264" s="42"/>
      <c r="J264" s="57"/>
      <c r="K264" s="58"/>
    </row>
    <row r="265">
      <c r="A265" s="68">
        <v>14</v>
      </c>
      <c r="B265" s="59"/>
      <c r="C265" s="61"/>
      <c r="D265" s="61"/>
      <c r="E265" s="93"/>
      <c r="F265" s="61"/>
      <c r="G265" s="59"/>
      <c r="H265" s="59"/>
      <c r="I265" s="42"/>
      <c r="J265" s="57"/>
      <c r="K265" s="58"/>
    </row>
    <row r="266" ht="15.75">
      <c r="A266" s="68">
        <v>15</v>
      </c>
      <c r="B266" s="59"/>
      <c r="C266" s="61"/>
      <c r="D266" s="61"/>
      <c r="E266" s="93"/>
      <c r="F266" s="61"/>
      <c r="G266" s="59"/>
      <c r="H266" s="59"/>
      <c r="I266" s="42"/>
      <c r="J266" s="57"/>
      <c r="K266" s="58"/>
    </row>
    <row r="267" ht="15.75">
      <c r="A267" s="22"/>
      <c r="B267" s="23" t="s">
        <v>26</v>
      </c>
      <c r="C267" s="24"/>
      <c r="D267" s="25"/>
      <c r="E267" s="26"/>
      <c r="F267" s="23"/>
      <c r="G267" s="23"/>
      <c r="H267" s="23"/>
      <c r="I267" s="23"/>
      <c r="J267" s="23"/>
      <c r="K267" s="27"/>
    </row>
    <row r="268">
      <c r="A268" s="62">
        <v>1</v>
      </c>
      <c r="B268" s="63"/>
      <c r="C268" s="63"/>
      <c r="D268" s="63"/>
      <c r="E268" s="64"/>
      <c r="F268" s="65"/>
      <c r="G268" s="63"/>
      <c r="H268" s="63"/>
      <c r="I268" s="63"/>
      <c r="J268" s="66"/>
      <c r="K268" s="67"/>
    </row>
    <row r="269">
      <c r="A269" s="68">
        <v>2</v>
      </c>
      <c r="B269" s="59"/>
      <c r="C269" s="59"/>
      <c r="D269" s="59"/>
      <c r="E269" s="60"/>
      <c r="F269" s="61"/>
      <c r="G269" s="59"/>
      <c r="H269" s="59"/>
      <c r="I269" s="59"/>
      <c r="J269" s="57"/>
      <c r="K269" s="58"/>
    </row>
    <row r="270">
      <c r="A270" s="68">
        <v>3</v>
      </c>
      <c r="B270" s="59"/>
      <c r="C270" s="59"/>
      <c r="D270" s="59"/>
      <c r="E270" s="60"/>
      <c r="F270" s="61"/>
      <c r="G270" s="59"/>
      <c r="H270" s="59"/>
      <c r="I270" s="59"/>
      <c r="J270" s="57"/>
      <c r="K270" s="58"/>
    </row>
    <row r="271">
      <c r="A271" s="68">
        <v>4</v>
      </c>
      <c r="B271" s="59"/>
      <c r="C271" s="59"/>
      <c r="D271" s="59"/>
      <c r="E271" s="60"/>
      <c r="F271" s="61"/>
      <c r="G271" s="59"/>
      <c r="H271" s="59"/>
      <c r="I271" s="59"/>
      <c r="J271" s="57"/>
      <c r="K271" s="58"/>
    </row>
    <row r="272" ht="15.75">
      <c r="A272" s="69">
        <v>5</v>
      </c>
      <c r="B272" s="70"/>
      <c r="C272" s="70"/>
      <c r="D272" s="70"/>
      <c r="E272" s="71"/>
      <c r="F272" s="72"/>
      <c r="G272" s="70"/>
      <c r="H272" s="70"/>
      <c r="I272" s="70"/>
      <c r="J272" s="73"/>
      <c r="K272" s="74"/>
    </row>
    <row r="273" ht="15.75">
      <c r="A273" s="22"/>
      <c r="B273" s="23" t="s">
        <v>19</v>
      </c>
      <c r="C273" s="24"/>
      <c r="D273" s="25"/>
      <c r="E273" s="26"/>
      <c r="F273" s="23"/>
      <c r="G273" s="23"/>
      <c r="H273" s="23"/>
      <c r="I273" s="23"/>
      <c r="J273" s="23"/>
      <c r="K273" s="27"/>
    </row>
    <row r="274" ht="28.5">
      <c r="A274" s="62">
        <v>1</v>
      </c>
      <c r="B274" s="39" t="s">
        <v>452</v>
      </c>
      <c r="C274" s="56" t="s">
        <v>453</v>
      </c>
      <c r="D274" s="59" t="s">
        <v>631</v>
      </c>
      <c r="E274" s="786" t="s">
        <v>632</v>
      </c>
      <c r="F274" s="101" t="s">
        <v>633</v>
      </c>
      <c r="G274" s="63"/>
      <c r="H274" s="63" t="s">
        <v>141</v>
      </c>
      <c r="I274" s="63"/>
      <c r="J274" s="66"/>
      <c r="K274" s="67"/>
    </row>
    <row r="275">
      <c r="A275" s="68">
        <v>2</v>
      </c>
      <c r="B275" s="59" t="s">
        <v>449</v>
      </c>
      <c r="C275" s="59" t="s">
        <v>456</v>
      </c>
      <c r="D275" s="59" t="s">
        <v>415</v>
      </c>
      <c r="E275" s="786" t="s">
        <v>634</v>
      </c>
      <c r="F275" s="61" t="s">
        <v>635</v>
      </c>
      <c r="G275" s="59"/>
      <c r="H275" s="59"/>
      <c r="I275" s="59"/>
      <c r="J275" s="57"/>
      <c r="K275" s="58"/>
    </row>
    <row r="276">
      <c r="A276" s="68">
        <v>3</v>
      </c>
      <c r="B276" s="59" t="s">
        <v>449</v>
      </c>
      <c r="C276" s="59" t="s">
        <v>223</v>
      </c>
      <c r="D276" s="59" t="s">
        <v>227</v>
      </c>
      <c r="E276" s="786" t="s">
        <v>636</v>
      </c>
      <c r="F276" s="61" t="s">
        <v>637</v>
      </c>
      <c r="G276" s="59"/>
      <c r="H276" s="59"/>
      <c r="I276" s="59"/>
      <c r="J276" s="57"/>
      <c r="K276" s="58"/>
    </row>
    <row r="277">
      <c r="A277" s="68">
        <v>4</v>
      </c>
      <c r="B277" s="59"/>
      <c r="C277" s="59"/>
      <c r="D277" s="59"/>
      <c r="E277" s="60"/>
      <c r="F277" s="61"/>
      <c r="G277" s="59"/>
      <c r="H277" s="59"/>
      <c r="I277" s="59"/>
      <c r="J277" s="57"/>
      <c r="K277" s="58"/>
    </row>
    <row r="278" ht="15.75">
      <c r="A278" s="69">
        <v>5</v>
      </c>
      <c r="B278" s="70"/>
      <c r="C278" s="70"/>
      <c r="D278" s="70"/>
      <c r="E278" s="71"/>
      <c r="F278" s="72"/>
      <c r="G278" s="70"/>
      <c r="H278" s="70"/>
      <c r="I278" s="70"/>
      <c r="J278" s="73"/>
      <c r="K278" s="74"/>
    </row>
    <row r="279" s="21" customFormat="1" ht="26.25" customHeight="1">
      <c r="A279" s="82" t="s">
        <v>36</v>
      </c>
      <c r="B279" s="83"/>
      <c r="C279" s="83"/>
      <c r="D279" s="103"/>
      <c r="E279" s="104">
        <f>SUM(E252:E278)</f>
        <v>0</v>
      </c>
    </row>
    <row r="280" s="21" customFormat="1" ht="27" customHeight="1">
      <c r="A280" s="82" t="s">
        <v>22</v>
      </c>
      <c r="B280" s="83"/>
      <c r="C280" s="83"/>
      <c r="D280" s="103"/>
      <c r="E280" s="104">
        <f>E246-E279</f>
        <v>10945.25</v>
      </c>
      <c r="F280" s="86"/>
    </row>
    <row r="281" ht="14.25">
      <c r="E281" s="1"/>
    </row>
    <row r="282" ht="15.75">
      <c r="E282" s="1"/>
    </row>
    <row r="283" ht="36" customHeight="1">
      <c r="A283" s="120" t="s">
        <v>37</v>
      </c>
      <c r="B283" s="120"/>
      <c r="C283" s="120"/>
      <c r="D283" s="120"/>
      <c r="E283" s="121">
        <f>E284+E285</f>
        <v>2715</v>
      </c>
      <c r="F283" s="163" t="s">
        <v>44</v>
      </c>
      <c r="G283" s="123"/>
      <c r="H283" s="123"/>
      <c r="I283" s="123"/>
      <c r="J283" s="124"/>
      <c r="K283" s="124"/>
    </row>
    <row r="284" ht="15.75" customHeight="1">
      <c r="A284" s="125" t="s">
        <v>38</v>
      </c>
      <c r="B284" s="125"/>
      <c r="C284" s="125"/>
      <c r="D284" s="125"/>
      <c r="E284" s="126">
        <v>0</v>
      </c>
      <c r="F284" s="123"/>
      <c r="G284" s="123"/>
      <c r="H284" s="123"/>
      <c r="I284" s="123"/>
      <c r="J284" s="124"/>
      <c r="K284" s="124"/>
    </row>
    <row r="285" ht="15.75" customHeight="1">
      <c r="A285" s="125" t="s">
        <v>39</v>
      </c>
      <c r="B285" s="125"/>
      <c r="C285" s="125"/>
      <c r="D285" s="125"/>
      <c r="E285" s="126">
        <v>2715</v>
      </c>
      <c r="F285" s="123"/>
      <c r="G285" s="123"/>
      <c r="H285" s="123"/>
      <c r="I285" s="123"/>
      <c r="J285" s="124"/>
      <c r="K285" s="124"/>
    </row>
    <row r="286" ht="15.75">
      <c r="A286" s="123"/>
      <c r="B286" s="123"/>
      <c r="C286" s="123"/>
      <c r="D286" s="123"/>
      <c r="E286" s="123"/>
      <c r="F286" s="123"/>
      <c r="G286" s="123"/>
      <c r="H286" s="123"/>
      <c r="I286" s="123"/>
      <c r="J286" s="124"/>
      <c r="K286" s="124"/>
    </row>
    <row r="287" ht="24.75">
      <c r="A287" s="127" t="s">
        <v>6</v>
      </c>
      <c r="B287" s="127" t="s">
        <v>7</v>
      </c>
      <c r="C287" s="127" t="s">
        <v>8</v>
      </c>
      <c r="D287" s="127" t="s">
        <v>9</v>
      </c>
      <c r="E287" s="127" t="s">
        <v>40</v>
      </c>
      <c r="F287" s="127" t="s">
        <v>11</v>
      </c>
      <c r="G287" s="127" t="s">
        <v>12</v>
      </c>
      <c r="H287" s="128" t="s">
        <v>13</v>
      </c>
      <c r="I287" s="127" t="s">
        <v>14</v>
      </c>
      <c r="J287" s="127" t="s">
        <v>15</v>
      </c>
      <c r="K287" s="127" t="s">
        <v>16</v>
      </c>
    </row>
    <row r="288" ht="15.75">
      <c r="A288" s="129" t="s">
        <v>41</v>
      </c>
      <c r="B288" s="130"/>
      <c r="C288" s="130"/>
      <c r="D288" s="130"/>
      <c r="E288" s="130"/>
      <c r="F288" s="130"/>
      <c r="G288" s="130"/>
      <c r="H288" s="130"/>
      <c r="I288" s="130"/>
      <c r="J288" s="130"/>
      <c r="K288" s="131"/>
    </row>
    <row r="289">
      <c r="A289" s="132">
        <v>1</v>
      </c>
      <c r="B289" s="133"/>
      <c r="C289" s="133"/>
      <c r="D289" s="134"/>
      <c r="E289" s="135"/>
      <c r="F289" s="134"/>
      <c r="G289" s="136"/>
      <c r="H289" s="136"/>
      <c r="I289" s="136"/>
      <c r="J289" s="137"/>
      <c r="K289" s="138"/>
    </row>
    <row r="290">
      <c r="A290" s="139">
        <v>2</v>
      </c>
      <c r="B290" s="140"/>
      <c r="C290" s="140"/>
      <c r="D290" s="141"/>
      <c r="E290" s="142"/>
      <c r="F290" s="141"/>
      <c r="G290" s="143"/>
      <c r="H290" s="143"/>
      <c r="I290" s="142"/>
      <c r="J290" s="144"/>
      <c r="K290" s="145"/>
    </row>
    <row r="291">
      <c r="A291" s="139">
        <v>3</v>
      </c>
      <c r="B291" s="143"/>
      <c r="C291" s="143"/>
      <c r="D291" s="143"/>
      <c r="E291" s="142"/>
      <c r="F291" s="146"/>
      <c r="G291" s="143"/>
      <c r="H291" s="143"/>
      <c r="I291" s="142"/>
      <c r="J291" s="144"/>
      <c r="K291" s="145"/>
    </row>
    <row r="292">
      <c r="A292" s="139">
        <v>4</v>
      </c>
      <c r="B292" s="143"/>
      <c r="C292" s="146"/>
      <c r="D292" s="146"/>
      <c r="E292" s="142"/>
      <c r="F292" s="146"/>
      <c r="G292" s="143"/>
      <c r="H292" s="143"/>
      <c r="I292" s="142"/>
      <c r="J292" s="144"/>
      <c r="K292" s="145"/>
    </row>
    <row r="293">
      <c r="A293" s="139">
        <v>5</v>
      </c>
      <c r="B293" s="143"/>
      <c r="C293" s="143"/>
      <c r="D293" s="143"/>
      <c r="E293" s="143"/>
      <c r="F293" s="146"/>
      <c r="G293" s="143"/>
      <c r="H293" s="143"/>
      <c r="I293" s="142"/>
      <c r="J293" s="144"/>
      <c r="K293" s="145"/>
    </row>
    <row r="294">
      <c r="A294" s="139">
        <v>6</v>
      </c>
      <c r="B294" s="144"/>
      <c r="C294" s="144"/>
      <c r="D294" s="144"/>
      <c r="E294" s="144"/>
      <c r="F294" s="144"/>
      <c r="G294" s="144"/>
      <c r="H294" s="143"/>
      <c r="I294" s="142"/>
      <c r="J294" s="144"/>
      <c r="K294" s="145"/>
    </row>
    <row r="295">
      <c r="A295" s="139">
        <v>7</v>
      </c>
      <c r="B295" s="144"/>
      <c r="C295" s="144"/>
      <c r="D295" s="144"/>
      <c r="E295" s="144"/>
      <c r="F295" s="144"/>
      <c r="G295" s="144"/>
      <c r="H295" s="143"/>
      <c r="I295" s="143"/>
      <c r="J295" s="144"/>
      <c r="K295" s="145"/>
    </row>
    <row r="296">
      <c r="A296" s="139">
        <v>8</v>
      </c>
      <c r="B296" s="143"/>
      <c r="C296" s="146"/>
      <c r="D296" s="146"/>
      <c r="E296" s="142"/>
      <c r="F296" s="146"/>
      <c r="G296" s="143"/>
      <c r="H296" s="143"/>
      <c r="I296" s="142"/>
      <c r="J296" s="144"/>
      <c r="K296" s="145"/>
    </row>
    <row r="297">
      <c r="A297" s="139">
        <v>9</v>
      </c>
      <c r="B297" s="143"/>
      <c r="C297" s="146"/>
      <c r="D297" s="146"/>
      <c r="E297" s="142"/>
      <c r="F297" s="146"/>
      <c r="G297" s="143"/>
      <c r="H297" s="143"/>
      <c r="I297" s="142"/>
      <c r="J297" s="144"/>
      <c r="K297" s="145"/>
    </row>
    <row r="298">
      <c r="A298" s="139">
        <v>10</v>
      </c>
      <c r="B298" s="143"/>
      <c r="C298" s="146"/>
      <c r="D298" s="146"/>
      <c r="E298" s="142"/>
      <c r="F298" s="146"/>
      <c r="G298" s="143"/>
      <c r="H298" s="143"/>
      <c r="I298" s="142"/>
      <c r="J298" s="144"/>
      <c r="K298" s="145"/>
    </row>
    <row r="299">
      <c r="A299" s="139">
        <v>11</v>
      </c>
      <c r="B299" s="143"/>
      <c r="C299" s="146"/>
      <c r="D299" s="146"/>
      <c r="E299" s="142"/>
      <c r="F299" s="146"/>
      <c r="G299" s="143"/>
      <c r="H299" s="143"/>
      <c r="I299" s="142"/>
      <c r="J299" s="144"/>
      <c r="K299" s="145"/>
    </row>
    <row r="300">
      <c r="A300" s="139">
        <v>12</v>
      </c>
      <c r="B300" s="143"/>
      <c r="C300" s="146"/>
      <c r="D300" s="146"/>
      <c r="E300" s="142"/>
      <c r="F300" s="146"/>
      <c r="G300" s="143"/>
      <c r="H300" s="143"/>
      <c r="I300" s="142"/>
      <c r="J300" s="144"/>
      <c r="K300" s="145"/>
    </row>
    <row r="301">
      <c r="A301" s="139">
        <v>13</v>
      </c>
      <c r="B301" s="143"/>
      <c r="C301" s="146"/>
      <c r="D301" s="146"/>
      <c r="E301" s="142"/>
      <c r="F301" s="146"/>
      <c r="G301" s="143"/>
      <c r="H301" s="143"/>
      <c r="I301" s="142"/>
      <c r="J301" s="144"/>
      <c r="K301" s="145"/>
    </row>
    <row r="302">
      <c r="A302" s="139">
        <v>14</v>
      </c>
      <c r="B302" s="143"/>
      <c r="C302" s="146"/>
      <c r="D302" s="146"/>
      <c r="E302" s="142"/>
      <c r="F302" s="146"/>
      <c r="G302" s="143"/>
      <c r="H302" s="143"/>
      <c r="I302" s="142"/>
      <c r="J302" s="144"/>
      <c r="K302" s="145"/>
    </row>
    <row r="303" ht="15.75">
      <c r="A303" s="147">
        <v>15</v>
      </c>
      <c r="B303" s="148"/>
      <c r="C303" s="149"/>
      <c r="D303" s="149"/>
      <c r="E303" s="150"/>
      <c r="F303" s="149"/>
      <c r="G303" s="148"/>
      <c r="H303" s="148"/>
      <c r="I303" s="150"/>
      <c r="J303" s="151"/>
      <c r="K303" s="152"/>
    </row>
    <row r="304" ht="15.75">
      <c r="A304" s="22"/>
      <c r="B304" s="23" t="s">
        <v>26</v>
      </c>
      <c r="C304" s="24"/>
      <c r="D304" s="25"/>
      <c r="E304" s="26"/>
      <c r="F304" s="23"/>
      <c r="G304" s="23"/>
      <c r="H304" s="23"/>
      <c r="I304" s="23"/>
      <c r="J304" s="23"/>
      <c r="K304" s="27"/>
    </row>
    <row r="305">
      <c r="A305" s="132">
        <v>1</v>
      </c>
      <c r="B305" s="153"/>
      <c r="C305" s="153"/>
      <c r="D305" s="153"/>
      <c r="E305" s="153"/>
      <c r="F305" s="154"/>
      <c r="G305" s="153"/>
      <c r="H305" s="153"/>
      <c r="I305" s="153"/>
      <c r="J305" s="137"/>
      <c r="K305" s="138"/>
    </row>
    <row r="306">
      <c r="A306" s="139">
        <v>2</v>
      </c>
      <c r="B306" s="143"/>
      <c r="C306" s="143"/>
      <c r="D306" s="143"/>
      <c r="E306" s="143"/>
      <c r="F306" s="146"/>
      <c r="G306" s="143"/>
      <c r="H306" s="143"/>
      <c r="I306" s="143"/>
      <c r="J306" s="144"/>
      <c r="K306" s="145"/>
    </row>
    <row r="307">
      <c r="A307" s="139">
        <v>3</v>
      </c>
      <c r="B307" s="143"/>
      <c r="C307" s="143"/>
      <c r="D307" s="143"/>
      <c r="E307" s="143"/>
      <c r="F307" s="146"/>
      <c r="G307" s="143"/>
      <c r="H307" s="143"/>
      <c r="I307" s="143"/>
      <c r="J307" s="144"/>
      <c r="K307" s="145"/>
    </row>
    <row r="308">
      <c r="A308" s="139">
        <v>4</v>
      </c>
      <c r="B308" s="143"/>
      <c r="C308" s="143"/>
      <c r="D308" s="143"/>
      <c r="E308" s="143"/>
      <c r="F308" s="146"/>
      <c r="G308" s="143"/>
      <c r="H308" s="143"/>
      <c r="I308" s="143"/>
      <c r="J308" s="144"/>
      <c r="K308" s="145"/>
    </row>
    <row r="309" ht="15.75">
      <c r="A309" s="147">
        <v>5</v>
      </c>
      <c r="B309" s="148"/>
      <c r="C309" s="148"/>
      <c r="D309" s="148"/>
      <c r="E309" s="148"/>
      <c r="F309" s="149"/>
      <c r="G309" s="148"/>
      <c r="H309" s="148"/>
      <c r="I309" s="148"/>
      <c r="J309" s="151"/>
      <c r="K309" s="152"/>
    </row>
    <row r="310" ht="15.75">
      <c r="A310" s="22"/>
      <c r="B310" s="23" t="s">
        <v>19</v>
      </c>
      <c r="C310" s="24"/>
      <c r="D310" s="25"/>
      <c r="E310" s="26"/>
      <c r="F310" s="23"/>
      <c r="G310" s="23"/>
      <c r="H310" s="23"/>
      <c r="I310" s="23"/>
      <c r="J310" s="23"/>
      <c r="K310" s="27"/>
    </row>
    <row r="311">
      <c r="A311" s="132">
        <v>1</v>
      </c>
      <c r="B311" s="136"/>
      <c r="C311" s="153"/>
      <c r="D311" s="153"/>
      <c r="E311" s="153"/>
      <c r="F311" s="154"/>
      <c r="G311" s="153"/>
      <c r="H311" s="153"/>
      <c r="I311" s="153"/>
      <c r="J311" s="137"/>
      <c r="K311" s="138"/>
    </row>
    <row r="312">
      <c r="A312" s="139">
        <v>2</v>
      </c>
      <c r="B312" s="155"/>
      <c r="C312" s="155"/>
      <c r="D312" s="156"/>
      <c r="E312" s="143"/>
      <c r="F312" s="157"/>
      <c r="G312" s="143"/>
      <c r="H312" s="143"/>
      <c r="I312" s="143"/>
      <c r="J312" s="144"/>
      <c r="K312" s="145"/>
    </row>
    <row r="313">
      <c r="A313" s="139">
        <v>3</v>
      </c>
      <c r="B313" s="143"/>
      <c r="C313" s="143"/>
      <c r="D313" s="143"/>
      <c r="E313" s="143"/>
      <c r="F313" s="146"/>
      <c r="G313" s="143"/>
      <c r="H313" s="143"/>
      <c r="I313" s="143"/>
      <c r="J313" s="144"/>
      <c r="K313" s="145"/>
    </row>
    <row r="314">
      <c r="A314" s="139">
        <v>4</v>
      </c>
      <c r="B314" s="143"/>
      <c r="C314" s="143"/>
      <c r="D314" s="143"/>
      <c r="E314" s="143"/>
      <c r="F314" s="146"/>
      <c r="G314" s="143"/>
      <c r="H314" s="143"/>
      <c r="I314" s="143"/>
      <c r="J314" s="144"/>
      <c r="K314" s="145"/>
    </row>
    <row r="315" ht="15.75">
      <c r="A315" s="147">
        <v>5</v>
      </c>
      <c r="B315" s="148"/>
      <c r="C315" s="148"/>
      <c r="D315" s="148"/>
      <c r="E315" s="148"/>
      <c r="F315" s="149"/>
      <c r="G315" s="148"/>
      <c r="H315" s="148"/>
      <c r="I315" s="148"/>
      <c r="J315" s="151"/>
      <c r="K315" s="152"/>
    </row>
    <row r="316" ht="27.75" customHeight="1">
      <c r="A316" s="158" t="s">
        <v>42</v>
      </c>
      <c r="B316" s="158"/>
      <c r="C316" s="158"/>
      <c r="D316" s="158"/>
      <c r="E316" s="159">
        <f>SUM(E289:E315)</f>
        <v>0</v>
      </c>
      <c r="F316" s="160"/>
      <c r="G316" s="160"/>
      <c r="H316" s="160"/>
      <c r="I316" s="160"/>
      <c r="J316" s="160"/>
      <c r="K316" s="160"/>
    </row>
    <row r="317" ht="27.75" customHeight="1">
      <c r="A317" s="158" t="s">
        <v>43</v>
      </c>
      <c r="B317" s="158"/>
      <c r="C317" s="158"/>
      <c r="D317" s="158"/>
      <c r="E317" s="161">
        <f>E283-E316</f>
        <v>2715</v>
      </c>
      <c r="F317" s="162"/>
      <c r="G317" s="160"/>
      <c r="H317" s="160"/>
      <c r="I317" s="160"/>
      <c r="J317" s="160"/>
      <c r="K317" s="160"/>
    </row>
    <row r="318" ht="14.25">
      <c r="E318" s="1"/>
    </row>
    <row r="319" ht="14.25">
      <c r="E319" s="1"/>
    </row>
  </sheetData>
  <mergeCells count="26">
    <mergeCell ref="E1:F1"/>
    <mergeCell ref="A4:D4"/>
    <mergeCell ref="A5:D5"/>
    <mergeCell ref="A7:D7"/>
    <mergeCell ref="A159:D159"/>
    <mergeCell ref="A160:D160"/>
    <mergeCell ref="A162:D162"/>
    <mergeCell ref="A163:D163"/>
    <mergeCell ref="A164:D164"/>
    <mergeCell ref="A220:D220"/>
    <mergeCell ref="A221:D221"/>
    <mergeCell ref="A223:D223"/>
    <mergeCell ref="A224:D224"/>
    <mergeCell ref="A243:D243"/>
    <mergeCell ref="A244:D244"/>
    <mergeCell ref="A246:D246"/>
    <mergeCell ref="A247:D247"/>
    <mergeCell ref="A248:D248"/>
    <mergeCell ref="A279:D279"/>
    <mergeCell ref="A280:D280"/>
    <mergeCell ref="A283:D283"/>
    <mergeCell ref="A284:D284"/>
    <mergeCell ref="A285:D285"/>
    <mergeCell ref="A288:K288"/>
    <mergeCell ref="A316:D316"/>
    <mergeCell ref="A317:D31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1" disablePrompts="0">
        <x14:dataValidation xr:uid="{004600E1-0058-4F42-ADD4-001900A100DC}" type="list" allowBlank="1" errorStyle="stop" imeMode="noControl" operator="between" showDropDown="0" showErrorMessage="1" showInputMessage="1">
          <x14:formula1>
            <xm:f>ДаНет</xm:f>
          </x14:formula1>
          <xm:sqref>H125:H139 H145 H147 H150:H152 H222:H236 H209:H213 H262:H266 H203:H207 H162:H201 H107:H118 H268:H272 H46:H78 H246:H247 H250:H260</xm:sqref>
        </x14:dataValidation>
        <x14:dataValidation xr:uid="{006E0000-0074-4620-8291-0060009100EA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H79:H106 H248:H249</xm:sqref>
        </x14:dataValidation>
        <x14:dataValidation xr:uid="{002F007B-0098-48C6-BE29-00AA00CE00DB}" type="list" allowBlank="1" errorStyle="stop" imeMode="noControl" operator="between" showDropDown="0" showErrorMessage="1" showInputMessage="1">
          <x14:formula1>
            <xm:f>ДаНет</xm:f>
          </x14:formula1>
          <xm:sqref>H120:H124</xm:sqref>
        </x14:dataValidation>
        <x14:dataValidation xr:uid="{005E0032-0077-4481-B440-005600DF0040}" type="list" allowBlank="1" errorStyle="stop" imeMode="noControl" operator="between" showDropDown="0" showErrorMessage="1" showInputMessage="1">
          <x14:formula1>
            <xm:f>ДаНет</xm:f>
          </x14:formula1>
          <xm:sqref>H141 H144</xm:sqref>
        </x14:dataValidation>
        <x14:dataValidation xr:uid="{008E00A1-00A6-4FA4-A2C0-00C5004B0018}" type="list" allowBlank="1" errorStyle="stop" imeMode="noControl" operator="between" showDropDown="0" showErrorMessage="1" showInputMessage="1">
          <x14:formula1>
            <xm:f>ДаНет</xm:f>
          </x14:formula1>
          <xm:sqref>H143</xm:sqref>
        </x14:dataValidation>
        <x14:dataValidation xr:uid="{005100C5-007E-4075-A78B-007E00010037}" type="list" allowBlank="1" errorStyle="stop" imeMode="noControl" operator="between" showDropDown="0" showErrorMessage="1" showInputMessage="1">
          <x14:formula1>
            <xm:f>ДаНет</xm:f>
          </x14:formula1>
          <xm:sqref>H142</xm:sqref>
        </x14:dataValidation>
        <x14:dataValidation xr:uid="{00480042-0010-4508-B4C0-0095006F004D}" type="list" allowBlank="1" errorStyle="stop" imeMode="noControl" operator="between" showDropDown="0" showErrorMessage="1" showInputMessage="1">
          <x14:formula1>
            <xm:f>ДаНет</xm:f>
          </x14:formula1>
          <xm:sqref>H148</xm:sqref>
        </x14:dataValidation>
        <x14:dataValidation xr:uid="{002900CF-005C-4D10-9AE3-002A009900F0}" type="list" allowBlank="1" errorStyle="stop" imeMode="noControl" operator="between" showDropDown="0" showErrorMessage="1" showInputMessage="1">
          <x14:formula1>
            <xm:f>ДаНет</xm:f>
          </x14:formula1>
          <xm:sqref>H149</xm:sqref>
        </x14:dataValidation>
        <x14:dataValidation xr:uid="{007100DA-0025-493A-A820-0084009400A8}" type="list" allowBlank="1" errorStyle="stop" imeMode="noControl" operator="between" showDropDown="0" showErrorMessage="1" showInputMessage="1">
          <x14:formula1>
            <xm:f>ДаНет</xm:f>
          </x14:formula1>
          <xm:sqref>H43:H44</xm:sqref>
        </x14:dataValidation>
        <x14:dataValidation xr:uid="{002400ED-008E-4ED7-9C8D-00C800580027}" type="list" allowBlank="1" errorStyle="stop" imeMode="noControl" operator="between" showDropDown="0" showErrorMessage="1" showInputMessage="1">
          <x14:formula1>
            <xm:f>ДаНет</xm:f>
          </x14:formula1>
          <xm:sqref>H41</xm:sqref>
        </x14:dataValidation>
        <x14:dataValidation xr:uid="{0083004E-0079-4593-AFFF-0037008200FD}" type="list" allowBlank="1" errorStyle="stop" imeMode="noControl" operator="between" showDropDown="0" showErrorMessage="1" showInputMessage="1">
          <x14:formula1>
            <xm:f>ДаНет</xm:f>
          </x14:formula1>
          <xm:sqref>H45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5">
    <tabColor theme="3"/>
    <outlinePr applyStyles="0" summaryBelow="1" summaryRight="1" showOutlineSymbols="1"/>
    <pageSetUpPr autoPageBreaks="1" fitToPage="1"/>
  </sheetPr>
  <sheetViews>
    <sheetView showGridLines="0" showRuler="1" topLeftCell="A97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'24'!C2+1</f>
        <v>46106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575485.87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564665.18000000005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536" t="s">
        <v>573</v>
      </c>
      <c r="C11" s="543" t="s">
        <v>49</v>
      </c>
      <c r="D11" s="536" t="s">
        <v>50</v>
      </c>
      <c r="E11" s="787">
        <v>1000000</v>
      </c>
      <c r="F11" s="543" t="s">
        <v>51</v>
      </c>
      <c r="G11" s="33"/>
      <c r="H11" s="34"/>
      <c r="I11" s="35"/>
      <c r="J11" s="36" t="s">
        <v>47</v>
      </c>
      <c r="K11" s="37"/>
    </row>
    <row r="12" ht="14.25" customHeight="1" outlineLevel="1">
      <c r="A12" s="38">
        <v>2</v>
      </c>
      <c r="B12" s="752" t="s">
        <v>48</v>
      </c>
      <c r="C12" s="788" t="s">
        <v>638</v>
      </c>
      <c r="D12" s="788" t="s">
        <v>639</v>
      </c>
      <c r="E12" s="178">
        <v>1000000</v>
      </c>
      <c r="F12" s="789" t="s">
        <v>640</v>
      </c>
      <c r="G12" s="39"/>
      <c r="H12" s="42"/>
      <c r="I12" s="42"/>
      <c r="J12" s="43" t="s">
        <v>47</v>
      </c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553" t="s">
        <v>406</v>
      </c>
      <c r="C122" s="553" t="s">
        <v>407</v>
      </c>
      <c r="D122" s="553" t="s">
        <v>408</v>
      </c>
      <c r="E122" s="790">
        <v>14194.719999999999</v>
      </c>
      <c r="F122" s="558" t="s">
        <v>410</v>
      </c>
      <c r="G122" s="56"/>
      <c r="H122" s="102"/>
      <c r="I122" s="56"/>
      <c r="J122" s="66" t="s">
        <v>47</v>
      </c>
      <c r="K122" s="67"/>
    </row>
    <row r="123" ht="14.25" customHeight="1" outlineLevel="1">
      <c r="A123" s="256">
        <v>2</v>
      </c>
      <c r="B123" s="791" t="s">
        <v>406</v>
      </c>
      <c r="C123" s="791" t="s">
        <v>411</v>
      </c>
      <c r="D123" s="791" t="s">
        <v>412</v>
      </c>
      <c r="E123" s="792">
        <v>1220</v>
      </c>
      <c r="F123" s="251" t="s">
        <v>410</v>
      </c>
      <c r="G123" s="191"/>
      <c r="H123" s="191"/>
      <c r="I123" s="191"/>
      <c r="J123" s="203" t="s">
        <v>47</v>
      </c>
      <c r="K123" s="58"/>
    </row>
    <row r="124" ht="14.25" customHeight="1" outlineLevel="1">
      <c r="A124" s="256">
        <v>3</v>
      </c>
      <c r="B124" s="793" t="s">
        <v>209</v>
      </c>
      <c r="C124" s="793" t="s">
        <v>213</v>
      </c>
      <c r="D124" s="791" t="s">
        <v>574</v>
      </c>
      <c r="E124" s="357">
        <v>100000</v>
      </c>
      <c r="F124" s="791" t="s">
        <v>575</v>
      </c>
      <c r="G124" s="191" t="s">
        <v>488</v>
      </c>
      <c r="H124" s="191"/>
      <c r="I124" s="191"/>
      <c r="J124" s="203" t="s">
        <v>47</v>
      </c>
      <c r="K124" s="58"/>
    </row>
    <row r="125" ht="14.25" customHeight="1" outlineLevel="1">
      <c r="A125" s="256">
        <v>4</v>
      </c>
      <c r="B125" s="793" t="s">
        <v>209</v>
      </c>
      <c r="C125" s="793" t="s">
        <v>576</v>
      </c>
      <c r="D125" s="793" t="s">
        <v>577</v>
      </c>
      <c r="E125" s="357">
        <v>8000</v>
      </c>
      <c r="F125" s="793" t="s">
        <v>579</v>
      </c>
      <c r="G125" s="190" t="s">
        <v>488</v>
      </c>
      <c r="H125" s="793"/>
      <c r="I125" s="793" t="s">
        <v>580</v>
      </c>
      <c r="J125" s="203" t="s">
        <v>47</v>
      </c>
      <c r="K125" s="58"/>
    </row>
    <row r="126" ht="14.25" customHeight="1" outlineLevel="1">
      <c r="A126" s="256">
        <v>5</v>
      </c>
      <c r="B126" s="793" t="s">
        <v>209</v>
      </c>
      <c r="C126" s="793" t="s">
        <v>581</v>
      </c>
      <c r="D126" s="793" t="s">
        <v>582</v>
      </c>
      <c r="E126" s="357">
        <v>2200</v>
      </c>
      <c r="F126" s="793" t="s">
        <v>584</v>
      </c>
      <c r="G126" s="190" t="s">
        <v>488</v>
      </c>
      <c r="H126" s="793"/>
      <c r="I126" s="793" t="s">
        <v>585</v>
      </c>
      <c r="J126" s="203" t="s">
        <v>47</v>
      </c>
      <c r="K126" s="58"/>
    </row>
    <row r="127" ht="25.5" customHeight="1" outlineLevel="1">
      <c r="A127" s="256">
        <v>6</v>
      </c>
      <c r="B127" s="793" t="s">
        <v>209</v>
      </c>
      <c r="C127" s="793" t="s">
        <v>586</v>
      </c>
      <c r="D127" s="793" t="s">
        <v>587</v>
      </c>
      <c r="E127" s="357">
        <v>15000</v>
      </c>
      <c r="F127" s="260" t="s">
        <v>589</v>
      </c>
      <c r="G127" s="190" t="s">
        <v>488</v>
      </c>
      <c r="H127" s="793"/>
      <c r="I127" s="793"/>
      <c r="J127" s="203" t="s">
        <v>47</v>
      </c>
      <c r="K127" s="58"/>
    </row>
    <row r="128" ht="14.25" customHeight="1" outlineLevel="1">
      <c r="A128" s="256">
        <v>7</v>
      </c>
      <c r="B128" s="191"/>
      <c r="C128" s="191"/>
      <c r="D128" s="191"/>
      <c r="E128" s="709"/>
      <c r="F128" s="190"/>
      <c r="G128" s="191"/>
      <c r="H128" s="191"/>
      <c r="I128" s="191"/>
      <c r="J128" s="203"/>
      <c r="K128" s="58"/>
    </row>
    <row r="129" ht="14.25" customHeight="1" outlineLevel="1">
      <c r="A129" s="68">
        <v>8</v>
      </c>
      <c r="B129" s="99"/>
      <c r="C129" s="99"/>
      <c r="D129" s="99"/>
      <c r="E129" s="100"/>
      <c r="F129" s="101"/>
      <c r="G129" s="99"/>
      <c r="H129" s="99"/>
      <c r="I129" s="9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172" t="s">
        <v>19</v>
      </c>
      <c r="C142" s="173"/>
      <c r="D142" s="174"/>
      <c r="E142" s="26"/>
      <c r="F142" s="23"/>
      <c r="G142" s="23"/>
      <c r="H142" s="23"/>
      <c r="I142" s="23"/>
      <c r="J142" s="172"/>
      <c r="K142" s="27"/>
    </row>
    <row r="143" ht="27.75" customHeight="1" outlineLevel="1">
      <c r="A143" s="248">
        <v>1</v>
      </c>
      <c r="B143" s="563" t="s">
        <v>222</v>
      </c>
      <c r="C143" s="564" t="s">
        <v>414</v>
      </c>
      <c r="D143" s="563" t="s">
        <v>415</v>
      </c>
      <c r="E143" s="794">
        <v>29828.709999999999</v>
      </c>
      <c r="F143" s="76" t="s">
        <v>625</v>
      </c>
      <c r="G143" s="63"/>
      <c r="H143" s="63"/>
      <c r="I143" s="63"/>
      <c r="J143" s="57" t="s">
        <v>47</v>
      </c>
      <c r="K143" s="67"/>
    </row>
    <row r="144" ht="29.25" customHeight="1" outlineLevel="1">
      <c r="A144" s="256">
        <v>2</v>
      </c>
      <c r="B144" s="279" t="s">
        <v>222</v>
      </c>
      <c r="C144" s="270" t="s">
        <v>417</v>
      </c>
      <c r="D144" s="270" t="s">
        <v>397</v>
      </c>
      <c r="E144" s="795">
        <v>80984.720000000001</v>
      </c>
      <c r="F144" s="665" t="s">
        <v>625</v>
      </c>
      <c r="G144" s="59"/>
      <c r="H144" s="59"/>
      <c r="I144" s="59"/>
      <c r="J144" s="57" t="s">
        <v>47</v>
      </c>
      <c r="K144" s="58"/>
    </row>
    <row r="145" ht="26.25" customHeight="1" outlineLevel="1">
      <c r="A145" s="256">
        <v>3</v>
      </c>
      <c r="B145" s="279" t="s">
        <v>222</v>
      </c>
      <c r="C145" s="453" t="s">
        <v>399</v>
      </c>
      <c r="D145" s="270" t="s">
        <v>397</v>
      </c>
      <c r="E145" s="264">
        <v>161581.57000000001</v>
      </c>
      <c r="F145" s="796" t="s">
        <v>625</v>
      </c>
      <c r="G145" s="245"/>
      <c r="H145" s="59"/>
      <c r="I145" s="59"/>
      <c r="J145" s="57" t="s">
        <v>47</v>
      </c>
      <c r="K145" s="58"/>
    </row>
    <row r="146" ht="26.25" customHeight="1" outlineLevel="1">
      <c r="A146" s="571">
        <v>4</v>
      </c>
      <c r="B146" s="191" t="s">
        <v>222</v>
      </c>
      <c r="C146" s="453" t="s">
        <v>399</v>
      </c>
      <c r="D146" s="190" t="s">
        <v>397</v>
      </c>
      <c r="E146" s="264">
        <v>13573.530000000001</v>
      </c>
      <c r="F146" s="190" t="s">
        <v>398</v>
      </c>
      <c r="G146" s="244"/>
      <c r="H146" s="56"/>
      <c r="I146" s="56"/>
      <c r="J146" s="80" t="s">
        <v>47</v>
      </c>
      <c r="K146" s="81"/>
    </row>
    <row r="147" ht="34.5" customHeight="1" outlineLevel="1">
      <c r="A147" s="571">
        <v>5</v>
      </c>
      <c r="B147" s="797" t="s">
        <v>222</v>
      </c>
      <c r="C147" s="798" t="s">
        <v>223</v>
      </c>
      <c r="D147" s="798" t="s">
        <v>224</v>
      </c>
      <c r="E147" s="799">
        <v>98000</v>
      </c>
      <c r="F147" s="182" t="s">
        <v>641</v>
      </c>
      <c r="G147" s="244"/>
      <c r="H147" s="56"/>
      <c r="I147" s="56"/>
      <c r="J147" s="80" t="s">
        <v>47</v>
      </c>
      <c r="K147" s="81"/>
    </row>
    <row r="148" ht="34.5" customHeight="1" outlineLevel="1">
      <c r="A148" s="800">
        <v>6</v>
      </c>
      <c r="B148" s="801" t="s">
        <v>642</v>
      </c>
      <c r="C148" s="801" t="s">
        <v>643</v>
      </c>
      <c r="D148" s="801" t="s">
        <v>644</v>
      </c>
      <c r="E148" s="802">
        <v>1061.76</v>
      </c>
      <c r="F148" s="803" t="s">
        <v>645</v>
      </c>
      <c r="G148" s="70"/>
      <c r="H148" s="70"/>
      <c r="I148" s="70"/>
      <c r="J148" s="57" t="s">
        <v>47</v>
      </c>
      <c r="K148" s="74"/>
    </row>
    <row r="149" s="21" customFormat="1" ht="18.75" customHeight="1" outlineLevel="1">
      <c r="A149" s="22"/>
      <c r="B149" s="23" t="s">
        <v>20</v>
      </c>
      <c r="C149" s="24"/>
      <c r="D149" s="25"/>
      <c r="E149" s="26"/>
      <c r="F149" s="23"/>
      <c r="G149" s="23"/>
      <c r="H149" s="23"/>
      <c r="I149" s="23"/>
      <c r="J149" s="465"/>
      <c r="K149" s="27"/>
    </row>
    <row r="150" ht="14.25" customHeight="1" outlineLevel="1">
      <c r="A150" s="68">
        <v>1</v>
      </c>
      <c r="B150" s="63"/>
      <c r="C150" s="63"/>
      <c r="D150" s="63"/>
      <c r="E150" s="64"/>
      <c r="F150" s="65"/>
      <c r="G150" s="63"/>
      <c r="H150" s="63"/>
      <c r="I150" s="63"/>
      <c r="J150" s="66"/>
      <c r="K150" s="67"/>
    </row>
    <row r="151" ht="14.25" customHeight="1" outlineLevel="1">
      <c r="A151" s="68">
        <v>2</v>
      </c>
      <c r="B151" s="59"/>
      <c r="C151" s="59"/>
      <c r="D151" s="59"/>
      <c r="E151" s="60"/>
      <c r="F151" s="61"/>
      <c r="G151" s="59"/>
      <c r="H151" s="59"/>
      <c r="I151" s="59"/>
      <c r="J151" s="57"/>
      <c r="K151" s="58"/>
    </row>
    <row r="152" ht="14.25" customHeight="1" outlineLevel="1">
      <c r="A152" s="68">
        <v>3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4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5</v>
      </c>
      <c r="B154" s="56"/>
      <c r="C154" s="56"/>
      <c r="D154" s="56"/>
      <c r="E154" s="78"/>
      <c r="F154" s="79"/>
      <c r="G154" s="56"/>
      <c r="H154" s="56"/>
      <c r="I154" s="56"/>
      <c r="J154" s="80"/>
      <c r="K154" s="81"/>
    </row>
    <row r="155" ht="14.25" customHeight="1" outlineLevel="1">
      <c r="A155" s="68">
        <v>6</v>
      </c>
      <c r="B155" s="70"/>
      <c r="C155" s="70"/>
      <c r="D155" s="70"/>
      <c r="E155" s="71"/>
      <c r="F155" s="72"/>
      <c r="G155" s="70"/>
      <c r="H155" s="70"/>
      <c r="I155" s="70"/>
      <c r="J155" s="73"/>
      <c r="K155" s="74"/>
    </row>
    <row r="156" s="21" customFormat="1" ht="23.25" customHeight="1">
      <c r="A156" s="82" t="s">
        <v>21</v>
      </c>
      <c r="B156" s="83"/>
      <c r="C156" s="83"/>
      <c r="D156" s="84"/>
      <c r="E156" s="85">
        <f>SUM(E10:E155)</f>
        <v>2525645.0099999993</v>
      </c>
    </row>
    <row r="157" s="21" customFormat="1" ht="23.25" customHeight="1">
      <c r="A157" s="82" t="s">
        <v>22</v>
      </c>
      <c r="B157" s="83"/>
      <c r="C157" s="83"/>
      <c r="D157" s="84"/>
      <c r="E157" s="85">
        <f>E4-E156</f>
        <v>-1950159.1399999992</v>
      </c>
      <c r="F157" s="86"/>
    </row>
    <row r="158" ht="27.75" customHeight="1">
      <c r="E158" s="1"/>
    </row>
    <row r="159" ht="29.25" customHeight="1">
      <c r="A159" s="9" t="s">
        <v>23</v>
      </c>
      <c r="B159" s="10"/>
      <c r="C159" s="10"/>
      <c r="D159" s="11"/>
      <c r="E159" s="12">
        <f>SUM(E160:E161)</f>
        <v>821859.94999999995</v>
      </c>
      <c r="F159" s="163" t="s">
        <v>44</v>
      </c>
      <c r="G159" s="13"/>
      <c r="H159" s="13"/>
      <c r="I159" s="13"/>
    </row>
    <row r="160" ht="15" customHeight="1">
      <c r="A160" s="14"/>
      <c r="B160" s="15"/>
      <c r="C160" s="15"/>
      <c r="D160" s="16"/>
      <c r="E160" s="17"/>
      <c r="F160" s="13"/>
      <c r="G160" s="13"/>
      <c r="H160" s="13"/>
      <c r="I160" s="13"/>
    </row>
    <row r="161" ht="15" customHeight="1">
      <c r="A161" s="14" t="s">
        <v>24</v>
      </c>
      <c r="B161" s="15"/>
      <c r="C161" s="15"/>
      <c r="D161" s="16"/>
      <c r="E161" s="17">
        <v>821859.94999999995</v>
      </c>
      <c r="F161" s="13"/>
      <c r="G161" s="13"/>
      <c r="H161" s="13"/>
      <c r="I161" s="13"/>
    </row>
    <row r="162" ht="6" customHeight="1">
      <c r="A162" s="13"/>
      <c r="B162" s="13"/>
      <c r="C162" s="13"/>
      <c r="D162" s="13"/>
      <c r="E162" s="13"/>
      <c r="F162" s="13"/>
      <c r="G162" s="13"/>
      <c r="H162" s="13"/>
      <c r="I162" s="13"/>
    </row>
    <row r="163" ht="26.25" customHeight="1" outlineLevel="1">
      <c r="A163" s="87" t="s">
        <v>6</v>
      </c>
      <c r="B163" s="87" t="s">
        <v>7</v>
      </c>
      <c r="C163" s="87" t="s">
        <v>8</v>
      </c>
      <c r="D163" s="87" t="s">
        <v>9</v>
      </c>
      <c r="E163" s="88" t="s">
        <v>10</v>
      </c>
      <c r="F163" s="87" t="s">
        <v>11</v>
      </c>
      <c r="G163" s="87" t="s">
        <v>12</v>
      </c>
      <c r="H163" s="89" t="s">
        <v>13</v>
      </c>
      <c r="I163" s="87" t="s">
        <v>14</v>
      </c>
      <c r="J163" s="87" t="s">
        <v>15</v>
      </c>
      <c r="K163" s="87" t="s">
        <v>16</v>
      </c>
    </row>
    <row r="164" s="21" customFormat="1" ht="20.25" customHeight="1" outlineLevel="1">
      <c r="A164" s="22"/>
      <c r="B164" s="23" t="s">
        <v>25</v>
      </c>
      <c r="C164" s="24"/>
      <c r="D164" s="25"/>
      <c r="E164" s="26"/>
      <c r="F164" s="23"/>
      <c r="G164" s="23"/>
      <c r="H164" s="23"/>
      <c r="I164" s="23"/>
      <c r="J164" s="23"/>
      <c r="K164" s="27"/>
    </row>
    <row r="165" ht="14.25" customHeight="1" outlineLevel="1">
      <c r="A165" s="62">
        <v>1</v>
      </c>
      <c r="B165" s="334"/>
      <c r="C165" s="334"/>
      <c r="D165" s="334"/>
      <c r="E165" s="268"/>
      <c r="F165" s="335"/>
      <c r="G165" s="334"/>
      <c r="H165" s="540"/>
      <c r="I165" s="59"/>
      <c r="J165" s="66"/>
      <c r="K165" s="67"/>
    </row>
    <row r="166" ht="14.25" customHeight="1" outlineLevel="1">
      <c r="A166" s="68">
        <v>2</v>
      </c>
      <c r="B166" s="334"/>
      <c r="C166" s="334"/>
      <c r="D166" s="334"/>
      <c r="E166" s="268"/>
      <c r="F166" s="335"/>
      <c r="G166" s="334"/>
      <c r="H166" s="540"/>
      <c r="I166" s="59"/>
      <c r="J166" s="57"/>
      <c r="K166" s="58"/>
    </row>
    <row r="167" ht="14.25" customHeight="1" outlineLevel="1">
      <c r="A167" s="68">
        <v>3</v>
      </c>
      <c r="B167" s="334"/>
      <c r="C167" s="334"/>
      <c r="D167" s="334"/>
      <c r="E167" s="268"/>
      <c r="F167" s="335"/>
      <c r="G167" s="334"/>
      <c r="H167" s="540"/>
      <c r="I167" s="59"/>
      <c r="J167" s="57"/>
      <c r="K167" s="58"/>
    </row>
    <row r="168" ht="14.25" customHeight="1" outlineLevel="1">
      <c r="A168" s="68">
        <v>4</v>
      </c>
      <c r="B168" s="334"/>
      <c r="C168" s="334"/>
      <c r="D168" s="334"/>
      <c r="E168" s="268"/>
      <c r="F168" s="335"/>
      <c r="G168" s="334"/>
      <c r="H168" s="540"/>
      <c r="I168" s="59"/>
      <c r="J168" s="57"/>
      <c r="K168" s="58"/>
    </row>
    <row r="169" ht="14.25" customHeight="1" outlineLevel="1">
      <c r="A169" s="68">
        <v>5</v>
      </c>
      <c r="B169" s="334"/>
      <c r="C169" s="334"/>
      <c r="D169" s="334"/>
      <c r="E169" s="268"/>
      <c r="F169" s="804"/>
      <c r="G169" s="334"/>
      <c r="H169" s="540"/>
      <c r="I169" s="59"/>
      <c r="J169" s="57"/>
      <c r="K169" s="58"/>
    </row>
    <row r="170" ht="14.25" customHeight="1" outlineLevel="1">
      <c r="A170" s="68">
        <v>6</v>
      </c>
      <c r="B170" s="805"/>
      <c r="C170" s="805"/>
      <c r="D170" s="804"/>
      <c r="E170" s="806"/>
      <c r="F170" s="677"/>
      <c r="G170" s="526"/>
      <c r="H170" s="540"/>
      <c r="I170" s="59"/>
      <c r="J170" s="57"/>
      <c r="K170" s="58"/>
    </row>
    <row r="171" ht="14.25" customHeight="1" outlineLevel="1">
      <c r="A171" s="68">
        <v>7</v>
      </c>
      <c r="B171" s="807"/>
      <c r="C171" s="249"/>
      <c r="D171" s="677"/>
      <c r="E171" s="808"/>
      <c r="F171" s="677"/>
      <c r="G171" s="526"/>
      <c r="H171" s="540"/>
      <c r="I171" s="59"/>
      <c r="J171" s="57"/>
      <c r="K171" s="58"/>
    </row>
    <row r="172" ht="14.25" customHeight="1" outlineLevel="1">
      <c r="A172" s="68">
        <v>8</v>
      </c>
      <c r="B172" s="809"/>
      <c r="C172" s="809"/>
      <c r="D172" s="809"/>
      <c r="E172" s="810"/>
      <c r="F172" s="811"/>
      <c r="G172" s="334"/>
      <c r="H172" s="540"/>
      <c r="I172" s="59"/>
      <c r="J172" s="57"/>
      <c r="K172" s="58"/>
    </row>
    <row r="173" ht="14.25" customHeight="1" outlineLevel="1">
      <c r="A173" s="68">
        <v>9</v>
      </c>
      <c r="B173" s="334"/>
      <c r="C173" s="334"/>
      <c r="D173" s="334"/>
      <c r="E173" s="675"/>
      <c r="F173" s="336"/>
      <c r="G173" s="526"/>
      <c r="H173" s="540"/>
      <c r="I173" s="59"/>
      <c r="J173" s="57"/>
      <c r="K173" s="58"/>
    </row>
    <row r="174" ht="14.25" customHeight="1" outlineLevel="1">
      <c r="A174" s="68">
        <v>10</v>
      </c>
      <c r="B174" s="805"/>
      <c r="C174" s="334"/>
      <c r="D174" s="805"/>
      <c r="E174" s="675"/>
      <c r="F174" s="812"/>
      <c r="G174" s="526"/>
      <c r="H174" s="540"/>
      <c r="I174" s="59"/>
      <c r="J174" s="57"/>
      <c r="K174" s="58"/>
    </row>
    <row r="175" ht="14.25" customHeight="1" outlineLevel="1">
      <c r="A175" s="68">
        <v>11</v>
      </c>
      <c r="B175" s="813"/>
      <c r="C175" s="814"/>
      <c r="D175" s="815"/>
      <c r="E175" s="814"/>
      <c r="F175" s="816"/>
      <c r="G175" s="526"/>
      <c r="H175" s="540"/>
      <c r="I175" s="59"/>
      <c r="J175" s="57"/>
      <c r="K175" s="58"/>
    </row>
    <row r="176" ht="14.25" customHeight="1" outlineLevel="1">
      <c r="A176" s="68">
        <v>12</v>
      </c>
      <c r="B176" s="817"/>
      <c r="C176" s="815"/>
      <c r="D176" s="816"/>
      <c r="E176" s="815"/>
      <c r="F176" s="816"/>
      <c r="G176" s="526"/>
      <c r="H176" s="540"/>
      <c r="I176" s="59"/>
      <c r="J176" s="57"/>
      <c r="K176" s="58"/>
    </row>
    <row r="177" ht="14.25" customHeight="1" outlineLevel="1">
      <c r="A177" s="68">
        <v>13</v>
      </c>
      <c r="B177" s="807"/>
      <c r="C177" s="677"/>
      <c r="D177" s="677"/>
      <c r="E177" s="532"/>
      <c r="F177" s="677"/>
      <c r="G177" s="526"/>
      <c r="H177" s="540"/>
      <c r="I177" s="59"/>
      <c r="J177" s="57"/>
      <c r="K177" s="58"/>
    </row>
    <row r="178" ht="14.25" customHeight="1" outlineLevel="1">
      <c r="A178" s="68">
        <v>14</v>
      </c>
      <c r="B178" s="807"/>
      <c r="C178" s="249"/>
      <c r="D178" s="525"/>
      <c r="E178" s="818"/>
      <c r="F178" s="677"/>
      <c r="G178" s="526"/>
      <c r="H178" s="540"/>
      <c r="I178" s="59"/>
      <c r="J178" s="57"/>
      <c r="K178" s="58"/>
    </row>
    <row r="179" ht="14.25" customHeight="1" outlineLevel="1">
      <c r="A179" s="68">
        <v>15</v>
      </c>
      <c r="B179" s="807"/>
      <c r="C179" s="249"/>
      <c r="D179" s="677"/>
      <c r="E179" s="818"/>
      <c r="F179" s="677"/>
      <c r="G179" s="526"/>
      <c r="H179" s="540"/>
      <c r="I179" s="59"/>
      <c r="J179" s="57"/>
      <c r="K179" s="58"/>
    </row>
    <row r="180" ht="14.25" customHeight="1" outlineLevel="1">
      <c r="A180" s="68">
        <v>16</v>
      </c>
      <c r="B180" s="807"/>
      <c r="C180" s="249"/>
      <c r="D180" s="677"/>
      <c r="E180" s="818"/>
      <c r="F180" s="677"/>
      <c r="G180" s="526"/>
      <c r="H180" s="540"/>
      <c r="I180" s="59"/>
      <c r="J180" s="57"/>
      <c r="K180" s="58"/>
    </row>
    <row r="181" ht="14.25" customHeight="1" outlineLevel="1">
      <c r="A181" s="256">
        <v>17</v>
      </c>
      <c r="B181" s="525"/>
      <c r="C181" s="249"/>
      <c r="D181" s="677"/>
      <c r="E181" s="818"/>
      <c r="F181" s="677"/>
      <c r="G181" s="526"/>
      <c r="H181" s="540"/>
      <c r="I181" s="59"/>
      <c r="J181" s="57"/>
      <c r="K181" s="58"/>
    </row>
    <row r="182" ht="14.25" customHeight="1" outlineLevel="1">
      <c r="A182" s="68">
        <v>18</v>
      </c>
      <c r="B182" s="807"/>
      <c r="C182" s="249"/>
      <c r="D182" s="677"/>
      <c r="E182" s="808"/>
      <c r="F182" s="677"/>
      <c r="G182" s="526"/>
      <c r="H182" s="540"/>
      <c r="I182" s="59"/>
      <c r="J182" s="57"/>
      <c r="K182" s="58"/>
    </row>
    <row r="183" ht="14.25" customHeight="1" outlineLevel="1">
      <c r="A183" s="68">
        <v>19</v>
      </c>
      <c r="B183" s="819"/>
      <c r="C183" s="329"/>
      <c r="D183" s="330"/>
      <c r="E183" s="820"/>
      <c r="F183" s="330"/>
      <c r="G183" s="526"/>
      <c r="H183" s="540"/>
      <c r="I183" s="59"/>
      <c r="J183" s="57"/>
      <c r="K183" s="58"/>
    </row>
    <row r="184" ht="14.25" customHeight="1" outlineLevel="1">
      <c r="A184" s="68">
        <v>20</v>
      </c>
      <c r="B184" s="334"/>
      <c r="C184" s="540"/>
      <c r="D184" s="478"/>
      <c r="E184" s="676"/>
      <c r="F184" s="821"/>
      <c r="G184" s="526"/>
      <c r="H184" s="540"/>
      <c r="I184" s="59"/>
      <c r="J184" s="57"/>
      <c r="K184" s="58"/>
    </row>
    <row r="185" ht="14.25" customHeight="1" outlineLevel="1">
      <c r="A185" s="68">
        <v>21</v>
      </c>
      <c r="B185" s="334"/>
      <c r="C185" s="334"/>
      <c r="D185" s="334"/>
      <c r="E185" s="675"/>
      <c r="F185" s="336"/>
      <c r="G185" s="526"/>
      <c r="H185" s="540"/>
      <c r="I185" s="59"/>
      <c r="J185" s="57"/>
      <c r="K185" s="58"/>
    </row>
    <row r="186" ht="14.25" customHeight="1" outlineLevel="1">
      <c r="A186" s="68">
        <v>22</v>
      </c>
      <c r="B186" s="334"/>
      <c r="C186" s="334"/>
      <c r="D186" s="335"/>
      <c r="E186" s="822"/>
      <c r="F186" s="336"/>
      <c r="G186" s="526"/>
      <c r="H186" s="540"/>
      <c r="I186" s="59"/>
      <c r="J186" s="57"/>
      <c r="K186" s="58"/>
    </row>
    <row r="187" ht="14.25" customHeight="1" outlineLevel="1">
      <c r="A187" s="68">
        <v>23</v>
      </c>
      <c r="B187" s="334"/>
      <c r="C187" s="540"/>
      <c r="D187" s="478"/>
      <c r="E187" s="676"/>
      <c r="F187" s="821"/>
      <c r="G187" s="539"/>
      <c r="H187" s="540"/>
      <c r="I187" s="59"/>
      <c r="J187" s="57"/>
      <c r="K187" s="58"/>
    </row>
    <row r="188" ht="14.25" customHeight="1" outlineLevel="1">
      <c r="A188" s="68">
        <v>24</v>
      </c>
      <c r="B188" s="334"/>
      <c r="C188" s="334"/>
      <c r="D188" s="335"/>
      <c r="E188" s="268"/>
      <c r="F188" s="804"/>
      <c r="G188" s="540"/>
      <c r="H188" s="540"/>
      <c r="I188" s="59"/>
      <c r="J188" s="57"/>
      <c r="K188" s="58"/>
    </row>
    <row r="189" ht="14.25" customHeight="1" outlineLevel="1">
      <c r="A189" s="68">
        <v>25</v>
      </c>
      <c r="B189" s="334"/>
      <c r="C189" s="334"/>
      <c r="D189" s="335"/>
      <c r="E189" s="675"/>
      <c r="F189" s="677"/>
      <c r="G189" s="539"/>
      <c r="H189" s="540"/>
      <c r="I189" s="59"/>
      <c r="J189" s="57"/>
      <c r="K189" s="58"/>
    </row>
    <row r="190" ht="14.25" customHeight="1" outlineLevel="1">
      <c r="A190" s="68">
        <v>26</v>
      </c>
      <c r="B190" s="809"/>
      <c r="C190" s="809"/>
      <c r="D190" s="811"/>
      <c r="E190" s="675"/>
      <c r="F190" s="823"/>
      <c r="G190" s="539"/>
      <c r="H190" s="824"/>
      <c r="I190" s="98"/>
      <c r="J190" s="57"/>
      <c r="K190" s="58"/>
    </row>
    <row r="191" ht="14.25" customHeight="1" outlineLevel="1">
      <c r="A191" s="68">
        <v>27</v>
      </c>
      <c r="B191" s="824"/>
      <c r="C191" s="824"/>
      <c r="D191" s="825"/>
      <c r="E191" s="676"/>
      <c r="F191" s="812"/>
      <c r="G191" s="539"/>
      <c r="H191" s="824"/>
      <c r="I191" s="98"/>
      <c r="J191" s="57"/>
      <c r="K191" s="58"/>
    </row>
    <row r="192" ht="14.25" customHeight="1" outlineLevel="1">
      <c r="A192" s="68">
        <v>28</v>
      </c>
      <c r="B192" s="809"/>
      <c r="C192" s="809"/>
      <c r="D192" s="811"/>
      <c r="E192" s="675"/>
      <c r="F192" s="677"/>
      <c r="G192" s="539"/>
      <c r="H192" s="824"/>
      <c r="I192" s="98"/>
      <c r="J192" s="57"/>
      <c r="K192" s="58"/>
    </row>
    <row r="193" ht="14.25" customHeight="1" outlineLevel="1">
      <c r="A193" s="68">
        <v>29</v>
      </c>
      <c r="B193" s="809"/>
      <c r="C193" s="809"/>
      <c r="D193" s="811"/>
      <c r="E193" s="675"/>
      <c r="F193" s="823"/>
      <c r="G193" s="539"/>
      <c r="H193" s="824"/>
      <c r="I193" s="98"/>
      <c r="J193" s="57"/>
      <c r="K193" s="58"/>
    </row>
    <row r="194" ht="14.25" customHeight="1" outlineLevel="1">
      <c r="A194" s="77">
        <v>30</v>
      </c>
      <c r="B194" s="826"/>
      <c r="C194" s="827"/>
      <c r="D194" s="827"/>
      <c r="E194" s="828"/>
      <c r="F194" s="829"/>
      <c r="G194" s="830"/>
      <c r="H194" s="824"/>
      <c r="I194" s="98"/>
      <c r="J194" s="57"/>
      <c r="K194" s="58"/>
    </row>
    <row r="195" s="21" customFormat="1" ht="20.25" customHeight="1" outlineLevel="1">
      <c r="A195" s="22"/>
      <c r="B195" s="831" t="s">
        <v>26</v>
      </c>
      <c r="C195" s="832"/>
      <c r="D195" s="833"/>
      <c r="E195" s="834"/>
      <c r="F195" s="835"/>
      <c r="G195" s="23"/>
      <c r="H195" s="23"/>
      <c r="I195" s="23"/>
      <c r="J195" s="23"/>
      <c r="K195" s="27"/>
    </row>
    <row r="196" ht="14.25" customHeight="1" outlineLevel="1">
      <c r="A196" s="68">
        <v>3</v>
      </c>
      <c r="B196" s="56"/>
      <c r="C196" s="56"/>
      <c r="D196" s="56"/>
      <c r="E196" s="78"/>
      <c r="F196" s="710"/>
      <c r="G196" s="59"/>
      <c r="H196" s="59"/>
      <c r="I196" s="59"/>
      <c r="J196" s="57"/>
      <c r="K196" s="58"/>
    </row>
    <row r="197" ht="14.25" customHeight="1" outlineLevel="1">
      <c r="A197" s="68">
        <v>4</v>
      </c>
      <c r="B197" s="59"/>
      <c r="C197" s="59"/>
      <c r="D197" s="5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77">
        <v>5</v>
      </c>
      <c r="B198" s="56"/>
      <c r="C198" s="56"/>
      <c r="D198" s="56"/>
      <c r="E198" s="78"/>
      <c r="F198" s="79"/>
      <c r="G198" s="56"/>
      <c r="H198" s="56"/>
      <c r="I198" s="56"/>
      <c r="J198" s="80"/>
      <c r="K198" s="81"/>
    </row>
    <row r="199" s="21" customFormat="1" ht="20.25" customHeight="1" outlineLevel="1">
      <c r="A199" s="370"/>
      <c r="B199" s="836" t="s">
        <v>19</v>
      </c>
      <c r="C199" s="837"/>
      <c r="D199" s="838"/>
      <c r="E199" s="839"/>
      <c r="F199" s="840"/>
      <c r="G199" s="371"/>
      <c r="H199" s="371"/>
      <c r="I199" s="371"/>
      <c r="J199" s="371"/>
      <c r="K199" s="375"/>
    </row>
    <row r="200" ht="27.75" customHeight="1" outlineLevel="1">
      <c r="A200" s="430">
        <v>1</v>
      </c>
      <c r="B200" s="841" t="s">
        <v>222</v>
      </c>
      <c r="C200" s="842" t="s">
        <v>223</v>
      </c>
      <c r="D200" s="842" t="s">
        <v>224</v>
      </c>
      <c r="E200" s="843">
        <v>130000</v>
      </c>
      <c r="F200" s="842" t="s">
        <v>646</v>
      </c>
      <c r="G200" s="99"/>
      <c r="H200" s="99"/>
      <c r="I200" s="99"/>
      <c r="J200" s="302" t="s">
        <v>47</v>
      </c>
      <c r="K200" s="303"/>
    </row>
    <row r="201" ht="14.25" customHeight="1" outlineLevel="1">
      <c r="A201" s="256">
        <v>2</v>
      </c>
      <c r="B201" s="237" t="s">
        <v>222</v>
      </c>
      <c r="C201" s="237" t="s">
        <v>396</v>
      </c>
      <c r="D201" s="628" t="s">
        <v>397</v>
      </c>
      <c r="E201" s="844">
        <v>32390.549999999999</v>
      </c>
      <c r="F201" s="628" t="s">
        <v>398</v>
      </c>
      <c r="G201" s="245"/>
      <c r="H201" s="59"/>
      <c r="I201" s="59"/>
      <c r="J201" s="57" t="s">
        <v>47</v>
      </c>
      <c r="K201" s="58"/>
    </row>
    <row r="202" ht="27" customHeight="1" outlineLevel="1">
      <c r="A202" s="256">
        <v>3</v>
      </c>
      <c r="B202" s="237" t="s">
        <v>222</v>
      </c>
      <c r="C202" s="237" t="s">
        <v>440</v>
      </c>
      <c r="D202" s="628" t="s">
        <v>415</v>
      </c>
      <c r="E202" s="845">
        <v>21178.860000000001</v>
      </c>
      <c r="F202" s="846" t="s">
        <v>625</v>
      </c>
      <c r="G202" s="245"/>
      <c r="H202" s="59"/>
      <c r="I202" s="59"/>
      <c r="J202" s="57" t="s">
        <v>47</v>
      </c>
      <c r="K202" s="58"/>
    </row>
    <row r="203" ht="26.25" customHeight="1" outlineLevel="1">
      <c r="A203" s="256">
        <v>4</v>
      </c>
      <c r="B203" s="191" t="s">
        <v>222</v>
      </c>
      <c r="C203" s="191" t="s">
        <v>442</v>
      </c>
      <c r="D203" s="190" t="s">
        <v>415</v>
      </c>
      <c r="E203" s="264">
        <v>24347.709999999999</v>
      </c>
      <c r="F203" s="190" t="s">
        <v>625</v>
      </c>
      <c r="G203" s="245"/>
      <c r="H203" s="59"/>
      <c r="I203" s="59"/>
      <c r="J203" s="57" t="s">
        <v>47</v>
      </c>
      <c r="K203" s="58"/>
    </row>
    <row r="204" ht="28.5" customHeight="1" outlineLevel="1">
      <c r="A204" s="256">
        <v>5</v>
      </c>
      <c r="B204" s="190" t="s">
        <v>222</v>
      </c>
      <c r="C204" s="191" t="s">
        <v>396</v>
      </c>
      <c r="D204" s="190" t="s">
        <v>397</v>
      </c>
      <c r="E204" s="264">
        <v>339813.46999999997</v>
      </c>
      <c r="F204" s="190" t="s">
        <v>625</v>
      </c>
      <c r="G204" s="245"/>
      <c r="H204" s="59"/>
      <c r="I204" s="59"/>
      <c r="J204" s="57" t="s">
        <v>47</v>
      </c>
      <c r="K204" s="58"/>
    </row>
    <row r="205" ht="25.5" customHeight="1" outlineLevel="1">
      <c r="A205" s="256">
        <v>6</v>
      </c>
      <c r="B205" s="190" t="s">
        <v>222</v>
      </c>
      <c r="C205" s="191" t="s">
        <v>446</v>
      </c>
      <c r="D205" s="190" t="s">
        <v>415</v>
      </c>
      <c r="E205" s="264">
        <v>1819.76</v>
      </c>
      <c r="F205" s="190" t="s">
        <v>625</v>
      </c>
      <c r="G205" s="245"/>
      <c r="H205" s="59"/>
      <c r="I205" s="59"/>
      <c r="J205" s="57" t="s">
        <v>47</v>
      </c>
      <c r="K205" s="58"/>
    </row>
    <row r="206" ht="14.25" customHeight="1" outlineLevel="1">
      <c r="A206" s="256">
        <v>7</v>
      </c>
      <c r="B206" s="190" t="s">
        <v>153</v>
      </c>
      <c r="C206" s="191" t="s">
        <v>359</v>
      </c>
      <c r="D206" s="190" t="s">
        <v>629</v>
      </c>
      <c r="E206" s="264">
        <v>8814</v>
      </c>
      <c r="F206" s="191" t="s">
        <v>361</v>
      </c>
      <c r="G206" s="245"/>
      <c r="H206" s="59"/>
      <c r="I206" s="59"/>
      <c r="J206" s="57" t="s">
        <v>47</v>
      </c>
      <c r="K206" s="58"/>
    </row>
    <row r="207" ht="14.25" customHeight="1" outlineLevel="1">
      <c r="A207" s="68">
        <v>8</v>
      </c>
      <c r="B207" s="59"/>
      <c r="C207" s="59"/>
      <c r="D207" s="59"/>
      <c r="E207" s="60"/>
      <c r="F207" s="61"/>
      <c r="G207" s="59"/>
      <c r="H207" s="59"/>
      <c r="I207" s="59"/>
      <c r="J207" s="57"/>
      <c r="K207" s="58"/>
    </row>
    <row r="208" ht="14.25" customHeight="1" outlineLevel="1">
      <c r="A208" s="69">
        <v>9</v>
      </c>
      <c r="B208" s="70"/>
      <c r="C208" s="70"/>
      <c r="D208" s="70"/>
      <c r="E208" s="71"/>
      <c r="F208" s="72"/>
      <c r="G208" s="70"/>
      <c r="H208" s="70"/>
      <c r="I208" s="70"/>
      <c r="J208" s="73"/>
      <c r="K208" s="74"/>
    </row>
    <row r="209" s="21" customFormat="1" ht="23.25" customHeight="1">
      <c r="A209" s="82" t="s">
        <v>27</v>
      </c>
      <c r="B209" s="83"/>
      <c r="C209" s="83"/>
      <c r="D209" s="103"/>
      <c r="E209" s="104">
        <f>SUM(E164:E208)</f>
        <v>558364.34999999998</v>
      </c>
      <c r="F209" s="21"/>
      <c r="G209" s="21"/>
      <c r="H209" s="21"/>
      <c r="I209" s="21"/>
      <c r="J209" s="21"/>
      <c r="K209" s="21"/>
    </row>
    <row r="210" s="21" customFormat="1" ht="23.25" customHeight="1">
      <c r="A210" s="82" t="s">
        <v>22</v>
      </c>
      <c r="B210" s="83"/>
      <c r="C210" s="83"/>
      <c r="D210" s="103"/>
      <c r="E210" s="104">
        <f>E159-E209</f>
        <v>263495.59999999998</v>
      </c>
      <c r="F210" s="86"/>
      <c r="G210" s="21"/>
      <c r="H210" s="21"/>
      <c r="I210" s="21"/>
      <c r="J210" s="21"/>
      <c r="K210" s="21"/>
    </row>
    <row r="211" ht="28.5" customHeight="1">
      <c r="E211" s="1"/>
    </row>
    <row r="212" ht="30.75" customHeight="1">
      <c r="A212" s="9" t="s">
        <v>28</v>
      </c>
      <c r="B212" s="10"/>
      <c r="C212" s="10"/>
      <c r="D212" s="11"/>
      <c r="E212" s="12">
        <f>SUM(E213:E213)</f>
        <v>5242</v>
      </c>
      <c r="F212" s="163" t="s">
        <v>44</v>
      </c>
      <c r="G212" s="13"/>
      <c r="H212" s="13"/>
      <c r="I212" s="13"/>
    </row>
    <row r="213" ht="15" customHeight="1">
      <c r="A213" s="105" t="s">
        <v>29</v>
      </c>
      <c r="B213" s="15"/>
      <c r="C213" s="15"/>
      <c r="D213" s="16"/>
      <c r="E213" s="17">
        <v>5242</v>
      </c>
      <c r="F213" s="13"/>
      <c r="G213" s="13"/>
      <c r="H213" s="13"/>
      <c r="I213" s="13"/>
    </row>
    <row r="214" ht="5.25" customHeight="1">
      <c r="A214" s="13"/>
      <c r="B214" s="13"/>
      <c r="C214" s="13"/>
      <c r="D214" s="13"/>
      <c r="E214" s="13"/>
      <c r="F214" s="13"/>
      <c r="G214" s="13"/>
      <c r="H214" s="13"/>
      <c r="I214" s="13"/>
    </row>
    <row r="215" ht="25.5" customHeight="1" outlineLevel="1">
      <c r="A215" s="87" t="s">
        <v>6</v>
      </c>
      <c r="B215" s="87" t="s">
        <v>7</v>
      </c>
      <c r="C215" s="87" t="s">
        <v>8</v>
      </c>
      <c r="D215" s="87" t="s">
        <v>9</v>
      </c>
      <c r="E215" s="88" t="s">
        <v>10</v>
      </c>
      <c r="F215" s="87" t="s">
        <v>11</v>
      </c>
      <c r="G215" s="87" t="s">
        <v>12</v>
      </c>
      <c r="H215" s="89" t="s">
        <v>13</v>
      </c>
      <c r="I215" s="87" t="s">
        <v>14</v>
      </c>
      <c r="J215" s="87" t="s">
        <v>15</v>
      </c>
      <c r="K215" s="87" t="s">
        <v>16</v>
      </c>
    </row>
    <row r="216" s="21" customFormat="1" ht="18.75" customHeight="1" outlineLevel="1">
      <c r="A216" s="22"/>
      <c r="B216" s="23" t="s">
        <v>30</v>
      </c>
      <c r="C216" s="24"/>
      <c r="D216" s="25"/>
      <c r="E216" s="26"/>
      <c r="F216" s="23"/>
      <c r="G216" s="23"/>
      <c r="H216" s="23"/>
      <c r="I216" s="23"/>
      <c r="J216" s="23"/>
      <c r="K216" s="27"/>
    </row>
    <row r="217" ht="14.25" customHeight="1" outlineLevel="1">
      <c r="A217" s="62">
        <v>1</v>
      </c>
      <c r="B217" s="63"/>
      <c r="C217" s="63"/>
      <c r="D217" s="63"/>
      <c r="E217" s="64"/>
      <c r="F217" s="65"/>
      <c r="G217" s="63"/>
      <c r="H217" s="63"/>
      <c r="I217" s="63"/>
      <c r="J217" s="66"/>
      <c r="K217" s="67"/>
    </row>
    <row r="218" ht="14.25" customHeight="1" outlineLevel="1">
      <c r="A218" s="68">
        <v>2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4.25" customHeight="1" outlineLevel="1">
      <c r="A219" s="68">
        <v>3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4.25" customHeight="1" outlineLevel="1">
      <c r="A220" s="68">
        <v>4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4.25" customHeight="1" outlineLevel="1">
      <c r="A221" s="68">
        <v>5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4.25" customHeight="1" outlineLevel="1">
      <c r="A222" s="68">
        <v>6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4.25" customHeight="1" outlineLevel="1">
      <c r="A223" s="68">
        <v>7</v>
      </c>
      <c r="B223" s="59"/>
      <c r="C223" s="59"/>
      <c r="D223" s="59"/>
      <c r="E223" s="60"/>
      <c r="F223" s="61"/>
      <c r="G223" s="59"/>
      <c r="H223" s="59"/>
      <c r="I223" s="59"/>
      <c r="J223" s="57"/>
      <c r="K223" s="58"/>
    </row>
    <row r="224" ht="15.75" customHeight="1" outlineLevel="1">
      <c r="A224" s="68">
        <v>8</v>
      </c>
      <c r="B224" s="59"/>
      <c r="C224" s="59"/>
      <c r="D224" s="59"/>
      <c r="E224" s="60"/>
      <c r="F224" s="61"/>
      <c r="G224" s="59"/>
      <c r="H224" s="59"/>
      <c r="I224" s="59"/>
      <c r="J224" s="57"/>
      <c r="K224" s="58"/>
    </row>
    <row r="225" ht="15.75" customHeight="1" outlineLevel="1">
      <c r="A225" s="68">
        <v>9</v>
      </c>
      <c r="B225" s="59"/>
      <c r="C225" s="59"/>
      <c r="D225" s="59"/>
      <c r="E225" s="60"/>
      <c r="F225" s="61"/>
      <c r="G225" s="59"/>
      <c r="H225" s="59"/>
      <c r="I225" s="59"/>
      <c r="J225" s="57"/>
      <c r="K225" s="58"/>
    </row>
    <row r="226" ht="15.75" customHeight="1" outlineLevel="1">
      <c r="A226" s="68">
        <v>10</v>
      </c>
      <c r="B226" s="59"/>
      <c r="C226" s="59"/>
      <c r="D226" s="59"/>
      <c r="E226" s="60"/>
      <c r="F226" s="61"/>
      <c r="G226" s="59"/>
      <c r="H226" s="59"/>
      <c r="I226" s="59"/>
      <c r="J226" s="57"/>
      <c r="K226" s="58"/>
    </row>
    <row r="227" ht="15.75" customHeight="1" outlineLevel="1">
      <c r="A227" s="68">
        <v>11</v>
      </c>
      <c r="B227" s="59"/>
      <c r="C227" s="59"/>
      <c r="D227" s="59"/>
      <c r="E227" s="60"/>
      <c r="F227" s="61"/>
      <c r="G227" s="59"/>
      <c r="H227" s="59"/>
      <c r="I227" s="59"/>
      <c r="J227" s="57"/>
      <c r="K227" s="58"/>
    </row>
    <row r="228" ht="15.75" customHeight="1" outlineLevel="1">
      <c r="A228" s="68">
        <v>12</v>
      </c>
      <c r="B228" s="59"/>
      <c r="C228" s="59"/>
      <c r="D228" s="59"/>
      <c r="E228" s="60"/>
      <c r="F228" s="61"/>
      <c r="G228" s="59"/>
      <c r="H228" s="59"/>
      <c r="I228" s="59"/>
      <c r="J228" s="57"/>
      <c r="K228" s="58"/>
    </row>
    <row r="229" ht="15.75" customHeight="1" outlineLevel="1">
      <c r="A229" s="68">
        <v>13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5.75" customHeight="1" outlineLevel="1">
      <c r="A230" s="68">
        <v>14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5.75" customHeight="1" outlineLevel="1">
      <c r="A231" s="69">
        <v>15</v>
      </c>
      <c r="B231" s="70"/>
      <c r="C231" s="70"/>
      <c r="D231" s="70"/>
      <c r="E231" s="71"/>
      <c r="F231" s="72"/>
      <c r="G231" s="70"/>
      <c r="H231" s="70"/>
      <c r="I231" s="70"/>
      <c r="J231" s="73"/>
      <c r="K231" s="74"/>
    </row>
    <row r="232" s="21" customFormat="1" ht="21.75" customHeight="1">
      <c r="A232" s="82" t="s">
        <v>31</v>
      </c>
      <c r="B232" s="83"/>
      <c r="C232" s="83"/>
      <c r="D232" s="103"/>
      <c r="E232" s="104">
        <f>SUM(E216:E231)</f>
        <v>0</v>
      </c>
    </row>
    <row r="233" s="21" customFormat="1" ht="21.75" customHeight="1">
      <c r="A233" s="82" t="s">
        <v>22</v>
      </c>
      <c r="B233" s="83"/>
      <c r="C233" s="83"/>
      <c r="D233" s="103"/>
      <c r="E233" s="104">
        <f>E212-E232</f>
        <v>5242</v>
      </c>
      <c r="F233" s="86"/>
    </row>
    <row r="234" ht="15.75">
      <c r="E234" s="1"/>
    </row>
    <row r="235" ht="25.5" customHeight="1">
      <c r="A235" s="9" t="s">
        <v>32</v>
      </c>
      <c r="B235" s="10"/>
      <c r="C235" s="10"/>
      <c r="D235" s="11"/>
      <c r="E235" s="12">
        <f>SUM(E236:E237)</f>
        <v>10945.25</v>
      </c>
      <c r="F235" s="163" t="s">
        <v>44</v>
      </c>
      <c r="G235" s="13"/>
      <c r="H235" s="13"/>
      <c r="I235" s="13"/>
    </row>
    <row r="236" ht="15.75">
      <c r="A236" s="14" t="s">
        <v>33</v>
      </c>
      <c r="B236" s="15"/>
      <c r="C236" s="15"/>
      <c r="D236" s="16"/>
      <c r="E236" s="17">
        <v>3132.9499999999998</v>
      </c>
      <c r="F236" s="13"/>
      <c r="G236" s="13"/>
      <c r="H236" s="13"/>
      <c r="I236" s="13"/>
    </row>
    <row r="237" ht="15.75">
      <c r="A237" s="14" t="s">
        <v>34</v>
      </c>
      <c r="B237" s="15"/>
      <c r="C237" s="15"/>
      <c r="D237" s="16"/>
      <c r="E237" s="17">
        <v>7812.3000000000002</v>
      </c>
      <c r="F237" s="13"/>
      <c r="G237" s="13"/>
      <c r="H237" s="13"/>
      <c r="I237" s="13"/>
    </row>
    <row r="238" ht="15.75">
      <c r="A238" s="13"/>
      <c r="B238" s="13"/>
      <c r="C238" s="13"/>
      <c r="D238" s="13"/>
      <c r="E238" s="13"/>
      <c r="F238" s="13"/>
      <c r="G238" s="13"/>
      <c r="H238" s="13"/>
      <c r="I238" s="13"/>
    </row>
    <row r="239" ht="22.5">
      <c r="A239" s="87" t="s">
        <v>6</v>
      </c>
      <c r="B239" s="87" t="s">
        <v>7</v>
      </c>
      <c r="C239" s="87" t="s">
        <v>8</v>
      </c>
      <c r="D239" s="87" t="s">
        <v>9</v>
      </c>
      <c r="E239" s="88" t="s">
        <v>10</v>
      </c>
      <c r="F239" s="87" t="s">
        <v>11</v>
      </c>
      <c r="G239" s="87" t="s">
        <v>12</v>
      </c>
      <c r="H239" s="89" t="s">
        <v>13</v>
      </c>
      <c r="I239" s="87" t="s">
        <v>14</v>
      </c>
      <c r="J239" s="87" t="s">
        <v>15</v>
      </c>
      <c r="K239" s="87" t="s">
        <v>16</v>
      </c>
    </row>
    <row r="240" ht="15.75">
      <c r="A240" s="22"/>
      <c r="B240" s="23" t="s">
        <v>25</v>
      </c>
      <c r="C240" s="24"/>
      <c r="D240" s="25"/>
      <c r="E240" s="26"/>
      <c r="F240" s="23"/>
      <c r="G240" s="23"/>
      <c r="H240" s="23"/>
      <c r="I240" s="23"/>
      <c r="J240" s="23"/>
      <c r="K240" s="27"/>
    </row>
    <row r="241">
      <c r="A241" s="68">
        <v>1</v>
      </c>
      <c r="B241" s="106"/>
      <c r="C241" s="106"/>
      <c r="D241" s="107"/>
      <c r="E241" s="92"/>
      <c r="F241" s="107"/>
      <c r="G241" s="42"/>
      <c r="H241" s="42"/>
      <c r="I241" s="42" t="s">
        <v>35</v>
      </c>
      <c r="J241" s="57"/>
      <c r="K241" s="58"/>
    </row>
    <row r="242">
      <c r="A242" s="68">
        <v>2</v>
      </c>
      <c r="B242" s="106"/>
      <c r="C242" s="106"/>
      <c r="D242" s="107"/>
      <c r="E242" s="93"/>
      <c r="F242" s="107"/>
      <c r="G242" s="59"/>
      <c r="H242" s="59"/>
      <c r="I242" s="42"/>
      <c r="J242" s="57"/>
      <c r="K242" s="58"/>
    </row>
    <row r="243">
      <c r="A243" s="68">
        <v>3</v>
      </c>
      <c r="B243" s="108"/>
      <c r="C243" s="109"/>
      <c r="D243" s="110"/>
      <c r="E243" s="111"/>
      <c r="F243" s="110"/>
      <c r="G243" s="112"/>
      <c r="H243" s="113"/>
      <c r="I243" s="35"/>
      <c r="J243" s="114"/>
      <c r="K243" s="115"/>
    </row>
    <row r="244">
      <c r="A244" s="68">
        <v>4</v>
      </c>
      <c r="B244" s="108"/>
      <c r="C244" s="109"/>
      <c r="D244" s="110"/>
      <c r="E244" s="111"/>
      <c r="F244" s="110"/>
      <c r="G244" s="112"/>
      <c r="H244" s="113"/>
      <c r="I244" s="35"/>
      <c r="J244" s="114"/>
      <c r="K244" s="116"/>
    </row>
    <row r="245">
      <c r="A245" s="68">
        <v>5</v>
      </c>
      <c r="B245" s="42"/>
      <c r="C245" s="42"/>
      <c r="D245" s="42"/>
      <c r="E245" s="93"/>
      <c r="F245" s="94"/>
      <c r="G245" s="42"/>
      <c r="H245" s="42"/>
      <c r="I245" s="42"/>
      <c r="J245" s="43"/>
      <c r="K245" s="44"/>
    </row>
    <row r="246">
      <c r="A246" s="68">
        <v>6</v>
      </c>
      <c r="B246" s="43"/>
      <c r="C246" s="43"/>
      <c r="D246" s="43"/>
      <c r="E246" s="43"/>
      <c r="F246" s="43"/>
      <c r="G246" s="43"/>
      <c r="H246" s="42"/>
      <c r="I246" s="42"/>
      <c r="J246" s="43"/>
      <c r="K246" s="44"/>
    </row>
    <row r="247">
      <c r="A247" s="68">
        <v>7</v>
      </c>
      <c r="B247" s="43"/>
      <c r="C247" s="43"/>
      <c r="D247" s="43"/>
      <c r="E247" s="43"/>
      <c r="F247" s="43"/>
      <c r="G247" s="43"/>
      <c r="H247" s="42"/>
      <c r="I247" s="42"/>
      <c r="J247" s="43"/>
      <c r="K247" s="44"/>
    </row>
    <row r="248">
      <c r="A248" s="68">
        <v>8</v>
      </c>
      <c r="B248" s="42"/>
      <c r="C248" s="94"/>
      <c r="D248" s="94"/>
      <c r="E248" s="93"/>
      <c r="F248" s="94"/>
      <c r="G248" s="42"/>
      <c r="H248" s="42"/>
      <c r="I248" s="42"/>
      <c r="J248" s="43"/>
      <c r="K248" s="44"/>
    </row>
    <row r="249">
      <c r="A249" s="68">
        <v>9</v>
      </c>
      <c r="B249" s="42"/>
      <c r="C249" s="94"/>
      <c r="D249" s="94"/>
      <c r="E249" s="93"/>
      <c r="F249" s="94"/>
      <c r="G249" s="42"/>
      <c r="H249" s="42"/>
      <c r="I249" s="42"/>
      <c r="J249" s="43"/>
      <c r="K249" s="44"/>
    </row>
    <row r="250">
      <c r="A250" s="68">
        <v>10</v>
      </c>
      <c r="B250" s="42"/>
      <c r="C250" s="94"/>
      <c r="D250" s="94"/>
      <c r="E250" s="93"/>
      <c r="F250" s="94"/>
      <c r="G250" s="42"/>
      <c r="H250" s="42"/>
      <c r="I250" s="42"/>
      <c r="J250" s="43"/>
      <c r="K250" s="44"/>
    </row>
    <row r="251">
      <c r="A251" s="68">
        <v>11</v>
      </c>
      <c r="B251" s="42"/>
      <c r="C251" s="94"/>
      <c r="D251" s="94"/>
      <c r="E251" s="93"/>
      <c r="F251" s="94"/>
      <c r="G251" s="42"/>
      <c r="H251" s="42"/>
      <c r="I251" s="42"/>
      <c r="J251" s="43"/>
      <c r="K251" s="44"/>
    </row>
    <row r="252">
      <c r="A252" s="68">
        <v>12</v>
      </c>
      <c r="B252" s="59"/>
      <c r="C252" s="61"/>
      <c r="D252" s="61"/>
      <c r="E252" s="93"/>
      <c r="F252" s="61"/>
      <c r="G252" s="59"/>
      <c r="H252" s="59"/>
      <c r="I252" s="42"/>
      <c r="J252" s="57"/>
      <c r="K252" s="58"/>
    </row>
    <row r="253">
      <c r="A253" s="68">
        <v>13</v>
      </c>
      <c r="B253" s="59"/>
      <c r="C253" s="61"/>
      <c r="D253" s="61"/>
      <c r="E253" s="93"/>
      <c r="F253" s="61"/>
      <c r="G253" s="59"/>
      <c r="H253" s="59"/>
      <c r="I253" s="42"/>
      <c r="J253" s="57"/>
      <c r="K253" s="58"/>
    </row>
    <row r="254">
      <c r="A254" s="68">
        <v>14</v>
      </c>
      <c r="B254" s="59"/>
      <c r="C254" s="61"/>
      <c r="D254" s="61"/>
      <c r="E254" s="93"/>
      <c r="F254" s="61"/>
      <c r="G254" s="59"/>
      <c r="H254" s="59"/>
      <c r="I254" s="42"/>
      <c r="J254" s="57"/>
      <c r="K254" s="58"/>
    </row>
    <row r="255" ht="15.75">
      <c r="A255" s="68">
        <v>15</v>
      </c>
      <c r="B255" s="59"/>
      <c r="C255" s="61"/>
      <c r="D255" s="61"/>
      <c r="E255" s="93"/>
      <c r="F255" s="61"/>
      <c r="G255" s="59"/>
      <c r="H255" s="59"/>
      <c r="I255" s="42"/>
      <c r="J255" s="57"/>
      <c r="K255" s="58"/>
    </row>
    <row r="256" ht="15.75">
      <c r="A256" s="22"/>
      <c r="B256" s="23" t="s">
        <v>26</v>
      </c>
      <c r="C256" s="24"/>
      <c r="D256" s="25"/>
      <c r="E256" s="26"/>
      <c r="F256" s="23"/>
      <c r="G256" s="23"/>
      <c r="H256" s="23"/>
      <c r="I256" s="23"/>
      <c r="J256" s="23"/>
      <c r="K256" s="27"/>
    </row>
    <row r="257">
      <c r="A257" s="62">
        <v>1</v>
      </c>
      <c r="B257" s="63"/>
      <c r="C257" s="63"/>
      <c r="D257" s="63"/>
      <c r="E257" s="64"/>
      <c r="F257" s="65"/>
      <c r="G257" s="63"/>
      <c r="H257" s="63"/>
      <c r="I257" s="63"/>
      <c r="J257" s="66"/>
      <c r="K257" s="67"/>
    </row>
    <row r="258">
      <c r="A258" s="68">
        <v>2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>
      <c r="A259" s="68">
        <v>3</v>
      </c>
      <c r="B259" s="59"/>
      <c r="C259" s="59"/>
      <c r="D259" s="59"/>
      <c r="E259" s="60"/>
      <c r="F259" s="61"/>
      <c r="G259" s="59"/>
      <c r="H259" s="59"/>
      <c r="I259" s="59"/>
      <c r="J259" s="57"/>
      <c r="K259" s="58"/>
    </row>
    <row r="260">
      <c r="A260" s="68">
        <v>4</v>
      </c>
      <c r="B260" s="59"/>
      <c r="C260" s="59"/>
      <c r="D260" s="59"/>
      <c r="E260" s="60"/>
      <c r="F260" s="61"/>
      <c r="G260" s="59"/>
      <c r="H260" s="59"/>
      <c r="I260" s="59"/>
      <c r="J260" s="57"/>
      <c r="K260" s="58"/>
    </row>
    <row r="261" ht="15.75">
      <c r="A261" s="69">
        <v>5</v>
      </c>
      <c r="B261" s="70"/>
      <c r="C261" s="70"/>
      <c r="D261" s="70"/>
      <c r="E261" s="71"/>
      <c r="F261" s="72"/>
      <c r="G261" s="70"/>
      <c r="H261" s="70"/>
      <c r="I261" s="70"/>
      <c r="J261" s="73"/>
      <c r="K261" s="74"/>
    </row>
    <row r="262" ht="15.75">
      <c r="A262" s="22"/>
      <c r="B262" s="23" t="s">
        <v>19</v>
      </c>
      <c r="C262" s="173"/>
      <c r="D262" s="25"/>
      <c r="E262" s="26"/>
      <c r="F262" s="23"/>
      <c r="G262" s="23"/>
      <c r="H262" s="23"/>
      <c r="I262" s="23"/>
      <c r="J262" s="23"/>
      <c r="K262" s="27"/>
    </row>
    <row r="263">
      <c r="A263" s="62">
        <v>1</v>
      </c>
      <c r="B263" s="39" t="s">
        <v>452</v>
      </c>
      <c r="C263" s="56" t="s">
        <v>453</v>
      </c>
      <c r="D263" s="59" t="s">
        <v>631</v>
      </c>
      <c r="E263" s="224">
        <v>76658.179999999993</v>
      </c>
      <c r="F263" s="101" t="s">
        <v>633</v>
      </c>
      <c r="G263" s="63"/>
      <c r="H263" s="63" t="s">
        <v>141</v>
      </c>
      <c r="I263" s="63" t="s">
        <v>647</v>
      </c>
      <c r="J263" s="66" t="s">
        <v>47</v>
      </c>
      <c r="K263" s="67"/>
    </row>
    <row r="264">
      <c r="A264" s="68">
        <v>2</v>
      </c>
      <c r="B264" s="59" t="s">
        <v>449</v>
      </c>
      <c r="C264" s="59" t="s">
        <v>456</v>
      </c>
      <c r="D264" s="59" t="s">
        <v>415</v>
      </c>
      <c r="E264" s="224">
        <v>3869.0599999999999</v>
      </c>
      <c r="F264" s="61" t="s">
        <v>635</v>
      </c>
      <c r="G264" s="59"/>
      <c r="H264" s="59"/>
      <c r="I264" s="59"/>
      <c r="J264" s="57" t="s">
        <v>47</v>
      </c>
      <c r="K264" s="58"/>
    </row>
    <row r="265">
      <c r="A265" s="68">
        <v>3</v>
      </c>
      <c r="B265" s="59" t="s">
        <v>449</v>
      </c>
      <c r="C265" s="59" t="s">
        <v>223</v>
      </c>
      <c r="D265" s="59" t="s">
        <v>227</v>
      </c>
      <c r="E265" s="224">
        <v>600</v>
      </c>
      <c r="F265" s="61" t="s">
        <v>637</v>
      </c>
      <c r="G265" s="59"/>
      <c r="H265" s="59"/>
      <c r="I265" s="59"/>
      <c r="J265" s="57" t="s">
        <v>47</v>
      </c>
      <c r="K265" s="58"/>
    </row>
    <row r="266">
      <c r="A266" s="68">
        <v>4</v>
      </c>
      <c r="B266" s="59"/>
      <c r="C266" s="59"/>
      <c r="D266" s="59"/>
      <c r="E266" s="60"/>
      <c r="F266" s="61"/>
      <c r="G266" s="59"/>
      <c r="H266" s="59"/>
      <c r="I266" s="59"/>
      <c r="J266" s="57"/>
      <c r="K266" s="58"/>
    </row>
    <row r="267" ht="15.75">
      <c r="A267" s="69">
        <v>5</v>
      </c>
      <c r="B267" s="70"/>
      <c r="C267" s="70"/>
      <c r="D267" s="70"/>
      <c r="E267" s="71"/>
      <c r="F267" s="72"/>
      <c r="G267" s="70"/>
      <c r="H267" s="70"/>
      <c r="I267" s="70"/>
      <c r="J267" s="73"/>
      <c r="K267" s="74"/>
    </row>
    <row r="268" s="21" customFormat="1" ht="26.25" customHeight="1">
      <c r="A268" s="82" t="s">
        <v>36</v>
      </c>
      <c r="B268" s="83"/>
      <c r="C268" s="83"/>
      <c r="D268" s="103"/>
      <c r="E268" s="104">
        <f>SUM(E241:E267)</f>
        <v>81127.239999999991</v>
      </c>
    </row>
    <row r="269" s="21" customFormat="1" ht="27" customHeight="1">
      <c r="A269" s="82" t="s">
        <v>22</v>
      </c>
      <c r="B269" s="83"/>
      <c r="C269" s="83"/>
      <c r="D269" s="103"/>
      <c r="E269" s="104">
        <f>E235-E268</f>
        <v>-70181.989999999991</v>
      </c>
      <c r="F269" s="86"/>
    </row>
    <row r="270" ht="14.25">
      <c r="E270" s="1"/>
    </row>
    <row r="271" ht="15.75">
      <c r="E271" s="1"/>
    </row>
    <row r="272" ht="36" customHeight="1">
      <c r="A272" s="120" t="s">
        <v>37</v>
      </c>
      <c r="B272" s="120"/>
      <c r="C272" s="120"/>
      <c r="D272" s="120"/>
      <c r="E272" s="121">
        <f>E273+E274</f>
        <v>2715</v>
      </c>
      <c r="F272" s="163" t="s">
        <v>44</v>
      </c>
      <c r="G272" s="123"/>
      <c r="H272" s="123"/>
      <c r="I272" s="123"/>
      <c r="J272" s="124"/>
      <c r="K272" s="124"/>
    </row>
    <row r="273" ht="15.75" customHeight="1">
      <c r="A273" s="125" t="s">
        <v>38</v>
      </c>
      <c r="B273" s="125"/>
      <c r="C273" s="125"/>
      <c r="D273" s="125"/>
      <c r="E273" s="126">
        <v>0</v>
      </c>
      <c r="F273" s="123"/>
      <c r="G273" s="123"/>
      <c r="H273" s="123"/>
      <c r="I273" s="123"/>
      <c r="J273" s="124"/>
      <c r="K273" s="124"/>
    </row>
    <row r="274" ht="15.75" customHeight="1">
      <c r="A274" s="125" t="s">
        <v>39</v>
      </c>
      <c r="B274" s="125"/>
      <c r="C274" s="125"/>
      <c r="D274" s="125"/>
      <c r="E274" s="126">
        <v>2715</v>
      </c>
      <c r="F274" s="123"/>
      <c r="G274" s="123"/>
      <c r="H274" s="123"/>
      <c r="I274" s="123"/>
      <c r="J274" s="124"/>
      <c r="K274" s="124"/>
    </row>
    <row r="275" ht="15.75">
      <c r="A275" s="123"/>
      <c r="B275" s="123"/>
      <c r="C275" s="123"/>
      <c r="D275" s="123"/>
      <c r="E275" s="123"/>
      <c r="F275" s="123"/>
      <c r="G275" s="123"/>
      <c r="H275" s="123"/>
      <c r="I275" s="123"/>
      <c r="J275" s="124"/>
      <c r="K275" s="124"/>
    </row>
    <row r="276" ht="24.75">
      <c r="A276" s="127" t="s">
        <v>6</v>
      </c>
      <c r="B276" s="127" t="s">
        <v>7</v>
      </c>
      <c r="C276" s="127" t="s">
        <v>8</v>
      </c>
      <c r="D276" s="127" t="s">
        <v>9</v>
      </c>
      <c r="E276" s="127" t="s">
        <v>40</v>
      </c>
      <c r="F276" s="127" t="s">
        <v>11</v>
      </c>
      <c r="G276" s="127" t="s">
        <v>12</v>
      </c>
      <c r="H276" s="128" t="s">
        <v>13</v>
      </c>
      <c r="I276" s="127" t="s">
        <v>14</v>
      </c>
      <c r="J276" s="127" t="s">
        <v>15</v>
      </c>
      <c r="K276" s="127" t="s">
        <v>16</v>
      </c>
    </row>
    <row r="277" ht="15.75">
      <c r="A277" s="129" t="s">
        <v>41</v>
      </c>
      <c r="B277" s="130"/>
      <c r="C277" s="130"/>
      <c r="D277" s="130"/>
      <c r="E277" s="130"/>
      <c r="F277" s="130"/>
      <c r="G277" s="130"/>
      <c r="H277" s="130"/>
      <c r="I277" s="130"/>
      <c r="J277" s="130"/>
      <c r="K277" s="131"/>
    </row>
    <row r="278">
      <c r="A278" s="132">
        <v>1</v>
      </c>
      <c r="B278" s="133"/>
      <c r="C278" s="133"/>
      <c r="D278" s="134"/>
      <c r="E278" s="135"/>
      <c r="F278" s="134"/>
      <c r="G278" s="136"/>
      <c r="H278" s="136"/>
      <c r="I278" s="136"/>
      <c r="J278" s="137"/>
      <c r="K278" s="138"/>
    </row>
    <row r="279">
      <c r="A279" s="139">
        <v>2</v>
      </c>
      <c r="B279" s="140"/>
      <c r="C279" s="140"/>
      <c r="D279" s="141"/>
      <c r="E279" s="142"/>
      <c r="F279" s="141"/>
      <c r="G279" s="143"/>
      <c r="H279" s="143"/>
      <c r="I279" s="142"/>
      <c r="J279" s="144"/>
      <c r="K279" s="145"/>
    </row>
    <row r="280">
      <c r="A280" s="139">
        <v>3</v>
      </c>
      <c r="B280" s="143"/>
      <c r="C280" s="143"/>
      <c r="D280" s="143"/>
      <c r="E280" s="142"/>
      <c r="F280" s="146"/>
      <c r="G280" s="143"/>
      <c r="H280" s="143"/>
      <c r="I280" s="142"/>
      <c r="J280" s="144"/>
      <c r="K280" s="145"/>
    </row>
    <row r="281">
      <c r="A281" s="139">
        <v>4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5</v>
      </c>
      <c r="B282" s="143"/>
      <c r="C282" s="143"/>
      <c r="D282" s="143"/>
      <c r="E282" s="143"/>
      <c r="F282" s="146"/>
      <c r="G282" s="143"/>
      <c r="H282" s="143"/>
      <c r="I282" s="142"/>
      <c r="J282" s="144"/>
      <c r="K282" s="145"/>
    </row>
    <row r="283">
      <c r="A283" s="139">
        <v>6</v>
      </c>
      <c r="B283" s="144"/>
      <c r="C283" s="144"/>
      <c r="D283" s="144"/>
      <c r="E283" s="144"/>
      <c r="F283" s="144"/>
      <c r="G283" s="144"/>
      <c r="H283" s="143"/>
      <c r="I283" s="142"/>
      <c r="J283" s="144"/>
      <c r="K283" s="145"/>
    </row>
    <row r="284">
      <c r="A284" s="139">
        <v>7</v>
      </c>
      <c r="B284" s="144"/>
      <c r="C284" s="144"/>
      <c r="D284" s="144"/>
      <c r="E284" s="144"/>
      <c r="F284" s="144"/>
      <c r="G284" s="144"/>
      <c r="H284" s="143"/>
      <c r="I284" s="143"/>
      <c r="J284" s="144"/>
      <c r="K284" s="145"/>
    </row>
    <row r="285">
      <c r="A285" s="139">
        <v>8</v>
      </c>
      <c r="B285" s="143"/>
      <c r="C285" s="146"/>
      <c r="D285" s="146"/>
      <c r="E285" s="142"/>
      <c r="F285" s="146"/>
      <c r="G285" s="143"/>
      <c r="H285" s="143"/>
      <c r="I285" s="142"/>
      <c r="J285" s="144"/>
      <c r="K285" s="145"/>
    </row>
    <row r="286">
      <c r="A286" s="139">
        <v>9</v>
      </c>
      <c r="B286" s="143"/>
      <c r="C286" s="146"/>
      <c r="D286" s="146"/>
      <c r="E286" s="142"/>
      <c r="F286" s="146"/>
      <c r="G286" s="143"/>
      <c r="H286" s="143"/>
      <c r="I286" s="142"/>
      <c r="J286" s="144"/>
      <c r="K286" s="145"/>
    </row>
    <row r="287">
      <c r="A287" s="139">
        <v>10</v>
      </c>
      <c r="B287" s="143"/>
      <c r="C287" s="146"/>
      <c r="D287" s="146"/>
      <c r="E287" s="142"/>
      <c r="F287" s="146"/>
      <c r="G287" s="143"/>
      <c r="H287" s="143"/>
      <c r="I287" s="142"/>
      <c r="J287" s="144"/>
      <c r="K287" s="145"/>
    </row>
    <row r="288">
      <c r="A288" s="139">
        <v>11</v>
      </c>
      <c r="B288" s="143"/>
      <c r="C288" s="146"/>
      <c r="D288" s="146"/>
      <c r="E288" s="142"/>
      <c r="F288" s="146"/>
      <c r="G288" s="143"/>
      <c r="H288" s="143"/>
      <c r="I288" s="142"/>
      <c r="J288" s="144"/>
      <c r="K288" s="145"/>
    </row>
    <row r="289">
      <c r="A289" s="139">
        <v>12</v>
      </c>
      <c r="B289" s="143"/>
      <c r="C289" s="146"/>
      <c r="D289" s="146"/>
      <c r="E289" s="142"/>
      <c r="F289" s="146"/>
      <c r="G289" s="143"/>
      <c r="H289" s="143"/>
      <c r="I289" s="142"/>
      <c r="J289" s="144"/>
      <c r="K289" s="145"/>
    </row>
    <row r="290">
      <c r="A290" s="139">
        <v>13</v>
      </c>
      <c r="B290" s="143"/>
      <c r="C290" s="146"/>
      <c r="D290" s="146"/>
      <c r="E290" s="142"/>
      <c r="F290" s="146"/>
      <c r="G290" s="143"/>
      <c r="H290" s="143"/>
      <c r="I290" s="142"/>
      <c r="J290" s="144"/>
      <c r="K290" s="145"/>
    </row>
    <row r="291">
      <c r="A291" s="139">
        <v>14</v>
      </c>
      <c r="B291" s="143"/>
      <c r="C291" s="146"/>
      <c r="D291" s="146"/>
      <c r="E291" s="142"/>
      <c r="F291" s="146"/>
      <c r="G291" s="143"/>
      <c r="H291" s="143"/>
      <c r="I291" s="142"/>
      <c r="J291" s="144"/>
      <c r="K291" s="145"/>
    </row>
    <row r="292" ht="15.75">
      <c r="A292" s="147">
        <v>15</v>
      </c>
      <c r="B292" s="148"/>
      <c r="C292" s="149"/>
      <c r="D292" s="149"/>
      <c r="E292" s="150"/>
      <c r="F292" s="149"/>
      <c r="G292" s="148"/>
      <c r="H292" s="148"/>
      <c r="I292" s="150"/>
      <c r="J292" s="151"/>
      <c r="K292" s="152"/>
    </row>
    <row r="293" ht="15.75">
      <c r="A293" s="22"/>
      <c r="B293" s="23" t="s">
        <v>26</v>
      </c>
      <c r="C293" s="24"/>
      <c r="D293" s="25"/>
      <c r="E293" s="26"/>
      <c r="F293" s="23"/>
      <c r="G293" s="23"/>
      <c r="H293" s="23"/>
      <c r="I293" s="23"/>
      <c r="J293" s="23"/>
      <c r="K293" s="27"/>
    </row>
    <row r="294">
      <c r="A294" s="132">
        <v>1</v>
      </c>
      <c r="B294" s="153"/>
      <c r="C294" s="153"/>
      <c r="D294" s="153"/>
      <c r="E294" s="153"/>
      <c r="F294" s="154"/>
      <c r="G294" s="153"/>
      <c r="H294" s="153"/>
      <c r="I294" s="153"/>
      <c r="J294" s="137"/>
      <c r="K294" s="138"/>
    </row>
    <row r="295">
      <c r="A295" s="139">
        <v>2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>
      <c r="A296" s="139">
        <v>3</v>
      </c>
      <c r="B296" s="143"/>
      <c r="C296" s="143"/>
      <c r="D296" s="143"/>
      <c r="E296" s="143"/>
      <c r="F296" s="146"/>
      <c r="G296" s="143"/>
      <c r="H296" s="143"/>
      <c r="I296" s="143"/>
      <c r="J296" s="144"/>
      <c r="K296" s="145"/>
    </row>
    <row r="297">
      <c r="A297" s="139">
        <v>4</v>
      </c>
      <c r="B297" s="143"/>
      <c r="C297" s="143"/>
      <c r="D297" s="143"/>
      <c r="E297" s="143"/>
      <c r="F297" s="146"/>
      <c r="G297" s="143"/>
      <c r="H297" s="143"/>
      <c r="I297" s="143"/>
      <c r="J297" s="144"/>
      <c r="K297" s="145"/>
    </row>
    <row r="298" ht="15.75">
      <c r="A298" s="147">
        <v>5</v>
      </c>
      <c r="B298" s="148"/>
      <c r="C298" s="148"/>
      <c r="D298" s="148"/>
      <c r="E298" s="148"/>
      <c r="F298" s="149"/>
      <c r="G298" s="148"/>
      <c r="H298" s="148"/>
      <c r="I298" s="148"/>
      <c r="J298" s="151"/>
      <c r="K298" s="152"/>
    </row>
    <row r="299" ht="15.75">
      <c r="A299" s="22"/>
      <c r="B299" s="23" t="s">
        <v>19</v>
      </c>
      <c r="C299" s="24"/>
      <c r="D299" s="25"/>
      <c r="E299" s="26"/>
      <c r="F299" s="23"/>
      <c r="G299" s="23"/>
      <c r="H299" s="23"/>
      <c r="I299" s="23"/>
      <c r="J299" s="23"/>
      <c r="K299" s="27"/>
    </row>
    <row r="300">
      <c r="A300" s="132">
        <v>1</v>
      </c>
      <c r="B300" s="136"/>
      <c r="C300" s="153"/>
      <c r="D300" s="153"/>
      <c r="E300" s="153"/>
      <c r="F300" s="154"/>
      <c r="G300" s="153"/>
      <c r="H300" s="153"/>
      <c r="I300" s="153"/>
      <c r="J300" s="137"/>
      <c r="K300" s="138"/>
    </row>
    <row r="301">
      <c r="A301" s="139">
        <v>2</v>
      </c>
      <c r="B301" s="155"/>
      <c r="C301" s="155"/>
      <c r="D301" s="156"/>
      <c r="E301" s="143"/>
      <c r="F301" s="157"/>
      <c r="G301" s="143"/>
      <c r="H301" s="143"/>
      <c r="I301" s="143"/>
      <c r="J301" s="144"/>
      <c r="K301" s="145"/>
    </row>
    <row r="302">
      <c r="A302" s="139">
        <v>3</v>
      </c>
      <c r="B302" s="143"/>
      <c r="C302" s="143"/>
      <c r="D302" s="143"/>
      <c r="E302" s="143"/>
      <c r="F302" s="146"/>
      <c r="G302" s="143"/>
      <c r="H302" s="143"/>
      <c r="I302" s="143"/>
      <c r="J302" s="144"/>
      <c r="K302" s="145"/>
    </row>
    <row r="303">
      <c r="A303" s="139">
        <v>4</v>
      </c>
      <c r="B303" s="143"/>
      <c r="C303" s="143"/>
      <c r="D303" s="143"/>
      <c r="E303" s="143"/>
      <c r="F303" s="146"/>
      <c r="G303" s="143"/>
      <c r="H303" s="143"/>
      <c r="I303" s="143"/>
      <c r="J303" s="144"/>
      <c r="K303" s="145"/>
    </row>
    <row r="304" ht="15.75">
      <c r="A304" s="147">
        <v>5</v>
      </c>
      <c r="B304" s="148"/>
      <c r="C304" s="148"/>
      <c r="D304" s="148"/>
      <c r="E304" s="148"/>
      <c r="F304" s="149"/>
      <c r="G304" s="148"/>
      <c r="H304" s="148"/>
      <c r="I304" s="148"/>
      <c r="J304" s="151"/>
      <c r="K304" s="152"/>
    </row>
    <row r="305" ht="27.75" customHeight="1">
      <c r="A305" s="158" t="s">
        <v>42</v>
      </c>
      <c r="B305" s="158"/>
      <c r="C305" s="158"/>
      <c r="D305" s="158"/>
      <c r="E305" s="159">
        <f>SUM(E278:E304)</f>
        <v>0</v>
      </c>
      <c r="F305" s="160"/>
      <c r="G305" s="160"/>
      <c r="H305" s="160"/>
      <c r="I305" s="160"/>
      <c r="J305" s="160"/>
      <c r="K305" s="160"/>
    </row>
    <row r="306" ht="27.75" customHeight="1">
      <c r="A306" s="158" t="s">
        <v>43</v>
      </c>
      <c r="B306" s="158"/>
      <c r="C306" s="158"/>
      <c r="D306" s="158"/>
      <c r="E306" s="161">
        <f>E272-E305</f>
        <v>2715</v>
      </c>
      <c r="F306" s="162"/>
      <c r="G306" s="160"/>
      <c r="H306" s="160"/>
      <c r="I306" s="160"/>
      <c r="J306" s="160"/>
      <c r="K306" s="160"/>
    </row>
    <row r="307" ht="14.25">
      <c r="E307" s="1"/>
    </row>
    <row r="308" ht="14.25">
      <c r="E308" s="1"/>
    </row>
    <row r="309" ht="14.25">
      <c r="E309" s="1"/>
    </row>
    <row r="310" ht="14.25">
      <c r="E310" s="1"/>
    </row>
  </sheetData>
  <mergeCells count="26">
    <mergeCell ref="E1:F1"/>
    <mergeCell ref="A4:D4"/>
    <mergeCell ref="A5:D5"/>
    <mergeCell ref="A7:D7"/>
    <mergeCell ref="A156:D156"/>
    <mergeCell ref="A157:D157"/>
    <mergeCell ref="A159:D159"/>
    <mergeCell ref="A160:D160"/>
    <mergeCell ref="A161:D161"/>
    <mergeCell ref="A209:D209"/>
    <mergeCell ref="A210:D210"/>
    <mergeCell ref="A212:D212"/>
    <mergeCell ref="A213:D213"/>
    <mergeCell ref="A232:D232"/>
    <mergeCell ref="A233:D233"/>
    <mergeCell ref="A235:D235"/>
    <mergeCell ref="A236:D236"/>
    <mergeCell ref="A237:D237"/>
    <mergeCell ref="A268:D268"/>
    <mergeCell ref="A269:D269"/>
    <mergeCell ref="A272:D272"/>
    <mergeCell ref="A273:D273"/>
    <mergeCell ref="A274:D274"/>
    <mergeCell ref="A277:K277"/>
    <mergeCell ref="A305:D305"/>
    <mergeCell ref="A306:D30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10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7D004C-00C4-48D5-9F76-00F400780012}" type="list" allowBlank="1" errorStyle="stop" imeMode="noControl" operator="between" showDropDown="0" showErrorMessage="1" showInputMessage="1">
          <x14:formula1>
            <xm:f>ДаНет</xm:f>
          </x14:formula1>
          <xm:sqref>H122:H124 H128:H141 H143:H147 H150:H155 H217:H231 H200:H208 H257:H261 H165:H194 H109:H120 H264:H267 H12:H80 H241:H242 H245:H255</xm:sqref>
        </x14:dataValidation>
        <x14:dataValidation xr:uid="{001C0004-00A3-48F5-8B63-00C900D0005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H243:H244</xm:sqref>
        </x14:dataValidation>
        <x14:dataValidation xr:uid="{005800F6-00A6-425B-9745-00B900CD00FB}" type="list" allowBlank="1" errorStyle="stop" imeMode="noControl" operator="between" showDropDown="0" showErrorMessage="1" showInputMessage="1">
          <x14:formula1>
            <xm:f>ДаНет</xm:f>
          </x14:formula1>
          <xm:sqref>H199</xm:sqref>
        </x14:dataValidation>
        <x14:dataValidation xr:uid="{00B9003F-00AC-45A7-A102-005E002D0029}" type="list" allowBlank="1" errorStyle="stop" imeMode="noControl" operator="between" showDropDown="0" showErrorMessage="1" showInputMessage="1">
          <x14:formula1>
            <xm:f>ДаНет</xm:f>
          </x14:formula1>
          <xm:sqref>H198 H195:H196</xm:sqref>
        </x14:dataValidation>
        <x14:dataValidation xr:uid="{00500076-0028-40F7-9E9F-00DC00330024}" type="list" allowBlank="1" errorStyle="stop" imeMode="noControl" operator="between" showDropDown="0" showErrorMessage="1" showInputMessage="1">
          <x14:formula1>
            <xm:f>ДаНет</xm:f>
          </x14:formula1>
          <xm:sqref>H263</xm:sqref>
        </x14:dataValidation>
        <x14:dataValidation xr:uid="{00DE000A-00E7-4BE2-A949-00E3003F00F8}" type="list" allowBlank="1" errorStyle="stop" imeMode="noControl" operator="between" showDropDown="0" showErrorMessage="1" showInputMessage="1">
          <x14:formula1>
            <xm:f>ДаНет</xm:f>
          </x14:formula1>
          <xm:sqref>H125:H127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6">
    <outlinePr applyStyles="0" summaryBelow="1" summaryRight="1" showOutlineSymbols="1"/>
    <pageSetUpPr autoPageBreaks="1" fitToPage="1"/>
  </sheetPr>
  <sheetViews>
    <sheetView showGridLines="0" showRuler="1" topLeftCell="A181" zoomScale="90" workbookViewId="0">
      <selection activeCell="E16" activeCellId="0" sqref="E16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'25'!C2+1</f>
        <v>46107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248520.14000000001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237699.45000000001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ht="28.5" outlineLevel="1">
      <c r="A11" s="28">
        <v>1</v>
      </c>
      <c r="B11" s="847" t="s">
        <v>57</v>
      </c>
      <c r="C11" s="847" t="s">
        <v>58</v>
      </c>
      <c r="D11" s="847" t="s">
        <v>59</v>
      </c>
      <c r="E11" s="516" t="s">
        <v>60</v>
      </c>
      <c r="F11" s="848" t="s">
        <v>61</v>
      </c>
      <c r="G11" s="849" t="s">
        <v>62</v>
      </c>
      <c r="H11" s="484"/>
      <c r="I11" s="515"/>
      <c r="J11" s="680"/>
      <c r="K11" s="37"/>
    </row>
    <row r="12" ht="14.25" customHeight="1" outlineLevel="1">
      <c r="A12" s="385">
        <v>2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489" t="s">
        <v>66</v>
      </c>
      <c r="G12" s="182" t="s">
        <v>62</v>
      </c>
      <c r="H12" s="490"/>
      <c r="I12" s="94"/>
      <c r="J12" s="655"/>
      <c r="K12" s="44"/>
    </row>
    <row r="13" ht="14.25" customHeight="1" outlineLevel="1">
      <c r="A13" s="385">
        <v>3</v>
      </c>
      <c r="B13" s="190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202"/>
      <c r="J13" s="655"/>
      <c r="K13" s="44"/>
    </row>
    <row r="14" ht="14.25" customHeight="1" outlineLevel="1">
      <c r="A14" s="385">
        <v>4</v>
      </c>
      <c r="B14" s="190" t="s">
        <v>57</v>
      </c>
      <c r="C14" s="190" t="s">
        <v>72</v>
      </c>
      <c r="D14" s="190" t="s">
        <v>73</v>
      </c>
      <c r="E14" s="492" t="s">
        <v>74</v>
      </c>
      <c r="F14" s="190" t="s">
        <v>75</v>
      </c>
      <c r="G14" s="182"/>
      <c r="H14" s="193"/>
      <c r="I14" s="202"/>
      <c r="J14" s="655"/>
      <c r="K14" s="44"/>
    </row>
    <row r="15" ht="14.25" customHeight="1" outlineLevel="1">
      <c r="A15" s="385">
        <v>5</v>
      </c>
      <c r="B15" s="190" t="s">
        <v>57</v>
      </c>
      <c r="C15" s="190" t="s">
        <v>72</v>
      </c>
      <c r="D15" s="190" t="s">
        <v>76</v>
      </c>
      <c r="E15" s="492" t="s">
        <v>77</v>
      </c>
      <c r="F15" s="190" t="s">
        <v>78</v>
      </c>
      <c r="G15" s="182"/>
      <c r="H15" s="193"/>
      <c r="I15" s="202"/>
      <c r="J15" s="655"/>
      <c r="K15" s="44"/>
    </row>
    <row r="16" ht="14.25" customHeight="1" outlineLevel="1">
      <c r="A16" s="385">
        <v>6</v>
      </c>
      <c r="B16" s="190" t="s">
        <v>57</v>
      </c>
      <c r="C16" s="190" t="s">
        <v>79</v>
      </c>
      <c r="D16" s="267" t="s">
        <v>80</v>
      </c>
      <c r="E16" s="495" t="s">
        <v>81</v>
      </c>
      <c r="F16" s="190" t="s">
        <v>82</v>
      </c>
      <c r="G16" s="182" t="s">
        <v>62</v>
      </c>
      <c r="H16" s="193"/>
      <c r="I16" s="202"/>
      <c r="J16" s="655"/>
      <c r="K16" s="44"/>
    </row>
    <row r="17" ht="14.25" customHeight="1" outlineLevel="1">
      <c r="A17" s="385">
        <v>7</v>
      </c>
      <c r="B17" s="190" t="s">
        <v>57</v>
      </c>
      <c r="C17" s="190" t="s">
        <v>79</v>
      </c>
      <c r="D17" s="287" t="s">
        <v>370</v>
      </c>
      <c r="E17" s="497" t="s">
        <v>371</v>
      </c>
      <c r="F17" s="190" t="s">
        <v>372</v>
      </c>
      <c r="G17" s="182"/>
      <c r="H17" s="193"/>
      <c r="I17" s="202"/>
      <c r="J17" s="655"/>
      <c r="K17" s="44"/>
    </row>
    <row r="18" ht="14.25" customHeight="1" outlineLevel="1">
      <c r="A18" s="385">
        <v>8</v>
      </c>
      <c r="B18" s="190" t="s">
        <v>57</v>
      </c>
      <c r="C18" s="190" t="s">
        <v>171</v>
      </c>
      <c r="D18" s="337" t="s">
        <v>538</v>
      </c>
      <c r="E18" s="499" t="s">
        <v>539</v>
      </c>
      <c r="F18" s="190" t="s">
        <v>540</v>
      </c>
      <c r="G18" s="182"/>
      <c r="H18" s="193"/>
      <c r="I18" s="202" t="s">
        <v>541</v>
      </c>
      <c r="J18" s="655"/>
      <c r="K18" s="44"/>
    </row>
    <row r="19" ht="14.25" customHeight="1" outlineLevel="1">
      <c r="A19" s="385">
        <v>9</v>
      </c>
      <c r="B19" s="190" t="s">
        <v>57</v>
      </c>
      <c r="C19" s="190" t="s">
        <v>542</v>
      </c>
      <c r="D19" s="337" t="s">
        <v>543</v>
      </c>
      <c r="E19" s="499" t="s">
        <v>544</v>
      </c>
      <c r="F19" s="190" t="s">
        <v>545</v>
      </c>
      <c r="G19" s="182"/>
      <c r="H19" s="193"/>
      <c r="I19" s="202"/>
      <c r="J19" s="655"/>
      <c r="K19" s="44"/>
    </row>
    <row r="20" ht="14.25" customHeight="1" outlineLevel="1">
      <c r="A20" s="385">
        <v>10</v>
      </c>
      <c r="B20" s="190" t="s">
        <v>57</v>
      </c>
      <c r="C20" s="190" t="s">
        <v>373</v>
      </c>
      <c r="D20" s="337" t="s">
        <v>374</v>
      </c>
      <c r="E20" s="499" t="s">
        <v>375</v>
      </c>
      <c r="F20" s="190" t="s">
        <v>376</v>
      </c>
      <c r="G20" s="182"/>
      <c r="H20" s="193"/>
      <c r="I20" s="202"/>
      <c r="J20" s="655"/>
      <c r="K20" s="44"/>
    </row>
    <row r="21" ht="14.25" customHeight="1" outlineLevel="1">
      <c r="A21" s="385">
        <v>11</v>
      </c>
      <c r="B21" s="190" t="s">
        <v>57</v>
      </c>
      <c r="C21" s="190" t="s">
        <v>546</v>
      </c>
      <c r="D21" s="337" t="s">
        <v>547</v>
      </c>
      <c r="E21" s="499" t="s">
        <v>559</v>
      </c>
      <c r="F21" s="190" t="s">
        <v>549</v>
      </c>
      <c r="G21" s="182"/>
      <c r="H21" s="193"/>
      <c r="I21" s="202" t="s">
        <v>501</v>
      </c>
      <c r="J21" s="655"/>
      <c r="K21" s="44"/>
    </row>
    <row r="22" ht="14.25" customHeight="1" outlineLevel="1">
      <c r="A22" s="385">
        <v>12</v>
      </c>
      <c r="B22" s="209" t="s">
        <v>83</v>
      </c>
      <c r="C22" s="209" t="s">
        <v>84</v>
      </c>
      <c r="D22" s="657" t="s">
        <v>85</v>
      </c>
      <c r="E22" s="501" t="s">
        <v>86</v>
      </c>
      <c r="F22" s="182" t="s">
        <v>87</v>
      </c>
      <c r="G22" s="182" t="s">
        <v>62</v>
      </c>
      <c r="H22" s="193"/>
      <c r="I22" s="202"/>
      <c r="J22" s="655"/>
      <c r="K22" s="44"/>
    </row>
    <row r="23" ht="14.25" customHeight="1" outlineLevel="1">
      <c r="A23" s="385">
        <v>13</v>
      </c>
      <c r="B23" s="209" t="s">
        <v>83</v>
      </c>
      <c r="C23" s="209" t="s">
        <v>84</v>
      </c>
      <c r="D23" s="657" t="s">
        <v>88</v>
      </c>
      <c r="E23" s="501" t="s">
        <v>89</v>
      </c>
      <c r="F23" s="182" t="s">
        <v>90</v>
      </c>
      <c r="G23" s="182" t="s">
        <v>62</v>
      </c>
      <c r="H23" s="193"/>
      <c r="I23" s="202"/>
      <c r="J23" s="655"/>
      <c r="K23" s="44"/>
    </row>
    <row r="24" ht="14.25" customHeight="1" outlineLevel="1">
      <c r="A24" s="385">
        <v>14</v>
      </c>
      <c r="B24" s="209" t="s">
        <v>83</v>
      </c>
      <c r="C24" s="209" t="s">
        <v>84</v>
      </c>
      <c r="D24" s="657" t="s">
        <v>404</v>
      </c>
      <c r="E24" s="501" t="s">
        <v>89</v>
      </c>
      <c r="F24" s="182" t="s">
        <v>405</v>
      </c>
      <c r="G24" s="182"/>
      <c r="H24" s="193"/>
      <c r="I24" s="202"/>
      <c r="J24" s="655"/>
      <c r="K24" s="44"/>
    </row>
    <row r="25" ht="14.25" customHeight="1" outlineLevel="1">
      <c r="A25" s="385">
        <v>15</v>
      </c>
      <c r="B25" s="209" t="s">
        <v>83</v>
      </c>
      <c r="C25" s="209" t="s">
        <v>84</v>
      </c>
      <c r="D25" s="657" t="s">
        <v>648</v>
      </c>
      <c r="E25" s="501" t="s">
        <v>649</v>
      </c>
      <c r="F25" s="182" t="s">
        <v>650</v>
      </c>
      <c r="G25" s="182"/>
      <c r="H25" s="193"/>
      <c r="I25" s="202"/>
      <c r="J25" s="655"/>
      <c r="K25" s="44"/>
    </row>
    <row r="26" ht="14.25" customHeight="1" outlineLevel="1">
      <c r="A26" s="385">
        <v>16</v>
      </c>
      <c r="B26" s="209" t="s">
        <v>83</v>
      </c>
      <c r="C26" s="182" t="s">
        <v>91</v>
      </c>
      <c r="D26" s="658" t="s">
        <v>92</v>
      </c>
      <c r="E26" s="659" t="s">
        <v>93</v>
      </c>
      <c r="F26" s="182" t="s">
        <v>94</v>
      </c>
      <c r="G26" s="182" t="s">
        <v>62</v>
      </c>
      <c r="H26" s="193"/>
      <c r="I26" s="202"/>
      <c r="J26" s="655"/>
      <c r="K26" s="44"/>
    </row>
    <row r="27" ht="14.25" customHeight="1" outlineLevel="1">
      <c r="A27" s="385">
        <v>17</v>
      </c>
      <c r="B27" s="198" t="s">
        <v>83</v>
      </c>
      <c r="C27" s="204" t="s">
        <v>91</v>
      </c>
      <c r="D27" s="658" t="s">
        <v>95</v>
      </c>
      <c r="E27" s="505" t="s">
        <v>96</v>
      </c>
      <c r="F27" s="660" t="s">
        <v>94</v>
      </c>
      <c r="G27" s="182" t="s">
        <v>62</v>
      </c>
      <c r="H27" s="400"/>
      <c r="I27" s="94"/>
      <c r="J27" s="655"/>
      <c r="K27" s="44"/>
    </row>
    <row r="28" ht="14.25" customHeight="1" outlineLevel="1">
      <c r="A28" s="385">
        <v>18</v>
      </c>
      <c r="B28" s="198" t="s">
        <v>83</v>
      </c>
      <c r="C28" s="204" t="s">
        <v>91</v>
      </c>
      <c r="D28" s="658" t="s">
        <v>97</v>
      </c>
      <c r="E28" s="505" t="s">
        <v>98</v>
      </c>
      <c r="F28" s="401" t="s">
        <v>94</v>
      </c>
      <c r="G28" s="182" t="s">
        <v>62</v>
      </c>
      <c r="H28" s="202"/>
      <c r="I28" s="94"/>
      <c r="J28" s="655"/>
      <c r="K28" s="44"/>
    </row>
    <row r="29" ht="14.25" customHeight="1" outlineLevel="1">
      <c r="A29" s="385">
        <v>19</v>
      </c>
      <c r="B29" s="198" t="s">
        <v>83</v>
      </c>
      <c r="C29" s="204" t="s">
        <v>91</v>
      </c>
      <c r="D29" s="658" t="s">
        <v>99</v>
      </c>
      <c r="E29" s="505" t="s">
        <v>100</v>
      </c>
      <c r="F29" s="401" t="s">
        <v>94</v>
      </c>
      <c r="G29" s="182" t="s">
        <v>62</v>
      </c>
      <c r="H29" s="202"/>
      <c r="I29" s="94"/>
      <c r="J29" s="655"/>
      <c r="K29" s="44"/>
    </row>
    <row r="30" ht="14.25" customHeight="1" outlineLevel="1">
      <c r="A30" s="385">
        <v>20</v>
      </c>
      <c r="B30" s="198" t="s">
        <v>83</v>
      </c>
      <c r="C30" s="204" t="s">
        <v>91</v>
      </c>
      <c r="D30" s="658" t="s">
        <v>101</v>
      </c>
      <c r="E30" s="505" t="s">
        <v>102</v>
      </c>
      <c r="F30" s="401" t="s">
        <v>94</v>
      </c>
      <c r="G30" s="182" t="s">
        <v>62</v>
      </c>
      <c r="H30" s="202"/>
      <c r="I30" s="94"/>
      <c r="J30" s="655"/>
      <c r="K30" s="44"/>
    </row>
    <row r="31" ht="14.25" customHeight="1" outlineLevel="1">
      <c r="A31" s="385">
        <v>21</v>
      </c>
      <c r="B31" s="198" t="s">
        <v>83</v>
      </c>
      <c r="C31" s="204" t="s">
        <v>91</v>
      </c>
      <c r="D31" s="658" t="s">
        <v>103</v>
      </c>
      <c r="E31" s="505" t="s">
        <v>104</v>
      </c>
      <c r="F31" s="401" t="s">
        <v>94</v>
      </c>
      <c r="G31" s="182" t="s">
        <v>62</v>
      </c>
      <c r="H31" s="202"/>
      <c r="I31" s="94"/>
      <c r="J31" s="655"/>
      <c r="K31" s="44"/>
    </row>
    <row r="32" ht="14.25" customHeight="1" outlineLevel="1">
      <c r="A32" s="385">
        <v>22</v>
      </c>
      <c r="B32" s="198" t="s">
        <v>83</v>
      </c>
      <c r="C32" s="204" t="s">
        <v>91</v>
      </c>
      <c r="D32" s="658" t="s">
        <v>105</v>
      </c>
      <c r="E32" s="505" t="s">
        <v>106</v>
      </c>
      <c r="F32" s="401" t="s">
        <v>94</v>
      </c>
      <c r="G32" s="182" t="s">
        <v>62</v>
      </c>
      <c r="H32" s="202"/>
      <c r="I32" s="94"/>
      <c r="J32" s="655"/>
      <c r="K32" s="44"/>
    </row>
    <row r="33" ht="14.25" customHeight="1" outlineLevel="1">
      <c r="A33" s="385">
        <v>23</v>
      </c>
      <c r="B33" s="198" t="s">
        <v>83</v>
      </c>
      <c r="C33" s="204" t="s">
        <v>91</v>
      </c>
      <c r="D33" s="658" t="s">
        <v>107</v>
      </c>
      <c r="E33" s="505" t="s">
        <v>108</v>
      </c>
      <c r="F33" s="401" t="s">
        <v>94</v>
      </c>
      <c r="G33" s="182" t="s">
        <v>62</v>
      </c>
      <c r="H33" s="202"/>
      <c r="I33" s="42"/>
      <c r="J33" s="43"/>
      <c r="K33" s="44"/>
    </row>
    <row r="34" ht="14.25" customHeight="1" outlineLevel="1">
      <c r="A34" s="385">
        <v>24</v>
      </c>
      <c r="B34" s="198" t="s">
        <v>83</v>
      </c>
      <c r="C34" s="204" t="s">
        <v>91</v>
      </c>
      <c r="D34" s="658" t="s">
        <v>560</v>
      </c>
      <c r="E34" s="505" t="s">
        <v>561</v>
      </c>
      <c r="F34" s="401" t="s">
        <v>94</v>
      </c>
      <c r="G34" s="182"/>
      <c r="H34" s="202"/>
      <c r="I34" s="42"/>
      <c r="J34" s="43"/>
      <c r="K34" s="44"/>
    </row>
    <row r="35" ht="14.25" customHeight="1" outlineLevel="1">
      <c r="A35" s="385">
        <v>25</v>
      </c>
      <c r="B35" s="198" t="s">
        <v>83</v>
      </c>
      <c r="C35" s="204" t="s">
        <v>91</v>
      </c>
      <c r="D35" s="658" t="s">
        <v>562</v>
      </c>
      <c r="E35" s="505" t="s">
        <v>563</v>
      </c>
      <c r="F35" s="401" t="s">
        <v>94</v>
      </c>
      <c r="G35" s="182"/>
      <c r="H35" s="202"/>
      <c r="I35" s="42"/>
      <c r="J35" s="43"/>
      <c r="K35" s="44"/>
    </row>
    <row r="36" ht="14.25" customHeight="1" outlineLevel="1">
      <c r="A36" s="385">
        <v>26</v>
      </c>
      <c r="B36" s="198" t="s">
        <v>83</v>
      </c>
      <c r="C36" s="204" t="s">
        <v>91</v>
      </c>
      <c r="D36" s="658" t="s">
        <v>564</v>
      </c>
      <c r="E36" s="505" t="s">
        <v>565</v>
      </c>
      <c r="F36" s="401" t="s">
        <v>94</v>
      </c>
      <c r="G36" s="182"/>
      <c r="H36" s="202"/>
      <c r="I36" s="42"/>
      <c r="J36" s="43"/>
      <c r="K36" s="44"/>
    </row>
    <row r="37" ht="14.25" customHeight="1" outlineLevel="1">
      <c r="A37" s="385">
        <v>27</v>
      </c>
      <c r="B37" s="198" t="s">
        <v>83</v>
      </c>
      <c r="C37" s="198" t="s">
        <v>109</v>
      </c>
      <c r="D37" s="657" t="s">
        <v>110</v>
      </c>
      <c r="E37" s="507" t="s">
        <v>111</v>
      </c>
      <c r="F37" s="401" t="s">
        <v>112</v>
      </c>
      <c r="G37" s="182" t="s">
        <v>62</v>
      </c>
      <c r="H37" s="202"/>
      <c r="I37" s="42"/>
      <c r="J37" s="43"/>
      <c r="K37" s="44"/>
    </row>
    <row r="38" ht="14.25" customHeight="1" outlineLevel="1">
      <c r="A38" s="385">
        <v>28</v>
      </c>
      <c r="B38" s="198" t="s">
        <v>83</v>
      </c>
      <c r="C38" s="198" t="s">
        <v>109</v>
      </c>
      <c r="D38" s="657" t="s">
        <v>113</v>
      </c>
      <c r="E38" s="507" t="s">
        <v>114</v>
      </c>
      <c r="F38" s="401" t="s">
        <v>115</v>
      </c>
      <c r="G38" s="182" t="s">
        <v>62</v>
      </c>
      <c r="H38" s="202"/>
      <c r="I38" s="42"/>
      <c r="J38" s="43"/>
      <c r="K38" s="44"/>
    </row>
    <row r="39" ht="14.25" customHeight="1" outlineLevel="1">
      <c r="A39" s="385">
        <v>29</v>
      </c>
      <c r="B39" s="209" t="s">
        <v>83</v>
      </c>
      <c r="C39" s="198" t="s">
        <v>109</v>
      </c>
      <c r="D39" s="657" t="s">
        <v>116</v>
      </c>
      <c r="E39" s="507" t="s">
        <v>117</v>
      </c>
      <c r="F39" s="401" t="s">
        <v>118</v>
      </c>
      <c r="G39" s="182" t="s">
        <v>62</v>
      </c>
      <c r="H39" s="202"/>
      <c r="I39" s="42"/>
      <c r="J39" s="43"/>
      <c r="K39" s="44"/>
    </row>
    <row r="40" ht="14.25" customHeight="1" outlineLevel="1">
      <c r="A40" s="385">
        <v>30</v>
      </c>
      <c r="B40" s="182" t="s">
        <v>83</v>
      </c>
      <c r="C40" s="182" t="s">
        <v>119</v>
      </c>
      <c r="D40" s="658" t="s">
        <v>120</v>
      </c>
      <c r="E40" s="508" t="s">
        <v>377</v>
      </c>
      <c r="F40" s="401" t="s">
        <v>122</v>
      </c>
      <c r="G40" s="182" t="s">
        <v>62</v>
      </c>
      <c r="H40" s="202"/>
      <c r="I40" s="42"/>
      <c r="J40" s="43"/>
      <c r="K40" s="44"/>
    </row>
    <row r="41" ht="14.25" customHeight="1" outlineLevel="1">
      <c r="A41" s="385">
        <v>31</v>
      </c>
      <c r="B41" s="209" t="s">
        <v>123</v>
      </c>
      <c r="C41" s="182" t="s">
        <v>124</v>
      </c>
      <c r="D41" s="658" t="s">
        <v>125</v>
      </c>
      <c r="E41" s="507" t="s">
        <v>126</v>
      </c>
      <c r="F41" s="401" t="s">
        <v>127</v>
      </c>
      <c r="G41" s="182" t="s">
        <v>62</v>
      </c>
      <c r="H41" s="202"/>
      <c r="I41" s="42"/>
      <c r="J41" s="43"/>
      <c r="K41" s="44"/>
    </row>
    <row r="42" ht="14.25" customHeight="1" outlineLevel="1">
      <c r="A42" s="385">
        <v>32</v>
      </c>
      <c r="B42" s="209" t="s">
        <v>128</v>
      </c>
      <c r="C42" s="182" t="s">
        <v>37</v>
      </c>
      <c r="D42" s="658" t="s">
        <v>129</v>
      </c>
      <c r="E42" s="507" t="s">
        <v>130</v>
      </c>
      <c r="F42" s="401" t="s">
        <v>131</v>
      </c>
      <c r="G42" s="182" t="s">
        <v>62</v>
      </c>
      <c r="H42" s="202"/>
      <c r="I42" s="42"/>
      <c r="J42" s="43"/>
      <c r="K42" s="44"/>
    </row>
    <row r="43" ht="14.25" customHeight="1" outlineLevel="1">
      <c r="A43" s="385">
        <v>33</v>
      </c>
      <c r="B43" s="182" t="s">
        <v>83</v>
      </c>
      <c r="C43" s="210" t="s">
        <v>132</v>
      </c>
      <c r="D43" s="487" t="s">
        <v>133</v>
      </c>
      <c r="E43" s="488" t="s">
        <v>134</v>
      </c>
      <c r="F43" s="489" t="s">
        <v>135</v>
      </c>
      <c r="G43" s="182" t="s">
        <v>62</v>
      </c>
      <c r="H43" s="202"/>
      <c r="I43" s="42"/>
      <c r="J43" s="43"/>
      <c r="K43" s="44"/>
    </row>
    <row r="44" ht="14.25" customHeight="1" outlineLevel="1">
      <c r="A44" s="385">
        <v>34</v>
      </c>
      <c r="B44" s="182" t="s">
        <v>83</v>
      </c>
      <c r="C44" s="190" t="s">
        <v>136</v>
      </c>
      <c r="D44" s="267" t="s">
        <v>137</v>
      </c>
      <c r="E44" s="510" t="s">
        <v>378</v>
      </c>
      <c r="F44" s="267" t="s">
        <v>139</v>
      </c>
      <c r="G44" s="182" t="s">
        <v>62</v>
      </c>
      <c r="H44" s="202"/>
      <c r="I44" s="42"/>
      <c r="J44" s="43"/>
      <c r="K44" s="44"/>
    </row>
    <row r="45" ht="14.25" customHeight="1" outlineLevel="1">
      <c r="A45" s="385">
        <v>35</v>
      </c>
      <c r="B45" s="182" t="s">
        <v>83</v>
      </c>
      <c r="C45" s="190" t="s">
        <v>136</v>
      </c>
      <c r="D45" s="496" t="s">
        <v>566</v>
      </c>
      <c r="E45" s="516" t="s">
        <v>567</v>
      </c>
      <c r="F45" s="850" t="s">
        <v>568</v>
      </c>
      <c r="G45" s="514"/>
      <c r="H45" s="94"/>
      <c r="I45" s="42"/>
      <c r="J45" s="43"/>
      <c r="K45" s="44"/>
    </row>
    <row r="46" ht="14.25" customHeight="1" outlineLevel="1">
      <c r="A46" s="385">
        <v>36</v>
      </c>
      <c r="B46" s="182" t="s">
        <v>83</v>
      </c>
      <c r="C46" s="762" t="s">
        <v>143</v>
      </c>
      <c r="D46" s="41" t="s">
        <v>144</v>
      </c>
      <c r="E46" s="516" t="s">
        <v>145</v>
      </c>
      <c r="F46" s="410" t="s">
        <v>146</v>
      </c>
      <c r="G46" s="514" t="s">
        <v>62</v>
      </c>
      <c r="H46" s="94"/>
      <c r="I46" s="42"/>
      <c r="J46" s="43"/>
      <c r="K46" s="44"/>
    </row>
    <row r="47" ht="14.25" customHeight="1" outlineLevel="1">
      <c r="A47" s="385">
        <v>37</v>
      </c>
      <c r="B47" s="182" t="s">
        <v>83</v>
      </c>
      <c r="C47" s="518" t="s">
        <v>147</v>
      </c>
      <c r="D47" s="41" t="s">
        <v>148</v>
      </c>
      <c r="E47" s="516" t="s">
        <v>379</v>
      </c>
      <c r="F47" s="410" t="s">
        <v>150</v>
      </c>
      <c r="G47" s="514" t="s">
        <v>62</v>
      </c>
      <c r="H47" s="94"/>
      <c r="I47" s="42"/>
      <c r="J47" s="43"/>
      <c r="K47" s="44"/>
    </row>
    <row r="48" ht="14.25" customHeight="1" outlineLevel="1">
      <c r="A48" s="385">
        <v>38</v>
      </c>
      <c r="B48" s="204" t="s">
        <v>83</v>
      </c>
      <c r="C48" s="518" t="s">
        <v>147</v>
      </c>
      <c r="D48" s="41" t="s">
        <v>461</v>
      </c>
      <c r="E48" s="516" t="s">
        <v>462</v>
      </c>
      <c r="F48" s="410" t="s">
        <v>463</v>
      </c>
      <c r="G48" s="514" t="s">
        <v>62</v>
      </c>
      <c r="H48" s="94"/>
      <c r="I48" s="42"/>
      <c r="J48" s="43"/>
      <c r="K48" s="44"/>
    </row>
    <row r="49" ht="14.25" customHeight="1" outlineLevel="1">
      <c r="A49" s="385">
        <v>39</v>
      </c>
      <c r="B49" s="182" t="s">
        <v>83</v>
      </c>
      <c r="C49" s="518" t="s">
        <v>147</v>
      </c>
      <c r="D49" s="41" t="s">
        <v>464</v>
      </c>
      <c r="E49" s="516" t="s">
        <v>465</v>
      </c>
      <c r="F49" s="410" t="s">
        <v>466</v>
      </c>
      <c r="G49" s="514" t="s">
        <v>62</v>
      </c>
      <c r="H49" s="94"/>
      <c r="I49" s="42"/>
      <c r="J49" s="43"/>
      <c r="K49" s="44"/>
    </row>
    <row r="50" ht="14.25" customHeight="1" outlineLevel="1">
      <c r="A50" s="385">
        <v>40</v>
      </c>
      <c r="B50" s="182" t="s">
        <v>83</v>
      </c>
      <c r="C50" s="518" t="s">
        <v>569</v>
      </c>
      <c r="D50" s="39" t="s">
        <v>570</v>
      </c>
      <c r="E50" s="516" t="s">
        <v>571</v>
      </c>
      <c r="F50" s="41" t="s">
        <v>572</v>
      </c>
      <c r="G50" s="594"/>
      <c r="H50" s="42"/>
      <c r="I50" s="42"/>
      <c r="J50" s="43"/>
      <c r="K50" s="44"/>
    </row>
    <row r="51" ht="47.25" customHeight="1" outlineLevel="1">
      <c r="A51" s="385">
        <v>41</v>
      </c>
      <c r="B51" s="851" t="s">
        <v>45</v>
      </c>
      <c r="C51" s="414" t="s">
        <v>651</v>
      </c>
      <c r="D51" s="414"/>
      <c r="E51" s="852">
        <v>220000</v>
      </c>
      <c r="F51" s="415" t="s">
        <v>251</v>
      </c>
      <c r="G51" s="414" t="s">
        <v>652</v>
      </c>
      <c r="H51" s="440"/>
      <c r="I51" s="440"/>
      <c r="J51" s="853" t="s">
        <v>47</v>
      </c>
      <c r="K51" s="854"/>
    </row>
    <row r="52" ht="14.25" customHeight="1" outlineLevel="1">
      <c r="A52" s="385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5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5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5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5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5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5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5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5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5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5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5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5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5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5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5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5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5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5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5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5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5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5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5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5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5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5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5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5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5">
        <v>71</v>
      </c>
      <c r="B81" s="39"/>
      <c r="C81" s="39"/>
      <c r="D81" s="39"/>
      <c r="E81" s="40"/>
      <c r="F81" s="41"/>
      <c r="G81" s="39"/>
      <c r="H81" s="42"/>
      <c r="I81" s="42"/>
      <c r="J81" s="43"/>
      <c r="K81" s="44"/>
    </row>
    <row r="82" ht="14.25" customHeight="1" outlineLevel="1">
      <c r="A82" s="385">
        <v>72</v>
      </c>
      <c r="B82" s="39"/>
      <c r="C82" s="39"/>
      <c r="D82" s="39"/>
      <c r="E82" s="40"/>
      <c r="F82" s="41"/>
      <c r="G82" s="41"/>
      <c r="H82" s="39"/>
      <c r="I82" s="43"/>
      <c r="J82" s="43"/>
      <c r="K82" s="44"/>
    </row>
    <row r="83" ht="14.25" customHeight="1" outlineLevel="1">
      <c r="A83" s="385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5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5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5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5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5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5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5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5">
        <v>81</v>
      </c>
      <c r="B91" s="39"/>
      <c r="C91" s="39"/>
      <c r="D91" s="39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5">
        <v>82</v>
      </c>
      <c r="B92" s="39"/>
      <c r="C92" s="39"/>
      <c r="D92" s="41"/>
      <c r="E92" s="40"/>
      <c r="F92" s="41"/>
      <c r="G92" s="39"/>
      <c r="H92" s="39"/>
      <c r="I92" s="39"/>
      <c r="J92" s="43"/>
      <c r="K92" s="44"/>
    </row>
    <row r="93" ht="14.25" customHeight="1" outlineLevel="1">
      <c r="A93" s="385">
        <v>83</v>
      </c>
      <c r="B93" s="39"/>
      <c r="C93" s="39"/>
      <c r="D93" s="39"/>
      <c r="E93" s="40"/>
      <c r="F93" s="41"/>
      <c r="G93" s="41"/>
      <c r="H93" s="39"/>
      <c r="I93" s="39"/>
      <c r="J93" s="43"/>
      <c r="K93" s="44"/>
    </row>
    <row r="94" ht="14.25" customHeight="1" outlineLevel="1">
      <c r="A94" s="385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5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5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5">
        <v>87</v>
      </c>
      <c r="B97" s="39"/>
      <c r="C97" s="39"/>
      <c r="D97" s="39"/>
      <c r="E97" s="40"/>
      <c r="F97" s="41"/>
      <c r="G97" s="39"/>
      <c r="H97" s="39"/>
      <c r="I97" s="39"/>
      <c r="J97" s="43"/>
      <c r="K97" s="44"/>
    </row>
    <row r="98" ht="14.25" customHeight="1" outlineLevel="1">
      <c r="A98" s="385">
        <v>88</v>
      </c>
      <c r="B98" s="39"/>
      <c r="C98" s="39"/>
      <c r="D98" s="39"/>
      <c r="E98" s="45"/>
      <c r="F98" s="41"/>
      <c r="G98" s="39"/>
      <c r="H98" s="39"/>
      <c r="I98" s="39"/>
      <c r="J98" s="43"/>
      <c r="K98" s="44"/>
    </row>
    <row r="99" ht="14.25" customHeight="1" outlineLevel="1">
      <c r="A99" s="385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5">
        <v>90</v>
      </c>
      <c r="B100" s="39"/>
      <c r="C100" s="39"/>
      <c r="D100" s="39"/>
      <c r="E100" s="40"/>
      <c r="F100" s="41"/>
      <c r="G100" s="39"/>
      <c r="H100" s="39"/>
      <c r="I100" s="39"/>
      <c r="J100" s="43"/>
      <c r="K100" s="44"/>
    </row>
    <row r="101" ht="14.25" customHeight="1" outlineLevel="1">
      <c r="A101" s="385">
        <v>91</v>
      </c>
      <c r="B101" s="39"/>
      <c r="C101" s="39"/>
      <c r="D101" s="39"/>
      <c r="E101" s="40"/>
      <c r="F101" s="39"/>
      <c r="G101" s="39"/>
      <c r="H101" s="39"/>
      <c r="I101" s="39"/>
      <c r="J101" s="43"/>
      <c r="K101" s="44"/>
    </row>
    <row r="102" ht="14.25" customHeight="1" outlineLevel="1">
      <c r="A102" s="385">
        <v>92</v>
      </c>
      <c r="B102" s="46"/>
      <c r="C102" s="46"/>
      <c r="D102" s="46"/>
      <c r="E102" s="47"/>
      <c r="F102" s="48"/>
      <c r="G102" s="46"/>
      <c r="H102" s="46"/>
      <c r="I102" s="39"/>
      <c r="J102" s="43"/>
      <c r="K102" s="44"/>
    </row>
    <row r="103" ht="14.25" customHeight="1" outlineLevel="1">
      <c r="A103" s="385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5">
        <v>94</v>
      </c>
      <c r="B104" s="39"/>
      <c r="C104" s="39"/>
      <c r="D104" s="41"/>
      <c r="E104" s="40"/>
      <c r="F104" s="41"/>
      <c r="G104" s="39"/>
      <c r="H104" s="39"/>
      <c r="I104" s="39"/>
      <c r="J104" s="43"/>
      <c r="K104" s="44"/>
    </row>
    <row r="105" ht="14.25" customHeight="1" outlineLevel="1">
      <c r="A105" s="385">
        <v>95</v>
      </c>
      <c r="B105" s="39"/>
      <c r="C105" s="39"/>
      <c r="D105" s="39"/>
      <c r="E105" s="45"/>
      <c r="F105" s="41"/>
      <c r="G105" s="39"/>
      <c r="H105" s="39"/>
      <c r="I105" s="39"/>
      <c r="J105" s="43"/>
      <c r="K105" s="44"/>
    </row>
    <row r="106" ht="14.25" customHeight="1" outlineLevel="1">
      <c r="A106" s="385">
        <v>96</v>
      </c>
      <c r="B106" s="49"/>
      <c r="C106" s="49"/>
      <c r="D106" s="49"/>
      <c r="E106" s="45"/>
      <c r="F106" s="50"/>
      <c r="G106" s="49"/>
      <c r="H106" s="49"/>
      <c r="I106" s="49"/>
      <c r="J106" s="43"/>
      <c r="K106" s="44"/>
    </row>
    <row r="107" ht="14.25" customHeight="1" outlineLevel="1">
      <c r="A107" s="385">
        <v>97</v>
      </c>
      <c r="B107" s="39"/>
      <c r="C107" s="39"/>
      <c r="D107" s="39"/>
      <c r="E107" s="45"/>
      <c r="F107" s="41"/>
      <c r="G107" s="51"/>
      <c r="H107" s="51"/>
      <c r="I107" s="52"/>
      <c r="J107" s="43"/>
      <c r="K107" s="44"/>
    </row>
    <row r="108" ht="14.25" customHeight="1" outlineLevel="1">
      <c r="A108" s="385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5">
        <v>99</v>
      </c>
      <c r="B109" s="39"/>
      <c r="C109" s="39"/>
      <c r="D109" s="39"/>
      <c r="E109" s="45"/>
      <c r="F109" s="41"/>
      <c r="G109" s="41"/>
      <c r="H109" s="39"/>
      <c r="I109" s="39"/>
      <c r="J109" s="43"/>
      <c r="K109" s="44"/>
    </row>
    <row r="110" ht="14.25" customHeight="1" outlineLevel="1">
      <c r="A110" s="385">
        <v>100</v>
      </c>
      <c r="B110" s="53"/>
      <c r="C110" s="53"/>
      <c r="D110" s="53"/>
      <c r="E110" s="54"/>
      <c r="F110" s="55"/>
      <c r="G110" s="53"/>
      <c r="H110" s="53"/>
      <c r="I110" s="42"/>
      <c r="J110" s="43"/>
      <c r="K110" s="44"/>
    </row>
    <row r="111" ht="14.25" customHeight="1" outlineLevel="1">
      <c r="A111" s="385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5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5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5">
        <v>104</v>
      </c>
      <c r="B114" s="56"/>
      <c r="C114" s="56"/>
      <c r="D114" s="56"/>
      <c r="E114" s="54"/>
      <c r="F114" s="55"/>
      <c r="G114" s="53"/>
      <c r="H114" s="53"/>
      <c r="I114" s="42"/>
      <c r="J114" s="57"/>
      <c r="K114" s="58"/>
    </row>
    <row r="115" ht="14.25" customHeight="1" outlineLevel="1">
      <c r="A115" s="385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5">
        <v>106</v>
      </c>
      <c r="B116" s="59"/>
      <c r="C116" s="59"/>
      <c r="D116" s="59"/>
      <c r="E116" s="60"/>
      <c r="F116" s="61"/>
      <c r="G116" s="59"/>
      <c r="H116" s="59"/>
      <c r="I116" s="59"/>
      <c r="J116" s="57"/>
      <c r="K116" s="58"/>
    </row>
    <row r="117" ht="14.25" customHeight="1" outlineLevel="1">
      <c r="A117" s="385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5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5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5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ht="14.25" customHeight="1" outlineLevel="1">
      <c r="A121" s="385">
        <v>111</v>
      </c>
      <c r="B121" s="59"/>
      <c r="C121" s="59"/>
      <c r="D121" s="59"/>
      <c r="E121" s="60"/>
      <c r="F121" s="61"/>
      <c r="G121" s="61"/>
      <c r="H121" s="59"/>
      <c r="I121" s="59"/>
      <c r="J121" s="57"/>
      <c r="K121" s="58"/>
    </row>
    <row r="122" s="21" customFormat="1" ht="18.75" customHeight="1" outlineLevel="1">
      <c r="A122" s="22"/>
      <c r="B122" s="172" t="s">
        <v>18</v>
      </c>
      <c r="C122" s="173"/>
      <c r="D122" s="174"/>
      <c r="E122" s="175"/>
      <c r="F122" s="172"/>
      <c r="G122" s="172"/>
      <c r="H122" s="172"/>
      <c r="I122" s="23"/>
      <c r="J122" s="172"/>
      <c r="K122" s="247"/>
    </row>
    <row r="123" ht="14.25" customHeight="1" outlineLevel="1">
      <c r="A123" s="248">
        <v>1</v>
      </c>
      <c r="B123" s="249" t="s">
        <v>199</v>
      </c>
      <c r="C123" s="249" t="s">
        <v>200</v>
      </c>
      <c r="D123" s="249" t="s">
        <v>201</v>
      </c>
      <c r="E123" s="250" t="s">
        <v>202</v>
      </c>
      <c r="F123" s="330" t="s">
        <v>203</v>
      </c>
      <c r="G123" s="182" t="s">
        <v>62</v>
      </c>
      <c r="H123" s="252"/>
      <c r="I123" s="59"/>
      <c r="J123" s="57"/>
      <c r="K123" s="58"/>
    </row>
    <row r="124" ht="14.25" customHeight="1" outlineLevel="1">
      <c r="A124" s="256">
        <v>2</v>
      </c>
      <c r="B124" s="846" t="s">
        <v>204</v>
      </c>
      <c r="C124" s="846" t="s">
        <v>205</v>
      </c>
      <c r="D124" s="253" t="s">
        <v>206</v>
      </c>
      <c r="E124" s="552" t="s">
        <v>207</v>
      </c>
      <c r="F124" s="855" t="s">
        <v>208</v>
      </c>
      <c r="G124" s="182" t="s">
        <v>62</v>
      </c>
      <c r="H124" s="245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101"/>
      <c r="G125" s="9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172" t="s">
        <v>19</v>
      </c>
      <c r="C142" s="173"/>
      <c r="D142" s="174"/>
      <c r="E142" s="26"/>
      <c r="F142" s="172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34" t="s">
        <v>222</v>
      </c>
      <c r="C143" s="290" t="s">
        <v>223</v>
      </c>
      <c r="D143" s="290" t="s">
        <v>227</v>
      </c>
      <c r="E143" s="679" t="s">
        <v>494</v>
      </c>
      <c r="F143" s="856" t="s">
        <v>460</v>
      </c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72" t="s">
        <v>153</v>
      </c>
      <c r="C144" s="276" t="s">
        <v>223</v>
      </c>
      <c r="D144" s="735" t="s">
        <v>227</v>
      </c>
      <c r="E144" s="443" t="s">
        <v>242</v>
      </c>
      <c r="F144" s="857" t="s">
        <v>228</v>
      </c>
      <c r="G144" s="575"/>
      <c r="H144" s="575"/>
      <c r="I144" s="575" t="s">
        <v>231</v>
      </c>
      <c r="J144" s="576"/>
      <c r="K144" s="577" t="s">
        <v>230</v>
      </c>
    </row>
    <row r="145" ht="14.25" customHeight="1" outlineLevel="1">
      <c r="A145" s="68">
        <v>3</v>
      </c>
      <c r="B145" s="76" t="s">
        <v>153</v>
      </c>
      <c r="C145" s="300" t="s">
        <v>243</v>
      </c>
      <c r="D145" s="61" t="s">
        <v>244</v>
      </c>
      <c r="E145" s="443" t="s">
        <v>245</v>
      </c>
      <c r="F145" s="59" t="s">
        <v>246</v>
      </c>
      <c r="G145" s="99"/>
      <c r="H145" s="99" t="s">
        <v>141</v>
      </c>
      <c r="I145" s="99"/>
      <c r="J145" s="302"/>
      <c r="K145" s="303"/>
    </row>
    <row r="146" ht="14.25" customHeight="1" outlineLevel="1">
      <c r="A146" s="68">
        <v>4</v>
      </c>
      <c r="B146" s="858" t="s">
        <v>153</v>
      </c>
      <c r="C146" s="859" t="s">
        <v>233</v>
      </c>
      <c r="D146" s="59" t="s">
        <v>510</v>
      </c>
      <c r="E146" s="443" t="s">
        <v>511</v>
      </c>
      <c r="F146" s="59" t="s">
        <v>512</v>
      </c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72" t="s">
        <v>153</v>
      </c>
      <c r="C147" s="276" t="s">
        <v>223</v>
      </c>
      <c r="D147" s="860" t="s">
        <v>227</v>
      </c>
      <c r="E147" s="706" t="s">
        <v>653</v>
      </c>
      <c r="F147" s="56" t="s">
        <v>228</v>
      </c>
      <c r="G147" s="56"/>
      <c r="H147" s="56"/>
      <c r="I147" s="56" t="s">
        <v>654</v>
      </c>
      <c r="J147" s="80"/>
      <c r="K147" s="81"/>
    </row>
    <row r="148" s="21" customFormat="1" ht="18.75" customHeight="1" outlineLevel="1">
      <c r="A148" s="22"/>
      <c r="B148" s="465" t="s">
        <v>20</v>
      </c>
      <c r="C148" s="585"/>
      <c r="D148" s="586"/>
      <c r="E148" s="175"/>
      <c r="F148" s="172"/>
      <c r="G148" s="172"/>
      <c r="H148" s="23"/>
      <c r="I148" s="23"/>
      <c r="J148" s="23"/>
      <c r="K148" s="27"/>
    </row>
    <row r="149" ht="14.25" customHeight="1" outlineLevel="1">
      <c r="A149" s="68">
        <v>1</v>
      </c>
      <c r="B149" s="588" t="s">
        <v>45</v>
      </c>
      <c r="C149" s="589" t="s">
        <v>256</v>
      </c>
      <c r="D149" s="589"/>
      <c r="E149" s="443" t="s">
        <v>424</v>
      </c>
      <c r="F149" s="590" t="s">
        <v>257</v>
      </c>
      <c r="G149" s="589"/>
      <c r="H149" s="63"/>
      <c r="I149" s="63"/>
      <c r="J149" s="66"/>
      <c r="K149" s="67"/>
    </row>
    <row r="150" ht="14.25" customHeight="1" outlineLevel="1">
      <c r="A150" s="68">
        <v>2</v>
      </c>
      <c r="B150" s="861" t="s">
        <v>45</v>
      </c>
      <c r="C150" s="861" t="s">
        <v>256</v>
      </c>
      <c r="D150" s="861"/>
      <c r="E150" s="862" t="s">
        <v>424</v>
      </c>
      <c r="F150" s="863" t="s">
        <v>257</v>
      </c>
      <c r="G150" s="589"/>
      <c r="H150" s="70"/>
      <c r="I150" s="70"/>
      <c r="J150" s="73"/>
      <c r="K150" s="74"/>
    </row>
    <row r="151" ht="14.25" customHeight="1" outlineLevel="1">
      <c r="A151" s="256">
        <v>3</v>
      </c>
      <c r="B151" s="707" t="s">
        <v>45</v>
      </c>
      <c r="C151" s="707" t="s">
        <v>256</v>
      </c>
      <c r="D151" s="707"/>
      <c r="E151" s="250" t="s">
        <v>424</v>
      </c>
      <c r="F151" s="708" t="s">
        <v>257</v>
      </c>
      <c r="G151" s="864"/>
      <c r="H151" s="772"/>
      <c r="I151" s="772"/>
      <c r="J151" s="773"/>
      <c r="K151" s="774"/>
    </row>
    <row r="152" ht="14.25" customHeight="1" outlineLevel="1">
      <c r="A152" s="256">
        <v>4</v>
      </c>
      <c r="B152" s="707" t="s">
        <v>45</v>
      </c>
      <c r="C152" s="707" t="s">
        <v>256</v>
      </c>
      <c r="D152" s="707"/>
      <c r="E152" s="250" t="s">
        <v>424</v>
      </c>
      <c r="F152" s="708" t="s">
        <v>257</v>
      </c>
      <c r="G152" s="707"/>
      <c r="H152" s="191"/>
      <c r="I152" s="191"/>
      <c r="J152" s="277"/>
      <c r="K152" s="277"/>
    </row>
    <row r="153" ht="14.25" customHeight="1" outlineLevel="1">
      <c r="A153" s="68">
        <v>5</v>
      </c>
      <c r="B153" s="579"/>
      <c r="C153" s="579"/>
      <c r="D153" s="579"/>
      <c r="E153" s="358"/>
      <c r="F153" s="710"/>
      <c r="G153" s="579"/>
      <c r="H153" s="579"/>
      <c r="I153" s="579"/>
      <c r="J153" s="580"/>
      <c r="K153" s="5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220000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28520.140000000014</v>
      </c>
      <c r="F156" s="86"/>
    </row>
    <row r="157" ht="27.75" customHeight="1">
      <c r="E157" s="1"/>
    </row>
    <row r="158" ht="29.25" customHeight="1">
      <c r="A158" s="9" t="s">
        <v>23</v>
      </c>
      <c r="B158" s="10"/>
      <c r="C158" s="10"/>
      <c r="D158" s="11"/>
      <c r="E158" s="12">
        <f>SUM(E159:E160)</f>
        <v>262728.46999999997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262728.46999999997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8">
        <v>2</v>
      </c>
      <c r="B164" s="39" t="s">
        <v>430</v>
      </c>
      <c r="C164" s="39" t="s">
        <v>590</v>
      </c>
      <c r="D164" s="39" t="s">
        <v>594</v>
      </c>
      <c r="E164" s="211" t="s">
        <v>595</v>
      </c>
      <c r="F164" s="41" t="s">
        <v>596</v>
      </c>
      <c r="G164" s="39"/>
      <c r="H164" s="42"/>
      <c r="I164" s="59"/>
      <c r="J164" s="57"/>
      <c r="K164" s="58"/>
    </row>
    <row r="165" ht="14.25" customHeight="1" outlineLevel="1">
      <c r="A165" s="68">
        <v>3</v>
      </c>
      <c r="B165" s="39" t="s">
        <v>430</v>
      </c>
      <c r="C165" s="39" t="s">
        <v>590</v>
      </c>
      <c r="D165" s="39" t="s">
        <v>597</v>
      </c>
      <c r="E165" s="211" t="s">
        <v>598</v>
      </c>
      <c r="F165" s="41" t="s">
        <v>599</v>
      </c>
      <c r="G165" s="39"/>
      <c r="H165" s="42"/>
      <c r="I165" s="59"/>
      <c r="J165" s="57"/>
      <c r="K165" s="58"/>
    </row>
    <row r="166" ht="14.25" customHeight="1" outlineLevel="1">
      <c r="A166" s="68">
        <v>4</v>
      </c>
      <c r="B166" s="39" t="s">
        <v>259</v>
      </c>
      <c r="C166" s="39" t="s">
        <v>260</v>
      </c>
      <c r="D166" s="39" t="s">
        <v>261</v>
      </c>
      <c r="E166" s="211" t="s">
        <v>262</v>
      </c>
      <c r="F166" s="41" t="s">
        <v>263</v>
      </c>
      <c r="G166" s="39"/>
      <c r="H166" s="42"/>
      <c r="I166" s="59"/>
      <c r="J166" s="57"/>
      <c r="K166" s="58"/>
    </row>
    <row r="167" ht="14.25" customHeight="1" outlineLevel="1">
      <c r="A167" s="68">
        <v>5</v>
      </c>
      <c r="B167" s="39" t="s">
        <v>259</v>
      </c>
      <c r="C167" s="39" t="s">
        <v>260</v>
      </c>
      <c r="D167" s="39" t="s">
        <v>264</v>
      </c>
      <c r="E167" s="211" t="s">
        <v>475</v>
      </c>
      <c r="F167" s="323" t="s">
        <v>266</v>
      </c>
      <c r="G167" s="39"/>
      <c r="H167" s="42"/>
      <c r="I167" s="59"/>
      <c r="J167" s="57"/>
      <c r="K167" s="58"/>
    </row>
    <row r="168" ht="14.25" customHeight="1" outlineLevel="1">
      <c r="A168" s="68">
        <v>6</v>
      </c>
      <c r="B168" s="185" t="s">
        <v>259</v>
      </c>
      <c r="C168" s="185" t="s">
        <v>260</v>
      </c>
      <c r="D168" s="323" t="s">
        <v>484</v>
      </c>
      <c r="E168" s="738" t="s">
        <v>514</v>
      </c>
      <c r="F168" s="228" t="s">
        <v>486</v>
      </c>
      <c r="G168" s="177"/>
      <c r="H168" s="42"/>
      <c r="I168" s="59"/>
      <c r="J168" s="57"/>
      <c r="K168" s="58"/>
    </row>
    <row r="169" ht="14.25" customHeight="1" outlineLevel="1">
      <c r="A169" s="68">
        <v>7</v>
      </c>
      <c r="B169" s="865" t="s">
        <v>259</v>
      </c>
      <c r="C169" s="249" t="s">
        <v>267</v>
      </c>
      <c r="D169" s="228" t="s">
        <v>515</v>
      </c>
      <c r="E169" s="213" t="s">
        <v>516</v>
      </c>
      <c r="F169" s="228" t="s">
        <v>517</v>
      </c>
      <c r="G169" s="177"/>
      <c r="H169" s="42"/>
      <c r="I169" s="59"/>
      <c r="J169" s="57"/>
      <c r="K169" s="58"/>
    </row>
    <row r="170" ht="14.25" customHeight="1" outlineLevel="1">
      <c r="A170" s="68">
        <v>9</v>
      </c>
      <c r="B170" s="39" t="s">
        <v>259</v>
      </c>
      <c r="C170" s="39" t="s">
        <v>109</v>
      </c>
      <c r="D170" s="39" t="s">
        <v>271</v>
      </c>
      <c r="E170" s="314" t="s">
        <v>272</v>
      </c>
      <c r="F170" s="315" t="s">
        <v>273</v>
      </c>
      <c r="G170" s="177"/>
      <c r="H170" s="42"/>
      <c r="I170" s="59"/>
      <c r="J170" s="57"/>
      <c r="K170" s="58"/>
    </row>
    <row r="171" ht="14.25" customHeight="1" outlineLevel="1">
      <c r="A171" s="68">
        <v>10</v>
      </c>
      <c r="B171" s="185" t="s">
        <v>274</v>
      </c>
      <c r="C171" s="39" t="s">
        <v>275</v>
      </c>
      <c r="D171" s="185" t="s">
        <v>276</v>
      </c>
      <c r="E171" s="314" t="s">
        <v>277</v>
      </c>
      <c r="F171" s="316" t="s">
        <v>278</v>
      </c>
      <c r="G171" s="177"/>
      <c r="H171" s="42"/>
      <c r="I171" s="59"/>
      <c r="J171" s="57"/>
      <c r="K171" s="58"/>
    </row>
    <row r="172" ht="14.25" customHeight="1" outlineLevel="1">
      <c r="A172" s="68">
        <v>11</v>
      </c>
      <c r="B172" s="777" t="s">
        <v>279</v>
      </c>
      <c r="C172" s="866" t="s">
        <v>136</v>
      </c>
      <c r="D172" s="319" t="s">
        <v>280</v>
      </c>
      <c r="E172" s="867" t="s">
        <v>281</v>
      </c>
      <c r="F172" s="319" t="s">
        <v>282</v>
      </c>
      <c r="G172" s="177"/>
      <c r="H172" s="42"/>
      <c r="I172" s="59"/>
      <c r="J172" s="57"/>
      <c r="K172" s="58"/>
    </row>
    <row r="173" ht="14.25" customHeight="1" outlineLevel="1">
      <c r="A173" s="68">
        <v>12</v>
      </c>
      <c r="B173" s="777" t="s">
        <v>283</v>
      </c>
      <c r="C173" s="319" t="s">
        <v>284</v>
      </c>
      <c r="D173" s="319" t="s">
        <v>285</v>
      </c>
      <c r="E173" s="719" t="s">
        <v>286</v>
      </c>
      <c r="F173" s="319" t="s">
        <v>287</v>
      </c>
      <c r="G173" s="177"/>
      <c r="H173" s="42"/>
      <c r="I173" s="59"/>
      <c r="J173" s="57"/>
      <c r="K173" s="58"/>
    </row>
    <row r="174" ht="14.25" customHeight="1" outlineLevel="1">
      <c r="A174" s="68">
        <v>13</v>
      </c>
      <c r="B174" s="865" t="s">
        <v>259</v>
      </c>
      <c r="C174" s="228" t="s">
        <v>275</v>
      </c>
      <c r="D174" s="228" t="s">
        <v>520</v>
      </c>
      <c r="E174" s="720" t="s">
        <v>277</v>
      </c>
      <c r="F174" s="228" t="s">
        <v>521</v>
      </c>
      <c r="G174" s="177"/>
      <c r="H174" s="42"/>
      <c r="I174" s="59"/>
      <c r="J174" s="57"/>
      <c r="K174" s="58"/>
    </row>
    <row r="175" ht="14.25" customHeight="1" outlineLevel="1">
      <c r="A175" s="68">
        <v>14</v>
      </c>
      <c r="B175" s="865" t="s">
        <v>259</v>
      </c>
      <c r="C175" s="249" t="s">
        <v>275</v>
      </c>
      <c r="D175" s="210" t="s">
        <v>291</v>
      </c>
      <c r="E175" s="326" t="s">
        <v>277</v>
      </c>
      <c r="F175" s="228" t="s">
        <v>292</v>
      </c>
      <c r="G175" s="177"/>
      <c r="H175" s="42"/>
      <c r="I175" s="59"/>
      <c r="J175" s="57"/>
      <c r="K175" s="58"/>
    </row>
    <row r="176" ht="14.25" customHeight="1" outlineLevel="1">
      <c r="A176" s="68">
        <v>15</v>
      </c>
      <c r="B176" s="865" t="s">
        <v>259</v>
      </c>
      <c r="C176" s="249" t="s">
        <v>275</v>
      </c>
      <c r="D176" s="228" t="s">
        <v>293</v>
      </c>
      <c r="E176" s="326" t="s">
        <v>277</v>
      </c>
      <c r="F176" s="228" t="s">
        <v>294</v>
      </c>
      <c r="G176" s="177"/>
      <c r="H176" s="42"/>
      <c r="I176" s="59"/>
      <c r="J176" s="57"/>
      <c r="K176" s="58"/>
    </row>
    <row r="177" ht="14.25" customHeight="1" outlineLevel="1">
      <c r="A177" s="68">
        <v>16</v>
      </c>
      <c r="B177" s="865" t="s">
        <v>259</v>
      </c>
      <c r="C177" s="249" t="s">
        <v>275</v>
      </c>
      <c r="D177" s="228" t="s">
        <v>295</v>
      </c>
      <c r="E177" s="326" t="s">
        <v>277</v>
      </c>
      <c r="F177" s="228" t="s">
        <v>296</v>
      </c>
      <c r="G177" s="177"/>
      <c r="H177" s="42"/>
      <c r="I177" s="59"/>
      <c r="J177" s="57"/>
      <c r="K177" s="58"/>
    </row>
    <row r="178" ht="14.25" customHeight="1" outlineLevel="1">
      <c r="A178" s="256">
        <v>17</v>
      </c>
      <c r="B178" s="210" t="s">
        <v>259</v>
      </c>
      <c r="C178" s="249" t="s">
        <v>275</v>
      </c>
      <c r="D178" s="228" t="s">
        <v>297</v>
      </c>
      <c r="E178" s="326" t="s">
        <v>277</v>
      </c>
      <c r="F178" s="228" t="s">
        <v>298</v>
      </c>
      <c r="G178" s="177"/>
      <c r="H178" s="42"/>
      <c r="I178" s="59"/>
      <c r="J178" s="57"/>
      <c r="K178" s="58"/>
    </row>
    <row r="179" ht="14.25" customHeight="1" outlineLevel="1">
      <c r="A179" s="68">
        <v>18</v>
      </c>
      <c r="B179" s="865" t="s">
        <v>259</v>
      </c>
      <c r="C179" s="249" t="s">
        <v>275</v>
      </c>
      <c r="D179" s="228" t="s">
        <v>289</v>
      </c>
      <c r="E179" s="213" t="s">
        <v>277</v>
      </c>
      <c r="F179" s="228" t="s">
        <v>290</v>
      </c>
      <c r="G179" s="177"/>
      <c r="H179" s="42"/>
      <c r="I179" s="59"/>
      <c r="J179" s="57"/>
      <c r="K179" s="58"/>
    </row>
    <row r="180" ht="14.25" customHeight="1" outlineLevel="1">
      <c r="A180" s="68">
        <v>19</v>
      </c>
      <c r="B180" s="868" t="s">
        <v>259</v>
      </c>
      <c r="C180" s="329" t="s">
        <v>275</v>
      </c>
      <c r="D180" s="330" t="s">
        <v>299</v>
      </c>
      <c r="E180" s="331" t="s">
        <v>277</v>
      </c>
      <c r="F180" s="330" t="s">
        <v>300</v>
      </c>
      <c r="G180" s="177"/>
      <c r="H180" s="42"/>
      <c r="I180" s="59"/>
      <c r="J180" s="57"/>
      <c r="K180" s="58"/>
    </row>
    <row r="181" ht="14.25" customHeight="1" outlineLevel="1">
      <c r="A181" s="68">
        <v>20</v>
      </c>
      <c r="B181" s="39" t="s">
        <v>259</v>
      </c>
      <c r="C181" s="42" t="s">
        <v>275</v>
      </c>
      <c r="D181" s="94" t="s">
        <v>301</v>
      </c>
      <c r="E181" s="332" t="s">
        <v>277</v>
      </c>
      <c r="F181" s="333" t="s">
        <v>302</v>
      </c>
      <c r="G181" s="177"/>
      <c r="H181" s="42"/>
      <c r="I181" s="59"/>
      <c r="J181" s="57"/>
      <c r="K181" s="58"/>
    </row>
    <row r="182" ht="14.25" customHeight="1" outlineLevel="1">
      <c r="A182" s="68">
        <v>21</v>
      </c>
      <c r="B182" s="39" t="s">
        <v>259</v>
      </c>
      <c r="C182" s="39" t="s">
        <v>303</v>
      </c>
      <c r="D182" s="39" t="s">
        <v>304</v>
      </c>
      <c r="E182" s="314" t="s">
        <v>551</v>
      </c>
      <c r="F182" s="315" t="s">
        <v>306</v>
      </c>
      <c r="G182" s="177"/>
      <c r="H182" s="42"/>
      <c r="I182" s="59"/>
      <c r="J182" s="57"/>
      <c r="K182" s="58"/>
    </row>
    <row r="183" ht="14.25" customHeight="1" outlineLevel="1">
      <c r="A183" s="68">
        <v>22</v>
      </c>
      <c r="B183" s="39" t="s">
        <v>279</v>
      </c>
      <c r="C183" s="334" t="s">
        <v>136</v>
      </c>
      <c r="D183" s="335" t="s">
        <v>311</v>
      </c>
      <c r="E183" s="324" t="s">
        <v>312</v>
      </c>
      <c r="F183" s="336" t="s">
        <v>313</v>
      </c>
      <c r="G183" s="177"/>
      <c r="H183" s="42"/>
      <c r="I183" s="59"/>
      <c r="J183" s="57"/>
      <c r="K183" s="58"/>
    </row>
    <row r="184" ht="14.25" customHeight="1" outlineLevel="1">
      <c r="A184" s="68">
        <v>23</v>
      </c>
      <c r="B184" s="39" t="s">
        <v>259</v>
      </c>
      <c r="C184" s="42" t="s">
        <v>267</v>
      </c>
      <c r="D184" s="94" t="s">
        <v>317</v>
      </c>
      <c r="E184" s="332" t="s">
        <v>655</v>
      </c>
      <c r="F184" s="333" t="s">
        <v>319</v>
      </c>
      <c r="G184" s="177"/>
      <c r="H184" s="42"/>
      <c r="I184" s="59"/>
      <c r="J184" s="57"/>
      <c r="K184" s="58"/>
    </row>
    <row r="185" ht="14.25" customHeight="1" outlineLevel="1">
      <c r="A185" s="68">
        <v>24</v>
      </c>
      <c r="B185" s="39" t="s">
        <v>259</v>
      </c>
      <c r="C185" s="39" t="s">
        <v>329</v>
      </c>
      <c r="D185" s="41" t="s">
        <v>330</v>
      </c>
      <c r="E185" s="211" t="s">
        <v>331</v>
      </c>
      <c r="F185" s="323" t="s">
        <v>332</v>
      </c>
      <c r="G185" s="39"/>
      <c r="H185" s="42"/>
      <c r="I185" s="59"/>
      <c r="J185" s="57"/>
      <c r="K185" s="58"/>
    </row>
    <row r="186" ht="14.25" customHeight="1" outlineLevel="1">
      <c r="A186" s="68">
        <v>25</v>
      </c>
      <c r="B186" s="39" t="s">
        <v>259</v>
      </c>
      <c r="C186" s="39" t="s">
        <v>329</v>
      </c>
      <c r="D186" s="41" t="s">
        <v>333</v>
      </c>
      <c r="E186" s="314" t="s">
        <v>334</v>
      </c>
      <c r="F186" s="228" t="s">
        <v>335</v>
      </c>
      <c r="G186" s="177"/>
      <c r="H186" s="42"/>
      <c r="I186" s="59"/>
      <c r="J186" s="57"/>
      <c r="K186" s="58"/>
    </row>
    <row r="187" ht="14.25" customHeight="1" outlineLevel="1">
      <c r="A187" s="68">
        <v>26</v>
      </c>
      <c r="B187" s="39" t="s">
        <v>283</v>
      </c>
      <c r="C187" s="39" t="s">
        <v>336</v>
      </c>
      <c r="D187" s="41" t="s">
        <v>308</v>
      </c>
      <c r="E187" s="314" t="s">
        <v>337</v>
      </c>
      <c r="F187" s="727" t="s">
        <v>338</v>
      </c>
      <c r="G187" s="177"/>
      <c r="H187" s="42"/>
      <c r="I187" s="59"/>
      <c r="J187" s="57"/>
      <c r="K187" s="58"/>
    </row>
    <row r="188" ht="14.25" customHeight="1" outlineLevel="1">
      <c r="A188" s="68">
        <v>27</v>
      </c>
      <c r="B188" s="42" t="s">
        <v>283</v>
      </c>
      <c r="C188" s="42" t="s">
        <v>336</v>
      </c>
      <c r="D188" s="94" t="s">
        <v>339</v>
      </c>
      <c r="E188" s="332" t="s">
        <v>337</v>
      </c>
      <c r="F188" s="316" t="s">
        <v>341</v>
      </c>
      <c r="G188" s="177"/>
      <c r="H188" s="42"/>
      <c r="I188" s="59"/>
      <c r="J188" s="57"/>
      <c r="K188" s="58"/>
    </row>
    <row r="189" ht="14.25" customHeight="1" outlineLevel="1">
      <c r="A189" s="68">
        <v>28</v>
      </c>
      <c r="B189" s="39" t="s">
        <v>259</v>
      </c>
      <c r="C189" s="39" t="s">
        <v>329</v>
      </c>
      <c r="D189" s="41" t="s">
        <v>478</v>
      </c>
      <c r="E189" s="314" t="s">
        <v>479</v>
      </c>
      <c r="F189" s="228" t="s">
        <v>480</v>
      </c>
      <c r="G189" s="177"/>
      <c r="H189" s="42"/>
      <c r="I189" s="59"/>
      <c r="J189" s="57"/>
      <c r="K189" s="58"/>
    </row>
    <row r="190" ht="14.25" customHeight="1" outlineLevel="1">
      <c r="A190" s="68">
        <v>29</v>
      </c>
      <c r="B190" s="39" t="s">
        <v>259</v>
      </c>
      <c r="C190" s="39" t="s">
        <v>329</v>
      </c>
      <c r="D190" s="41" t="s">
        <v>481</v>
      </c>
      <c r="E190" s="314" t="s">
        <v>482</v>
      </c>
      <c r="F190" s="727" t="s">
        <v>483</v>
      </c>
      <c r="G190" s="177"/>
      <c r="H190" s="42"/>
      <c r="I190" s="59"/>
      <c r="J190" s="57"/>
      <c r="K190" s="58"/>
    </row>
    <row r="191" ht="14.25" customHeight="1" outlineLevel="1">
      <c r="A191" s="68">
        <v>30</v>
      </c>
      <c r="B191" s="293" t="s">
        <v>259</v>
      </c>
      <c r="C191" s="462" t="s">
        <v>325</v>
      </c>
      <c r="D191" s="462" t="s">
        <v>326</v>
      </c>
      <c r="E191" s="779" t="s">
        <v>519</v>
      </c>
      <c r="F191" s="780" t="s">
        <v>328</v>
      </c>
      <c r="G191" s="177"/>
      <c r="H191" s="42"/>
      <c r="I191" s="59"/>
      <c r="J191" s="57"/>
      <c r="K191" s="58"/>
    </row>
    <row r="192" ht="14.25" customHeight="1" outlineLevel="1">
      <c r="A192" s="256">
        <v>31</v>
      </c>
      <c r="B192" s="327" t="s">
        <v>259</v>
      </c>
      <c r="C192" s="330" t="s">
        <v>267</v>
      </c>
      <c r="D192" s="727" t="s">
        <v>523</v>
      </c>
      <c r="E192" s="510" t="s">
        <v>524</v>
      </c>
      <c r="F192" s="727" t="s">
        <v>525</v>
      </c>
      <c r="G192" s="177"/>
      <c r="H192" s="42"/>
      <c r="I192" s="59"/>
      <c r="J192" s="57"/>
      <c r="K192" s="58"/>
    </row>
    <row r="193" ht="14.25" customHeight="1" outlineLevel="1">
      <c r="A193" s="68">
        <v>32</v>
      </c>
      <c r="B193" s="39" t="s">
        <v>279</v>
      </c>
      <c r="C193" s="39" t="s">
        <v>600</v>
      </c>
      <c r="D193" s="39" t="s">
        <v>601</v>
      </c>
      <c r="E193" s="211" t="s">
        <v>588</v>
      </c>
      <c r="F193" s="41" t="s">
        <v>602</v>
      </c>
      <c r="G193" s="39"/>
      <c r="H193" s="42"/>
      <c r="I193" s="59"/>
      <c r="J193" s="57"/>
      <c r="K193" s="58"/>
    </row>
    <row r="194" ht="14.25" customHeight="1" outlineLevel="1">
      <c r="A194" s="68">
        <v>33</v>
      </c>
      <c r="B194" s="39" t="s">
        <v>279</v>
      </c>
      <c r="C194" s="90" t="s">
        <v>603</v>
      </c>
      <c r="D194" s="91" t="s">
        <v>604</v>
      </c>
      <c r="E194" s="781" t="s">
        <v>605</v>
      </c>
      <c r="F194" s="91" t="s">
        <v>606</v>
      </c>
      <c r="G194" s="39"/>
      <c r="H194" s="42"/>
      <c r="I194" s="59"/>
      <c r="J194" s="57"/>
      <c r="K194" s="58"/>
    </row>
    <row r="195" ht="14.25" customHeight="1" outlineLevel="1">
      <c r="A195" s="68">
        <v>35</v>
      </c>
      <c r="B195" s="39" t="s">
        <v>279</v>
      </c>
      <c r="C195" s="42" t="s">
        <v>611</v>
      </c>
      <c r="D195" s="42" t="s">
        <v>612</v>
      </c>
      <c r="E195" s="443" t="s">
        <v>613</v>
      </c>
      <c r="F195" s="94" t="s">
        <v>614</v>
      </c>
      <c r="G195" s="39"/>
      <c r="H195" s="42"/>
      <c r="I195" s="59"/>
      <c r="J195" s="57"/>
      <c r="K195" s="58"/>
    </row>
    <row r="196" ht="14.25" customHeight="1" outlineLevel="1">
      <c r="A196" s="68">
        <v>37</v>
      </c>
      <c r="B196" s="39" t="s">
        <v>279</v>
      </c>
      <c r="C196" s="42" t="s">
        <v>618</v>
      </c>
      <c r="D196" s="42" t="s">
        <v>619</v>
      </c>
      <c r="E196" s="443" t="s">
        <v>656</v>
      </c>
      <c r="F196" s="94" t="s">
        <v>620</v>
      </c>
      <c r="G196" s="39"/>
      <c r="H196" s="42"/>
      <c r="I196" s="59"/>
      <c r="J196" s="57"/>
      <c r="K196" s="58"/>
    </row>
    <row r="197" ht="14.25" customHeight="1" outlineLevel="1">
      <c r="A197" s="68">
        <v>39</v>
      </c>
      <c r="B197" s="39" t="s">
        <v>259</v>
      </c>
      <c r="C197" s="42" t="s">
        <v>267</v>
      </c>
      <c r="D197" s="94" t="s">
        <v>317</v>
      </c>
      <c r="E197" s="332" t="s">
        <v>657</v>
      </c>
      <c r="F197" s="333" t="s">
        <v>319</v>
      </c>
      <c r="G197" s="177"/>
      <c r="H197" s="42"/>
      <c r="I197" s="59"/>
      <c r="J197" s="57"/>
      <c r="K197" s="58"/>
    </row>
    <row r="198" ht="14.25" customHeight="1" outlineLevel="1">
      <c r="A198" s="68">
        <v>40</v>
      </c>
      <c r="B198" s="39" t="s">
        <v>430</v>
      </c>
      <c r="C198" s="39" t="s">
        <v>590</v>
      </c>
      <c r="D198" s="41" t="s">
        <v>658</v>
      </c>
      <c r="E198" s="211" t="s">
        <v>659</v>
      </c>
      <c r="F198" s="41" t="s">
        <v>660</v>
      </c>
      <c r="G198" s="177"/>
      <c r="H198" s="42"/>
      <c r="I198" s="59"/>
      <c r="J198" s="57"/>
      <c r="K198" s="58"/>
    </row>
    <row r="199" ht="14.25" customHeight="1" outlineLevel="1">
      <c r="A199" s="68">
        <v>41</v>
      </c>
      <c r="B199" s="39" t="s">
        <v>279</v>
      </c>
      <c r="C199" s="39" t="s">
        <v>600</v>
      </c>
      <c r="D199" s="39" t="s">
        <v>601</v>
      </c>
      <c r="E199" s="268">
        <v>15000</v>
      </c>
      <c r="F199" s="41" t="s">
        <v>602</v>
      </c>
      <c r="G199" s="39" t="s">
        <v>661</v>
      </c>
      <c r="H199" s="42" t="s">
        <v>141</v>
      </c>
      <c r="I199" s="59"/>
      <c r="J199" s="57" t="s">
        <v>47</v>
      </c>
      <c r="K199" s="58"/>
    </row>
    <row r="200" ht="14.25" customHeight="1" outlineLevel="1">
      <c r="A200" s="68">
        <v>42</v>
      </c>
      <c r="B200" s="39" t="s">
        <v>279</v>
      </c>
      <c r="C200" s="42" t="s">
        <v>618</v>
      </c>
      <c r="D200" s="42" t="s">
        <v>662</v>
      </c>
      <c r="E200" s="869">
        <v>100000</v>
      </c>
      <c r="F200" s="94" t="s">
        <v>620</v>
      </c>
      <c r="G200" s="39" t="s">
        <v>661</v>
      </c>
      <c r="H200" s="42" t="s">
        <v>141</v>
      </c>
      <c r="I200" s="59"/>
      <c r="J200" s="57" t="s">
        <v>47</v>
      </c>
      <c r="K200" s="58"/>
    </row>
    <row r="201" ht="14.25" customHeight="1" outlineLevel="1">
      <c r="A201" s="68">
        <v>43</v>
      </c>
      <c r="B201" s="39" t="s">
        <v>430</v>
      </c>
      <c r="C201" s="39" t="s">
        <v>590</v>
      </c>
      <c r="D201" s="39" t="s">
        <v>591</v>
      </c>
      <c r="E201" s="268">
        <v>126000</v>
      </c>
      <c r="F201" s="41" t="s">
        <v>593</v>
      </c>
      <c r="G201" s="39" t="s">
        <v>661</v>
      </c>
      <c r="H201" s="42" t="s">
        <v>141</v>
      </c>
      <c r="I201" s="59"/>
      <c r="J201" s="57" t="s">
        <v>47</v>
      </c>
      <c r="K201" s="58"/>
    </row>
    <row r="202" ht="14.25" customHeight="1" outlineLevel="1">
      <c r="A202" s="68">
        <v>44</v>
      </c>
      <c r="B202" s="39" t="s">
        <v>279</v>
      </c>
      <c r="C202" s="42" t="s">
        <v>607</v>
      </c>
      <c r="D202" s="42" t="s">
        <v>608</v>
      </c>
      <c r="E202" s="869">
        <v>3800</v>
      </c>
      <c r="F202" s="94" t="s">
        <v>610</v>
      </c>
      <c r="G202" s="39" t="s">
        <v>661</v>
      </c>
      <c r="H202" s="42" t="s">
        <v>428</v>
      </c>
      <c r="I202" s="59"/>
      <c r="J202" s="57" t="s">
        <v>47</v>
      </c>
      <c r="K202" s="58"/>
    </row>
    <row r="203" ht="14.25" customHeight="1" outlineLevel="1">
      <c r="A203" s="68">
        <v>45</v>
      </c>
      <c r="B203" s="39" t="s">
        <v>279</v>
      </c>
      <c r="C203" s="42" t="s">
        <v>136</v>
      </c>
      <c r="D203" s="42" t="s">
        <v>615</v>
      </c>
      <c r="E203" s="869">
        <v>4000</v>
      </c>
      <c r="F203" s="94" t="s">
        <v>617</v>
      </c>
      <c r="G203" s="39" t="s">
        <v>661</v>
      </c>
      <c r="H203" s="42" t="s">
        <v>428</v>
      </c>
      <c r="I203" s="59"/>
      <c r="J203" s="57" t="s">
        <v>47</v>
      </c>
      <c r="K203" s="58"/>
    </row>
    <row r="204" ht="14.25" customHeight="1" outlineLevel="1">
      <c r="A204" s="68">
        <v>46</v>
      </c>
      <c r="B204" s="59" t="s">
        <v>345</v>
      </c>
      <c r="C204" s="59" t="s">
        <v>346</v>
      </c>
      <c r="D204" s="59" t="s">
        <v>621</v>
      </c>
      <c r="E204" s="869">
        <v>5100</v>
      </c>
      <c r="F204" s="61" t="s">
        <v>623</v>
      </c>
      <c r="G204" s="39" t="s">
        <v>661</v>
      </c>
      <c r="H204" s="42" t="s">
        <v>141</v>
      </c>
      <c r="I204" s="59"/>
      <c r="J204" s="57" t="s">
        <v>47</v>
      </c>
      <c r="K204" s="58"/>
    </row>
    <row r="205" ht="14.25" customHeight="1" outlineLevel="1">
      <c r="A205" s="68">
        <v>47</v>
      </c>
      <c r="B205" s="39"/>
      <c r="C205" s="39"/>
      <c r="D205" s="39"/>
      <c r="E205" s="268"/>
      <c r="F205" s="41"/>
      <c r="G205" s="42"/>
      <c r="H205" s="42"/>
      <c r="I205" s="59"/>
      <c r="J205" s="57"/>
      <c r="K205" s="58"/>
    </row>
    <row r="206" ht="14.25" customHeight="1" outlineLevel="1">
      <c r="A206" s="68">
        <v>48</v>
      </c>
      <c r="B206" s="42"/>
      <c r="C206" s="42"/>
      <c r="D206" s="42"/>
      <c r="E206" s="93"/>
      <c r="F206" s="94"/>
      <c r="G206" s="42"/>
      <c r="H206" s="42"/>
      <c r="I206" s="59"/>
      <c r="J206" s="57"/>
      <c r="K206" s="58"/>
    </row>
    <row r="207" ht="14.25" customHeight="1" outlineLevel="1">
      <c r="A207" s="68">
        <v>49</v>
      </c>
      <c r="B207" s="95"/>
      <c r="C207" s="95"/>
      <c r="D207" s="95"/>
      <c r="E207" s="96"/>
      <c r="F207" s="97"/>
      <c r="G207" s="42"/>
      <c r="H207" s="95"/>
      <c r="I207" s="98"/>
      <c r="J207" s="57"/>
      <c r="K207" s="58"/>
    </row>
    <row r="208" ht="14.25" customHeight="1" outlineLevel="1">
      <c r="A208" s="68">
        <v>50</v>
      </c>
      <c r="B208" s="95"/>
      <c r="C208" s="95"/>
      <c r="D208" s="95"/>
      <c r="E208" s="96"/>
      <c r="F208" s="97"/>
      <c r="G208" s="42"/>
      <c r="H208" s="95"/>
      <c r="I208" s="98"/>
      <c r="J208" s="57"/>
      <c r="K208" s="58"/>
    </row>
    <row r="209" ht="14.25" customHeight="1" outlineLevel="1">
      <c r="A209" s="68">
        <v>51</v>
      </c>
      <c r="B209" s="99"/>
      <c r="C209" s="99"/>
      <c r="D209" s="99"/>
      <c r="E209" s="100"/>
      <c r="F209" s="101"/>
      <c r="G209" s="59"/>
      <c r="H209" s="99"/>
      <c r="I209" s="98"/>
      <c r="J209" s="57"/>
      <c r="K209" s="58"/>
    </row>
    <row r="210" ht="14.25" customHeight="1" outlineLevel="1">
      <c r="A210" s="68">
        <v>52</v>
      </c>
      <c r="B210" s="99"/>
      <c r="C210" s="99"/>
      <c r="D210" s="99"/>
      <c r="E210" s="100"/>
      <c r="F210" s="101"/>
      <c r="G210" s="59"/>
      <c r="H210" s="99"/>
      <c r="I210" s="98"/>
      <c r="J210" s="57"/>
      <c r="K210" s="58"/>
    </row>
    <row r="211" ht="14.25" customHeight="1" outlineLevel="1">
      <c r="A211" s="68">
        <v>53</v>
      </c>
      <c r="B211" s="99"/>
      <c r="C211" s="99"/>
      <c r="D211" s="99"/>
      <c r="E211" s="100"/>
      <c r="F211" s="101"/>
      <c r="G211" s="59"/>
      <c r="H211" s="99"/>
      <c r="I211" s="98"/>
      <c r="J211" s="57"/>
      <c r="K211" s="58"/>
    </row>
    <row r="212" s="21" customFormat="1" ht="20.25" customHeight="1" outlineLevel="1">
      <c r="A212" s="22"/>
      <c r="B212" s="23" t="s">
        <v>26</v>
      </c>
      <c r="C212" s="24"/>
      <c r="D212" s="25"/>
      <c r="E212" s="26"/>
      <c r="F212" s="23"/>
      <c r="G212" s="23"/>
      <c r="H212" s="23"/>
      <c r="I212" s="23"/>
      <c r="J212" s="23"/>
      <c r="K212" s="27"/>
    </row>
    <row r="213" ht="14.25" customHeight="1" outlineLevel="1">
      <c r="A213" s="62">
        <v>1</v>
      </c>
      <c r="B213" s="63" t="s">
        <v>663</v>
      </c>
      <c r="C213" s="63" t="s">
        <v>664</v>
      </c>
      <c r="D213" s="63" t="s">
        <v>665</v>
      </c>
      <c r="E213" s="64">
        <v>2000</v>
      </c>
      <c r="F213" s="65" t="s">
        <v>666</v>
      </c>
      <c r="G213" s="63"/>
      <c r="H213" s="63"/>
      <c r="I213" s="102"/>
      <c r="J213" s="66" t="s">
        <v>47</v>
      </c>
      <c r="K213" s="67"/>
    </row>
    <row r="214" ht="14.25" customHeight="1" outlineLevel="1">
      <c r="A214" s="68">
        <v>2</v>
      </c>
      <c r="B214" s="99" t="s">
        <v>663</v>
      </c>
      <c r="C214" s="99" t="s">
        <v>664</v>
      </c>
      <c r="D214" s="99" t="s">
        <v>665</v>
      </c>
      <c r="E214" s="60">
        <v>2000</v>
      </c>
      <c r="F214" s="61" t="s">
        <v>667</v>
      </c>
      <c r="G214" s="59"/>
      <c r="H214" s="59"/>
      <c r="I214" s="59"/>
      <c r="J214" s="57" t="s">
        <v>47</v>
      </c>
      <c r="K214" s="58"/>
    </row>
    <row r="215" ht="14.25" customHeight="1" outlineLevel="1">
      <c r="A215" s="68">
        <v>3</v>
      </c>
      <c r="B215" s="56" t="s">
        <v>663</v>
      </c>
      <c r="C215" s="56" t="s">
        <v>664</v>
      </c>
      <c r="D215" s="56" t="s">
        <v>665</v>
      </c>
      <c r="E215" s="78">
        <v>2000</v>
      </c>
      <c r="F215" s="79" t="s">
        <v>668</v>
      </c>
      <c r="G215" s="59"/>
      <c r="H215" s="59"/>
      <c r="I215" s="59"/>
      <c r="J215" s="57" t="s">
        <v>47</v>
      </c>
      <c r="K215" s="58"/>
    </row>
    <row r="216" ht="14.25" customHeight="1" outlineLevel="1">
      <c r="A216" s="68">
        <v>4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4.25" customHeight="1" outlineLevel="1">
      <c r="A217" s="69">
        <v>5</v>
      </c>
      <c r="B217" s="70"/>
      <c r="C217" s="70"/>
      <c r="D217" s="70"/>
      <c r="E217" s="71"/>
      <c r="F217" s="72"/>
      <c r="G217" s="70"/>
      <c r="H217" s="70"/>
      <c r="I217" s="70"/>
      <c r="J217" s="73"/>
      <c r="K217" s="74"/>
    </row>
    <row r="218" s="21" customFormat="1" ht="20.25" customHeight="1" outlineLevel="1">
      <c r="A218" s="22"/>
      <c r="B218" s="172" t="s">
        <v>19</v>
      </c>
      <c r="C218" s="173"/>
      <c r="D218" s="174"/>
      <c r="E218" s="175"/>
      <c r="F218" s="172"/>
      <c r="G218" s="23"/>
      <c r="H218" s="23"/>
      <c r="I218" s="23"/>
      <c r="J218" s="23"/>
      <c r="K218" s="27"/>
    </row>
    <row r="219" ht="14.25" customHeight="1" outlineLevel="1">
      <c r="A219" s="248">
        <v>1</v>
      </c>
      <c r="B219" s="277"/>
      <c r="C219" s="277"/>
      <c r="D219" s="277"/>
      <c r="E219" s="277"/>
      <c r="F219" s="277"/>
      <c r="G219" s="567"/>
      <c r="H219" s="63"/>
      <c r="I219" s="59"/>
      <c r="J219" s="66"/>
      <c r="K219" s="67"/>
    </row>
    <row r="220" ht="14.25" customHeight="1" outlineLevel="1">
      <c r="A220" s="256">
        <v>2</v>
      </c>
      <c r="B220" s="277"/>
      <c r="C220" s="277"/>
      <c r="D220" s="277"/>
      <c r="E220" s="277"/>
      <c r="F220" s="277"/>
      <c r="G220" s="245"/>
      <c r="H220" s="59"/>
      <c r="I220" s="59"/>
      <c r="J220" s="57"/>
      <c r="K220" s="58"/>
    </row>
    <row r="221" ht="14.25" customHeight="1" outlineLevel="1">
      <c r="A221" s="256">
        <v>3</v>
      </c>
      <c r="B221" s="191"/>
      <c r="C221" s="191"/>
      <c r="D221" s="191"/>
      <c r="E221" s="709"/>
      <c r="F221" s="190"/>
      <c r="G221" s="245"/>
      <c r="H221" s="59"/>
      <c r="I221" s="59"/>
      <c r="J221" s="57"/>
      <c r="K221" s="58"/>
    </row>
    <row r="222" ht="14.25" customHeight="1" outlineLevel="1">
      <c r="A222" s="256">
        <v>4</v>
      </c>
      <c r="B222" s="191"/>
      <c r="C222" s="191"/>
      <c r="D222" s="191"/>
      <c r="E222" s="709"/>
      <c r="F222" s="190"/>
      <c r="G222" s="245"/>
      <c r="H222" s="59"/>
      <c r="I222" s="59"/>
      <c r="J222" s="57"/>
      <c r="K222" s="58"/>
    </row>
    <row r="223" ht="14.25" customHeight="1" outlineLevel="1">
      <c r="A223" s="69">
        <v>5</v>
      </c>
      <c r="B223" s="870"/>
      <c r="C223" s="870"/>
      <c r="D223" s="870"/>
      <c r="E223" s="871"/>
      <c r="F223" s="872"/>
      <c r="G223" s="70"/>
      <c r="H223" s="70"/>
      <c r="I223" s="70"/>
      <c r="J223" s="73"/>
      <c r="K223" s="74"/>
    </row>
    <row r="224" s="21" customFormat="1" ht="23.25" customHeight="1">
      <c r="A224" s="82" t="s">
        <v>27</v>
      </c>
      <c r="B224" s="83"/>
      <c r="C224" s="83"/>
      <c r="D224" s="103"/>
      <c r="E224" s="104">
        <f>SUM(E163:E223)</f>
        <v>259900</v>
      </c>
    </row>
    <row r="225" s="21" customFormat="1" ht="23.25" customHeight="1">
      <c r="A225" s="82" t="s">
        <v>22</v>
      </c>
      <c r="B225" s="83"/>
      <c r="C225" s="83"/>
      <c r="D225" s="103"/>
      <c r="E225" s="104">
        <f>E158-E224</f>
        <v>2828.4699999999721</v>
      </c>
      <c r="F225" s="86"/>
    </row>
    <row r="226" ht="28.5" customHeight="1">
      <c r="E226" s="1"/>
    </row>
    <row r="227" ht="30.75" customHeight="1">
      <c r="A227" s="9" t="s">
        <v>28</v>
      </c>
      <c r="B227" s="10"/>
      <c r="C227" s="10"/>
      <c r="D227" s="11"/>
      <c r="E227" s="12">
        <f>SUM(E228:E228)</f>
        <v>5242</v>
      </c>
      <c r="F227" s="163" t="s">
        <v>44</v>
      </c>
      <c r="G227" s="13"/>
      <c r="H227" s="13"/>
      <c r="I227" s="13"/>
    </row>
    <row r="228" ht="15" customHeight="1">
      <c r="A228" s="105" t="s">
        <v>29</v>
      </c>
      <c r="B228" s="15"/>
      <c r="C228" s="15"/>
      <c r="D228" s="16"/>
      <c r="E228" s="17">
        <v>5242</v>
      </c>
      <c r="F228" s="13"/>
      <c r="G228" s="13"/>
      <c r="H228" s="13"/>
      <c r="I228" s="13"/>
    </row>
    <row r="229" ht="5.25" customHeight="1">
      <c r="A229" s="13"/>
      <c r="B229" s="13"/>
      <c r="C229" s="13"/>
      <c r="D229" s="13"/>
      <c r="E229" s="13"/>
      <c r="F229" s="13"/>
      <c r="G229" s="13"/>
      <c r="H229" s="13"/>
      <c r="I229" s="13"/>
    </row>
    <row r="230" ht="25.5" customHeight="1" outlineLevel="1">
      <c r="A230" s="87" t="s">
        <v>6</v>
      </c>
      <c r="B230" s="87" t="s">
        <v>7</v>
      </c>
      <c r="C230" s="87" t="s">
        <v>8</v>
      </c>
      <c r="D230" s="87" t="s">
        <v>9</v>
      </c>
      <c r="E230" s="88" t="s">
        <v>10</v>
      </c>
      <c r="F230" s="87" t="s">
        <v>11</v>
      </c>
      <c r="G230" s="87" t="s">
        <v>12</v>
      </c>
      <c r="H230" s="89" t="s">
        <v>13</v>
      </c>
      <c r="I230" s="87" t="s">
        <v>14</v>
      </c>
      <c r="J230" s="87" t="s">
        <v>15</v>
      </c>
      <c r="K230" s="87" t="s">
        <v>16</v>
      </c>
    </row>
    <row r="231" s="21" customFormat="1" ht="18.75" customHeight="1" outlineLevel="1">
      <c r="A231" s="22"/>
      <c r="B231" s="23" t="s">
        <v>30</v>
      </c>
      <c r="C231" s="24"/>
      <c r="D231" s="25"/>
      <c r="E231" s="26"/>
      <c r="F231" s="23"/>
      <c r="G231" s="23"/>
      <c r="H231" s="23"/>
      <c r="I231" s="23"/>
      <c r="J231" s="23"/>
      <c r="K231" s="27"/>
    </row>
    <row r="232" ht="14.25" customHeight="1" outlineLevel="1">
      <c r="A232" s="62">
        <v>1</v>
      </c>
      <c r="B232" s="63"/>
      <c r="C232" s="63"/>
      <c r="D232" s="63"/>
      <c r="E232" s="64"/>
      <c r="F232" s="65"/>
      <c r="G232" s="63"/>
      <c r="H232" s="63"/>
      <c r="I232" s="63"/>
      <c r="J232" s="66"/>
      <c r="K232" s="67"/>
    </row>
    <row r="233" ht="14.25" customHeight="1" outlineLevel="1">
      <c r="A233" s="68">
        <v>2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4.25" customHeight="1" outlineLevel="1">
      <c r="A234" s="68">
        <v>3</v>
      </c>
      <c r="B234" s="59"/>
      <c r="C234" s="59"/>
      <c r="D234" s="59"/>
      <c r="E234" s="60"/>
      <c r="F234" s="61"/>
      <c r="G234" s="59"/>
      <c r="H234" s="59"/>
      <c r="I234" s="59"/>
      <c r="J234" s="57"/>
      <c r="K234" s="58"/>
    </row>
    <row r="235" ht="14.25" customHeight="1" outlineLevel="1">
      <c r="A235" s="68">
        <v>4</v>
      </c>
      <c r="B235" s="59"/>
      <c r="C235" s="59"/>
      <c r="D235" s="59"/>
      <c r="E235" s="60"/>
      <c r="F235" s="61"/>
      <c r="G235" s="59"/>
      <c r="H235" s="59"/>
      <c r="I235" s="59"/>
      <c r="J235" s="57"/>
      <c r="K235" s="58"/>
    </row>
    <row r="236" ht="14.25" customHeight="1" outlineLevel="1">
      <c r="A236" s="68">
        <v>5</v>
      </c>
      <c r="B236" s="59"/>
      <c r="C236" s="59"/>
      <c r="D236" s="59"/>
      <c r="E236" s="60"/>
      <c r="F236" s="61"/>
      <c r="G236" s="59"/>
      <c r="H236" s="59"/>
      <c r="I236" s="59"/>
      <c r="J236" s="57"/>
      <c r="K236" s="58"/>
    </row>
    <row r="237" ht="14.25" customHeight="1" outlineLevel="1">
      <c r="A237" s="68">
        <v>6</v>
      </c>
      <c r="B237" s="59"/>
      <c r="C237" s="59"/>
      <c r="D237" s="59"/>
      <c r="E237" s="60"/>
      <c r="F237" s="61"/>
      <c r="G237" s="59"/>
      <c r="H237" s="59"/>
      <c r="I237" s="59"/>
      <c r="J237" s="57"/>
      <c r="K237" s="58"/>
    </row>
    <row r="238" ht="14.25" customHeight="1" outlineLevel="1">
      <c r="A238" s="68">
        <v>7</v>
      </c>
      <c r="B238" s="59"/>
      <c r="C238" s="59"/>
      <c r="D238" s="59"/>
      <c r="E238" s="60"/>
      <c r="F238" s="61"/>
      <c r="G238" s="59"/>
      <c r="H238" s="59"/>
      <c r="I238" s="59"/>
      <c r="J238" s="57"/>
      <c r="K238" s="58"/>
    </row>
    <row r="239" ht="15.75" customHeight="1" outlineLevel="1">
      <c r="A239" s="68">
        <v>8</v>
      </c>
      <c r="B239" s="59"/>
      <c r="C239" s="59"/>
      <c r="D239" s="59"/>
      <c r="E239" s="60"/>
      <c r="F239" s="61"/>
      <c r="G239" s="59"/>
      <c r="H239" s="59"/>
      <c r="I239" s="59"/>
      <c r="J239" s="57"/>
      <c r="K239" s="58"/>
    </row>
    <row r="240" ht="15.75" customHeight="1" outlineLevel="1">
      <c r="A240" s="68">
        <v>9</v>
      </c>
      <c r="B240" s="59"/>
      <c r="C240" s="59"/>
      <c r="D240" s="59"/>
      <c r="E240" s="60"/>
      <c r="F240" s="61"/>
      <c r="G240" s="59"/>
      <c r="H240" s="59"/>
      <c r="I240" s="59"/>
      <c r="J240" s="57"/>
      <c r="K240" s="58"/>
    </row>
    <row r="241" ht="15.75" customHeight="1" outlineLevel="1">
      <c r="A241" s="68">
        <v>10</v>
      </c>
      <c r="B241" s="59"/>
      <c r="C241" s="59"/>
      <c r="D241" s="59"/>
      <c r="E241" s="60"/>
      <c r="F241" s="61"/>
      <c r="G241" s="59"/>
      <c r="H241" s="59"/>
      <c r="I241" s="59"/>
      <c r="J241" s="57"/>
      <c r="K241" s="58"/>
    </row>
    <row r="242" ht="15.75" customHeight="1" outlineLevel="1">
      <c r="A242" s="68">
        <v>11</v>
      </c>
      <c r="B242" s="59"/>
      <c r="C242" s="59"/>
      <c r="D242" s="59"/>
      <c r="E242" s="60"/>
      <c r="F242" s="61"/>
      <c r="G242" s="59"/>
      <c r="H242" s="59"/>
      <c r="I242" s="59"/>
      <c r="J242" s="57"/>
      <c r="K242" s="58"/>
    </row>
    <row r="243" ht="15.75" customHeight="1" outlineLevel="1">
      <c r="A243" s="68">
        <v>12</v>
      </c>
      <c r="B243" s="59"/>
      <c r="C243" s="59"/>
      <c r="D243" s="59"/>
      <c r="E243" s="60"/>
      <c r="F243" s="61"/>
      <c r="G243" s="59"/>
      <c r="H243" s="59"/>
      <c r="I243" s="59"/>
      <c r="J243" s="57"/>
      <c r="K243" s="58"/>
    </row>
    <row r="244" ht="15.75" customHeight="1" outlineLevel="1">
      <c r="A244" s="68">
        <v>13</v>
      </c>
      <c r="B244" s="59"/>
      <c r="C244" s="59"/>
      <c r="D244" s="59"/>
      <c r="E244" s="60"/>
      <c r="F244" s="61"/>
      <c r="G244" s="59"/>
      <c r="H244" s="59"/>
      <c r="I244" s="59"/>
      <c r="J244" s="57"/>
      <c r="K244" s="58"/>
    </row>
    <row r="245" ht="15.75" customHeight="1" outlineLevel="1">
      <c r="A245" s="68">
        <v>14</v>
      </c>
      <c r="B245" s="59"/>
      <c r="C245" s="59"/>
      <c r="D245" s="59"/>
      <c r="E245" s="60"/>
      <c r="F245" s="61"/>
      <c r="G245" s="59"/>
      <c r="H245" s="59"/>
      <c r="I245" s="59"/>
      <c r="J245" s="57"/>
      <c r="K245" s="58"/>
    </row>
    <row r="246" ht="15.75" customHeight="1" outlineLevel="1">
      <c r="A246" s="69">
        <v>15</v>
      </c>
      <c r="B246" s="70"/>
      <c r="C246" s="70"/>
      <c r="D246" s="70"/>
      <c r="E246" s="71"/>
      <c r="F246" s="72"/>
      <c r="G246" s="70"/>
      <c r="H246" s="70"/>
      <c r="I246" s="70"/>
      <c r="J246" s="73"/>
      <c r="K246" s="74"/>
    </row>
    <row r="247" s="21" customFormat="1" ht="21.75" customHeight="1">
      <c r="A247" s="82" t="s">
        <v>31</v>
      </c>
      <c r="B247" s="83"/>
      <c r="C247" s="83"/>
      <c r="D247" s="103"/>
      <c r="E247" s="104">
        <f>SUM(E231:E246)</f>
        <v>0</v>
      </c>
    </row>
    <row r="248" s="21" customFormat="1" ht="21.75" customHeight="1">
      <c r="A248" s="82" t="s">
        <v>22</v>
      </c>
      <c r="B248" s="83"/>
      <c r="C248" s="83"/>
      <c r="D248" s="103"/>
      <c r="E248" s="104">
        <f>E227-E247</f>
        <v>5242</v>
      </c>
      <c r="F248" s="86"/>
    </row>
    <row r="249" ht="15.75">
      <c r="E249" s="1"/>
    </row>
    <row r="250" ht="25.5" customHeight="1">
      <c r="A250" s="9" t="s">
        <v>32</v>
      </c>
      <c r="B250" s="10"/>
      <c r="C250" s="10"/>
      <c r="D250" s="11"/>
      <c r="E250" s="12">
        <f>SUM(E251:E252)</f>
        <v>6476.1899999999996</v>
      </c>
      <c r="F250" s="163" t="s">
        <v>44</v>
      </c>
      <c r="G250" s="13"/>
      <c r="H250" s="13"/>
      <c r="I250" s="13"/>
    </row>
    <row r="251" ht="15.75">
      <c r="A251" s="14" t="s">
        <v>33</v>
      </c>
      <c r="B251" s="15"/>
      <c r="C251" s="15"/>
      <c r="D251" s="16"/>
      <c r="E251" s="17">
        <v>3132.9499999999998</v>
      </c>
      <c r="F251" s="13"/>
      <c r="G251" s="13"/>
      <c r="H251" s="13"/>
      <c r="I251" s="13"/>
    </row>
    <row r="252" ht="15.75">
      <c r="A252" s="14" t="s">
        <v>34</v>
      </c>
      <c r="B252" s="15"/>
      <c r="C252" s="15"/>
      <c r="D252" s="16"/>
      <c r="E252" s="17">
        <v>3343.2399999999998</v>
      </c>
      <c r="F252" s="13"/>
      <c r="G252" s="13"/>
      <c r="H252" s="13"/>
      <c r="I252" s="13"/>
    </row>
    <row r="253" ht="15.75">
      <c r="A253" s="13"/>
      <c r="B253" s="13"/>
      <c r="C253" s="13"/>
      <c r="D253" s="13"/>
      <c r="E253" s="13"/>
      <c r="F253" s="13"/>
      <c r="G253" s="13"/>
      <c r="H253" s="13"/>
      <c r="I253" s="13"/>
    </row>
    <row r="254" ht="22.5">
      <c r="A254" s="87" t="s">
        <v>6</v>
      </c>
      <c r="B254" s="87" t="s">
        <v>7</v>
      </c>
      <c r="C254" s="87" t="s">
        <v>8</v>
      </c>
      <c r="D254" s="87" t="s">
        <v>9</v>
      </c>
      <c r="E254" s="88" t="s">
        <v>10</v>
      </c>
      <c r="F254" s="87" t="s">
        <v>11</v>
      </c>
      <c r="G254" s="87" t="s">
        <v>12</v>
      </c>
      <c r="H254" s="89" t="s">
        <v>13</v>
      </c>
      <c r="I254" s="87" t="s">
        <v>14</v>
      </c>
      <c r="J254" s="87" t="s">
        <v>15</v>
      </c>
      <c r="K254" s="87" t="s">
        <v>16</v>
      </c>
    </row>
    <row r="255" ht="15.75">
      <c r="A255" s="22"/>
      <c r="B255" s="23" t="s">
        <v>25</v>
      </c>
      <c r="C255" s="24"/>
      <c r="D255" s="25"/>
      <c r="E255" s="26"/>
      <c r="F255" s="23"/>
      <c r="G255" s="23"/>
      <c r="H255" s="23"/>
      <c r="I255" s="23"/>
      <c r="J255" s="23"/>
      <c r="K255" s="27"/>
    </row>
    <row r="256">
      <c r="A256" s="68">
        <v>1</v>
      </c>
      <c r="B256" s="106"/>
      <c r="C256" s="106"/>
      <c r="D256" s="107"/>
      <c r="E256" s="92"/>
      <c r="F256" s="107"/>
      <c r="G256" s="42"/>
      <c r="H256" s="42"/>
      <c r="I256" s="42" t="s">
        <v>35</v>
      </c>
      <c r="J256" s="57"/>
      <c r="K256" s="58"/>
    </row>
    <row r="257">
      <c r="A257" s="68">
        <v>2</v>
      </c>
      <c r="B257" s="106"/>
      <c r="C257" s="106"/>
      <c r="D257" s="107"/>
      <c r="E257" s="93"/>
      <c r="F257" s="107"/>
      <c r="G257" s="59"/>
      <c r="H257" s="59"/>
      <c r="I257" s="42"/>
      <c r="J257" s="57"/>
      <c r="K257" s="58"/>
    </row>
    <row r="258">
      <c r="A258" s="68">
        <v>3</v>
      </c>
      <c r="B258" s="108"/>
      <c r="C258" s="109"/>
      <c r="D258" s="110"/>
      <c r="E258" s="111"/>
      <c r="F258" s="110"/>
      <c r="G258" s="112"/>
      <c r="H258" s="113"/>
      <c r="I258" s="35"/>
      <c r="J258" s="114"/>
      <c r="K258" s="115"/>
    </row>
    <row r="259">
      <c r="A259" s="68">
        <v>4</v>
      </c>
      <c r="B259" s="108"/>
      <c r="C259" s="109"/>
      <c r="D259" s="110"/>
      <c r="E259" s="111"/>
      <c r="F259" s="110"/>
      <c r="G259" s="112"/>
      <c r="H259" s="113"/>
      <c r="I259" s="35"/>
      <c r="J259" s="114"/>
      <c r="K259" s="116"/>
    </row>
    <row r="260">
      <c r="A260" s="68">
        <v>5</v>
      </c>
      <c r="B260" s="42"/>
      <c r="C260" s="42"/>
      <c r="D260" s="42"/>
      <c r="E260" s="93"/>
      <c r="F260" s="94"/>
      <c r="G260" s="42"/>
      <c r="H260" s="42"/>
      <c r="I260" s="42"/>
      <c r="J260" s="43"/>
      <c r="K260" s="44"/>
    </row>
    <row r="261">
      <c r="A261" s="68">
        <v>6</v>
      </c>
      <c r="B261" s="43"/>
      <c r="C261" s="43"/>
      <c r="D261" s="43"/>
      <c r="E261" s="43"/>
      <c r="F261" s="43"/>
      <c r="G261" s="43"/>
      <c r="H261" s="42"/>
      <c r="I261" s="42"/>
      <c r="J261" s="43"/>
      <c r="K261" s="44"/>
    </row>
    <row r="262">
      <c r="A262" s="68">
        <v>7</v>
      </c>
      <c r="B262" s="43"/>
      <c r="C262" s="43"/>
      <c r="D262" s="43"/>
      <c r="E262" s="43"/>
      <c r="F262" s="43"/>
      <c r="G262" s="43"/>
      <c r="H262" s="42"/>
      <c r="I262" s="42"/>
      <c r="J262" s="43"/>
      <c r="K262" s="44"/>
    </row>
    <row r="263">
      <c r="A263" s="68">
        <v>8</v>
      </c>
      <c r="B263" s="42"/>
      <c r="C263" s="94"/>
      <c r="D263" s="94"/>
      <c r="E263" s="93"/>
      <c r="F263" s="94"/>
      <c r="G263" s="42"/>
      <c r="H263" s="42"/>
      <c r="I263" s="42"/>
      <c r="J263" s="43"/>
      <c r="K263" s="44"/>
    </row>
    <row r="264">
      <c r="A264" s="68">
        <v>9</v>
      </c>
      <c r="B264" s="42"/>
      <c r="C264" s="94"/>
      <c r="D264" s="94"/>
      <c r="E264" s="93"/>
      <c r="F264" s="94"/>
      <c r="G264" s="42"/>
      <c r="H264" s="42"/>
      <c r="I264" s="42"/>
      <c r="J264" s="43"/>
      <c r="K264" s="44"/>
    </row>
    <row r="265">
      <c r="A265" s="68">
        <v>10</v>
      </c>
      <c r="B265" s="42"/>
      <c r="C265" s="94"/>
      <c r="D265" s="94"/>
      <c r="E265" s="93"/>
      <c r="F265" s="94"/>
      <c r="G265" s="42"/>
      <c r="H265" s="42"/>
      <c r="I265" s="42"/>
      <c r="J265" s="43"/>
      <c r="K265" s="44"/>
    </row>
    <row r="266">
      <c r="A266" s="68">
        <v>11</v>
      </c>
      <c r="B266" s="42"/>
      <c r="C266" s="94"/>
      <c r="D266" s="94"/>
      <c r="E266" s="93"/>
      <c r="F266" s="94"/>
      <c r="G266" s="42"/>
      <c r="H266" s="42"/>
      <c r="I266" s="42"/>
      <c r="J266" s="43"/>
      <c r="K266" s="44"/>
    </row>
    <row r="267">
      <c r="A267" s="68">
        <v>12</v>
      </c>
      <c r="B267" s="59"/>
      <c r="C267" s="61"/>
      <c r="D267" s="61"/>
      <c r="E267" s="93"/>
      <c r="F267" s="61"/>
      <c r="G267" s="59"/>
      <c r="H267" s="59"/>
      <c r="I267" s="42"/>
      <c r="J267" s="57"/>
      <c r="K267" s="58"/>
    </row>
    <row r="268">
      <c r="A268" s="68">
        <v>13</v>
      </c>
      <c r="B268" s="59"/>
      <c r="C268" s="61"/>
      <c r="D268" s="61"/>
      <c r="E268" s="93"/>
      <c r="F268" s="61"/>
      <c r="G268" s="59"/>
      <c r="H268" s="59"/>
      <c r="I268" s="42"/>
      <c r="J268" s="57"/>
      <c r="K268" s="58"/>
    </row>
    <row r="269">
      <c r="A269" s="68">
        <v>14</v>
      </c>
      <c r="B269" s="59"/>
      <c r="C269" s="61"/>
      <c r="D269" s="61"/>
      <c r="E269" s="93"/>
      <c r="F269" s="61"/>
      <c r="G269" s="59"/>
      <c r="H269" s="59"/>
      <c r="I269" s="42"/>
      <c r="J269" s="57"/>
      <c r="K269" s="58"/>
    </row>
    <row r="270" ht="15.75">
      <c r="A270" s="68">
        <v>15</v>
      </c>
      <c r="B270" s="59"/>
      <c r="C270" s="61"/>
      <c r="D270" s="61"/>
      <c r="E270" s="93"/>
      <c r="F270" s="61"/>
      <c r="G270" s="59"/>
      <c r="H270" s="59"/>
      <c r="I270" s="42"/>
      <c r="J270" s="57"/>
      <c r="K270" s="58"/>
    </row>
    <row r="271" ht="15.75">
      <c r="A271" s="22"/>
      <c r="B271" s="23" t="s">
        <v>26</v>
      </c>
      <c r="C271" s="24"/>
      <c r="D271" s="25"/>
      <c r="E271" s="26"/>
      <c r="F271" s="23"/>
      <c r="G271" s="23"/>
      <c r="H271" s="23"/>
      <c r="I271" s="23"/>
      <c r="J271" s="23"/>
      <c r="K271" s="27"/>
    </row>
    <row r="272">
      <c r="A272" s="62">
        <v>1</v>
      </c>
      <c r="B272" s="63"/>
      <c r="C272" s="63"/>
      <c r="D272" s="63"/>
      <c r="E272" s="64"/>
      <c r="F272" s="65"/>
      <c r="G272" s="63"/>
      <c r="H272" s="63"/>
      <c r="I272" s="63"/>
      <c r="J272" s="66"/>
      <c r="K272" s="67"/>
    </row>
    <row r="273">
      <c r="A273" s="68">
        <v>2</v>
      </c>
      <c r="B273" s="59"/>
      <c r="C273" s="59"/>
      <c r="D273" s="59"/>
      <c r="E273" s="60"/>
      <c r="F273" s="61"/>
      <c r="G273" s="59"/>
      <c r="H273" s="59"/>
      <c r="I273" s="59"/>
      <c r="J273" s="57"/>
      <c r="K273" s="58"/>
    </row>
    <row r="274">
      <c r="A274" s="68">
        <v>3</v>
      </c>
      <c r="B274" s="59"/>
      <c r="C274" s="59"/>
      <c r="D274" s="59"/>
      <c r="E274" s="60"/>
      <c r="F274" s="61"/>
      <c r="G274" s="59"/>
      <c r="H274" s="59"/>
      <c r="I274" s="59"/>
      <c r="J274" s="57"/>
      <c r="K274" s="58"/>
    </row>
    <row r="275">
      <c r="A275" s="68">
        <v>4</v>
      </c>
      <c r="B275" s="59"/>
      <c r="C275" s="59"/>
      <c r="D275" s="59"/>
      <c r="E275" s="60"/>
      <c r="F275" s="61"/>
      <c r="G275" s="59"/>
      <c r="H275" s="59"/>
      <c r="I275" s="59"/>
      <c r="J275" s="57"/>
      <c r="K275" s="58"/>
    </row>
    <row r="276" ht="15.75">
      <c r="A276" s="69">
        <v>5</v>
      </c>
      <c r="B276" s="70"/>
      <c r="C276" s="70"/>
      <c r="D276" s="70"/>
      <c r="E276" s="71"/>
      <c r="F276" s="72"/>
      <c r="G276" s="70"/>
      <c r="H276" s="70"/>
      <c r="I276" s="70"/>
      <c r="J276" s="73"/>
      <c r="K276" s="74"/>
    </row>
    <row r="277" ht="15.75">
      <c r="A277" s="22"/>
      <c r="B277" s="23" t="s">
        <v>19</v>
      </c>
      <c r="C277" s="24"/>
      <c r="D277" s="25"/>
      <c r="E277" s="26"/>
      <c r="F277" s="23"/>
      <c r="G277" s="23"/>
      <c r="H277" s="23"/>
      <c r="I277" s="23"/>
      <c r="J277" s="23"/>
      <c r="K277" s="27"/>
    </row>
    <row r="278">
      <c r="A278" s="62">
        <v>1</v>
      </c>
      <c r="B278" s="39"/>
      <c r="C278" s="56"/>
      <c r="D278" s="59"/>
      <c r="E278" s="60"/>
      <c r="F278" s="101"/>
      <c r="G278" s="63"/>
      <c r="H278" s="63"/>
      <c r="I278" s="63"/>
      <c r="J278" s="66"/>
      <c r="K278" s="67"/>
    </row>
    <row r="279">
      <c r="A279" s="68">
        <v>2</v>
      </c>
      <c r="B279" s="117"/>
      <c r="C279" s="117"/>
      <c r="D279" s="118"/>
      <c r="E279" s="60"/>
      <c r="F279" s="119"/>
      <c r="G279" s="59"/>
      <c r="H279" s="59"/>
      <c r="I279" s="59"/>
      <c r="J279" s="57"/>
      <c r="K279" s="58"/>
    </row>
    <row r="280">
      <c r="A280" s="68">
        <v>3</v>
      </c>
      <c r="B280" s="59"/>
      <c r="C280" s="59"/>
      <c r="D280" s="59"/>
      <c r="E280" s="60"/>
      <c r="F280" s="61"/>
      <c r="G280" s="59"/>
      <c r="H280" s="59"/>
      <c r="I280" s="59"/>
      <c r="J280" s="57"/>
      <c r="K280" s="58"/>
    </row>
    <row r="281">
      <c r="A281" s="68">
        <v>4</v>
      </c>
      <c r="B281" s="59"/>
      <c r="C281" s="59"/>
      <c r="D281" s="59"/>
      <c r="E281" s="60"/>
      <c r="F281" s="61"/>
      <c r="G281" s="59"/>
      <c r="H281" s="59"/>
      <c r="I281" s="59"/>
      <c r="J281" s="57"/>
      <c r="K281" s="58"/>
    </row>
    <row r="282" ht="15.75">
      <c r="A282" s="69">
        <v>5</v>
      </c>
      <c r="B282" s="70"/>
      <c r="C282" s="70"/>
      <c r="D282" s="70"/>
      <c r="E282" s="71"/>
      <c r="F282" s="72"/>
      <c r="G282" s="70"/>
      <c r="H282" s="70"/>
      <c r="I282" s="70"/>
      <c r="J282" s="73"/>
      <c r="K282" s="74"/>
    </row>
    <row r="283" s="21" customFormat="1" ht="26.25" customHeight="1">
      <c r="A283" s="82" t="s">
        <v>36</v>
      </c>
      <c r="B283" s="83"/>
      <c r="C283" s="83"/>
      <c r="D283" s="103"/>
      <c r="E283" s="104">
        <f>SUM(E256:E282)</f>
        <v>0</v>
      </c>
    </row>
    <row r="284" s="21" customFormat="1" ht="27" customHeight="1">
      <c r="A284" s="82" t="s">
        <v>22</v>
      </c>
      <c r="B284" s="83"/>
      <c r="C284" s="83"/>
      <c r="D284" s="103"/>
      <c r="E284" s="104">
        <f>E250-E283</f>
        <v>6476.1899999999996</v>
      </c>
      <c r="F284" s="86"/>
    </row>
    <row r="285" ht="14.25">
      <c r="E285" s="1"/>
    </row>
    <row r="286" ht="15.75">
      <c r="E286" s="1"/>
    </row>
    <row r="287" ht="36" customHeight="1">
      <c r="A287" s="120" t="s">
        <v>37</v>
      </c>
      <c r="B287" s="120"/>
      <c r="C287" s="120"/>
      <c r="D287" s="120"/>
      <c r="E287" s="121">
        <f>E288+E289</f>
        <v>2715</v>
      </c>
      <c r="F287" s="163" t="s">
        <v>44</v>
      </c>
      <c r="G287" s="123"/>
      <c r="H287" s="123"/>
      <c r="I287" s="123"/>
      <c r="J287" s="124"/>
      <c r="K287" s="124"/>
    </row>
    <row r="288" ht="15.75" customHeight="1">
      <c r="A288" s="125" t="s">
        <v>38</v>
      </c>
      <c r="B288" s="125"/>
      <c r="C288" s="125"/>
      <c r="D288" s="125"/>
      <c r="E288" s="126">
        <v>0</v>
      </c>
      <c r="F288" s="123"/>
      <c r="G288" s="123"/>
      <c r="H288" s="123"/>
      <c r="I288" s="123"/>
      <c r="J288" s="124"/>
      <c r="K288" s="124"/>
    </row>
    <row r="289" ht="15.75" customHeight="1">
      <c r="A289" s="125" t="s">
        <v>39</v>
      </c>
      <c r="B289" s="125"/>
      <c r="C289" s="125"/>
      <c r="D289" s="125"/>
      <c r="E289" s="126">
        <v>2715</v>
      </c>
      <c r="F289" s="123"/>
      <c r="G289" s="123"/>
      <c r="H289" s="123"/>
      <c r="I289" s="123"/>
      <c r="J289" s="124"/>
      <c r="K289" s="124"/>
    </row>
    <row r="290" ht="15.75">
      <c r="A290" s="123"/>
      <c r="B290" s="123"/>
      <c r="C290" s="123"/>
      <c r="D290" s="123"/>
      <c r="E290" s="123"/>
      <c r="F290" s="123"/>
      <c r="G290" s="123"/>
      <c r="H290" s="123"/>
      <c r="I290" s="123"/>
      <c r="J290" s="124"/>
      <c r="K290" s="124"/>
    </row>
    <row r="291" ht="24.75">
      <c r="A291" s="127" t="s">
        <v>6</v>
      </c>
      <c r="B291" s="127" t="s">
        <v>7</v>
      </c>
      <c r="C291" s="127" t="s">
        <v>8</v>
      </c>
      <c r="D291" s="127" t="s">
        <v>9</v>
      </c>
      <c r="E291" s="127" t="s">
        <v>40</v>
      </c>
      <c r="F291" s="127" t="s">
        <v>11</v>
      </c>
      <c r="G291" s="127" t="s">
        <v>12</v>
      </c>
      <c r="H291" s="128" t="s">
        <v>13</v>
      </c>
      <c r="I291" s="127" t="s">
        <v>14</v>
      </c>
      <c r="J291" s="127" t="s">
        <v>15</v>
      </c>
      <c r="K291" s="127" t="s">
        <v>16</v>
      </c>
    </row>
    <row r="292" ht="15.75">
      <c r="A292" s="129" t="s">
        <v>41</v>
      </c>
      <c r="B292" s="130"/>
      <c r="C292" s="130"/>
      <c r="D292" s="130"/>
      <c r="E292" s="130"/>
      <c r="F292" s="130"/>
      <c r="G292" s="130"/>
      <c r="H292" s="130"/>
      <c r="I292" s="130"/>
      <c r="J292" s="130"/>
      <c r="K292" s="131"/>
    </row>
    <row r="293">
      <c r="A293" s="132">
        <v>1</v>
      </c>
      <c r="B293" s="133"/>
      <c r="C293" s="133"/>
      <c r="D293" s="134"/>
      <c r="E293" s="135"/>
      <c r="F293" s="134"/>
      <c r="G293" s="136"/>
      <c r="H293" s="136"/>
      <c r="I293" s="136"/>
      <c r="J293" s="137"/>
      <c r="K293" s="138"/>
    </row>
    <row r="294">
      <c r="A294" s="139">
        <v>2</v>
      </c>
      <c r="B294" s="140"/>
      <c r="C294" s="140"/>
      <c r="D294" s="141"/>
      <c r="E294" s="142"/>
      <c r="F294" s="141"/>
      <c r="G294" s="143"/>
      <c r="H294" s="143"/>
      <c r="I294" s="142"/>
      <c r="J294" s="144"/>
      <c r="K294" s="145"/>
    </row>
    <row r="295">
      <c r="A295" s="139">
        <v>3</v>
      </c>
      <c r="B295" s="143"/>
      <c r="C295" s="143"/>
      <c r="D295" s="143"/>
      <c r="E295" s="142"/>
      <c r="F295" s="146"/>
      <c r="G295" s="143"/>
      <c r="H295" s="143"/>
      <c r="I295" s="142"/>
      <c r="J295" s="144"/>
      <c r="K295" s="145"/>
    </row>
    <row r="296">
      <c r="A296" s="139">
        <v>4</v>
      </c>
      <c r="B296" s="143"/>
      <c r="C296" s="146"/>
      <c r="D296" s="146"/>
      <c r="E296" s="142"/>
      <c r="F296" s="146"/>
      <c r="G296" s="143"/>
      <c r="H296" s="143"/>
      <c r="I296" s="142"/>
      <c r="J296" s="144"/>
      <c r="K296" s="145"/>
    </row>
    <row r="297">
      <c r="A297" s="139">
        <v>5</v>
      </c>
      <c r="B297" s="143"/>
      <c r="C297" s="143"/>
      <c r="D297" s="143"/>
      <c r="E297" s="143"/>
      <c r="F297" s="146"/>
      <c r="G297" s="143"/>
      <c r="H297" s="143"/>
      <c r="I297" s="142"/>
      <c r="J297" s="144"/>
      <c r="K297" s="145"/>
    </row>
    <row r="298">
      <c r="A298" s="139">
        <v>6</v>
      </c>
      <c r="B298" s="144"/>
      <c r="C298" s="144"/>
      <c r="D298" s="144"/>
      <c r="E298" s="144"/>
      <c r="F298" s="144"/>
      <c r="G298" s="144"/>
      <c r="H298" s="143"/>
      <c r="I298" s="142"/>
      <c r="J298" s="144"/>
      <c r="K298" s="145"/>
    </row>
    <row r="299">
      <c r="A299" s="139">
        <v>7</v>
      </c>
      <c r="B299" s="144"/>
      <c r="C299" s="144"/>
      <c r="D299" s="144"/>
      <c r="E299" s="144"/>
      <c r="F299" s="144"/>
      <c r="G299" s="144"/>
      <c r="H299" s="143"/>
      <c r="I299" s="143"/>
      <c r="J299" s="144"/>
      <c r="K299" s="145"/>
    </row>
    <row r="300">
      <c r="A300" s="139">
        <v>8</v>
      </c>
      <c r="B300" s="143"/>
      <c r="C300" s="146"/>
      <c r="D300" s="146"/>
      <c r="E300" s="142"/>
      <c r="F300" s="146"/>
      <c r="G300" s="143"/>
      <c r="H300" s="143"/>
      <c r="I300" s="142"/>
      <c r="J300" s="144"/>
      <c r="K300" s="145"/>
    </row>
    <row r="301">
      <c r="A301" s="139">
        <v>9</v>
      </c>
      <c r="B301" s="143"/>
      <c r="C301" s="146"/>
      <c r="D301" s="146"/>
      <c r="E301" s="142"/>
      <c r="F301" s="146"/>
      <c r="G301" s="143"/>
      <c r="H301" s="143"/>
      <c r="I301" s="142"/>
      <c r="J301" s="144"/>
      <c r="K301" s="145"/>
    </row>
    <row r="302">
      <c r="A302" s="139">
        <v>10</v>
      </c>
      <c r="B302" s="143"/>
      <c r="C302" s="146"/>
      <c r="D302" s="146"/>
      <c r="E302" s="142"/>
      <c r="F302" s="146"/>
      <c r="G302" s="143"/>
      <c r="H302" s="143"/>
      <c r="I302" s="142"/>
      <c r="J302" s="144"/>
      <c r="K302" s="145"/>
    </row>
    <row r="303">
      <c r="A303" s="139">
        <v>11</v>
      </c>
      <c r="B303" s="143"/>
      <c r="C303" s="146"/>
      <c r="D303" s="146"/>
      <c r="E303" s="142"/>
      <c r="F303" s="146"/>
      <c r="G303" s="143"/>
      <c r="H303" s="143"/>
      <c r="I303" s="142"/>
      <c r="J303" s="144"/>
      <c r="K303" s="145"/>
    </row>
    <row r="304">
      <c r="A304" s="139">
        <v>12</v>
      </c>
      <c r="B304" s="143"/>
      <c r="C304" s="146"/>
      <c r="D304" s="146"/>
      <c r="E304" s="142"/>
      <c r="F304" s="146"/>
      <c r="G304" s="143"/>
      <c r="H304" s="143"/>
      <c r="I304" s="142"/>
      <c r="J304" s="144"/>
      <c r="K304" s="145"/>
    </row>
    <row r="305">
      <c r="A305" s="139">
        <v>13</v>
      </c>
      <c r="B305" s="143"/>
      <c r="C305" s="146"/>
      <c r="D305" s="146"/>
      <c r="E305" s="142"/>
      <c r="F305" s="146"/>
      <c r="G305" s="143"/>
      <c r="H305" s="143"/>
      <c r="I305" s="142"/>
      <c r="J305" s="144"/>
      <c r="K305" s="145"/>
    </row>
    <row r="306">
      <c r="A306" s="139">
        <v>14</v>
      </c>
      <c r="B306" s="143"/>
      <c r="C306" s="146"/>
      <c r="D306" s="146"/>
      <c r="E306" s="142"/>
      <c r="F306" s="146"/>
      <c r="G306" s="143"/>
      <c r="H306" s="143"/>
      <c r="I306" s="142"/>
      <c r="J306" s="144"/>
      <c r="K306" s="145"/>
    </row>
    <row r="307" ht="15.75">
      <c r="A307" s="147">
        <v>15</v>
      </c>
      <c r="B307" s="148"/>
      <c r="C307" s="149"/>
      <c r="D307" s="149"/>
      <c r="E307" s="150"/>
      <c r="F307" s="149"/>
      <c r="G307" s="148"/>
      <c r="H307" s="148"/>
      <c r="I307" s="150"/>
      <c r="J307" s="151"/>
      <c r="K307" s="152"/>
    </row>
    <row r="308" ht="15.75">
      <c r="A308" s="22"/>
      <c r="B308" s="23" t="s">
        <v>26</v>
      </c>
      <c r="C308" s="24"/>
      <c r="D308" s="25"/>
      <c r="E308" s="26"/>
      <c r="F308" s="23"/>
      <c r="G308" s="23"/>
      <c r="H308" s="23"/>
      <c r="I308" s="23"/>
      <c r="J308" s="23"/>
      <c r="K308" s="27"/>
    </row>
    <row r="309">
      <c r="A309" s="132">
        <v>1</v>
      </c>
      <c r="B309" s="153"/>
      <c r="C309" s="153"/>
      <c r="D309" s="153"/>
      <c r="E309" s="153"/>
      <c r="F309" s="154"/>
      <c r="G309" s="153"/>
      <c r="H309" s="153"/>
      <c r="I309" s="153"/>
      <c r="J309" s="137"/>
      <c r="K309" s="138"/>
    </row>
    <row r="310">
      <c r="A310" s="139">
        <v>2</v>
      </c>
      <c r="B310" s="143"/>
      <c r="C310" s="143"/>
      <c r="D310" s="143"/>
      <c r="E310" s="143"/>
      <c r="F310" s="146"/>
      <c r="G310" s="143"/>
      <c r="H310" s="143"/>
      <c r="I310" s="143"/>
      <c r="J310" s="144"/>
      <c r="K310" s="145"/>
    </row>
    <row r="311">
      <c r="A311" s="139">
        <v>3</v>
      </c>
      <c r="B311" s="143"/>
      <c r="C311" s="143"/>
      <c r="D311" s="143"/>
      <c r="E311" s="143"/>
      <c r="F311" s="146"/>
      <c r="G311" s="143"/>
      <c r="H311" s="143"/>
      <c r="I311" s="143"/>
      <c r="J311" s="144"/>
      <c r="K311" s="145"/>
    </row>
    <row r="312">
      <c r="A312" s="139">
        <v>4</v>
      </c>
      <c r="B312" s="143"/>
      <c r="C312" s="143"/>
      <c r="D312" s="143"/>
      <c r="E312" s="143"/>
      <c r="F312" s="146"/>
      <c r="G312" s="143"/>
      <c r="H312" s="143"/>
      <c r="I312" s="143"/>
      <c r="J312" s="144"/>
      <c r="K312" s="145"/>
    </row>
    <row r="313" ht="15.75">
      <c r="A313" s="147">
        <v>5</v>
      </c>
      <c r="B313" s="148"/>
      <c r="C313" s="148"/>
      <c r="D313" s="148"/>
      <c r="E313" s="148"/>
      <c r="F313" s="149"/>
      <c r="G313" s="148"/>
      <c r="H313" s="148"/>
      <c r="I313" s="148"/>
      <c r="J313" s="151"/>
      <c r="K313" s="152"/>
    </row>
    <row r="314" ht="15.75">
      <c r="A314" s="22"/>
      <c r="B314" s="23" t="s">
        <v>19</v>
      </c>
      <c r="C314" s="24"/>
      <c r="D314" s="25"/>
      <c r="E314" s="26"/>
      <c r="F314" s="23"/>
      <c r="G314" s="23"/>
      <c r="H314" s="23"/>
      <c r="I314" s="23"/>
      <c r="J314" s="23"/>
      <c r="K314" s="27"/>
    </row>
    <row r="315">
      <c r="A315" s="132">
        <v>1</v>
      </c>
      <c r="B315" s="136"/>
      <c r="C315" s="153"/>
      <c r="D315" s="153"/>
      <c r="E315" s="153"/>
      <c r="F315" s="154"/>
      <c r="G315" s="153"/>
      <c r="H315" s="153"/>
      <c r="I315" s="153"/>
      <c r="J315" s="137"/>
      <c r="K315" s="138"/>
    </row>
    <row r="316">
      <c r="A316" s="139">
        <v>2</v>
      </c>
      <c r="B316" s="155"/>
      <c r="C316" s="155"/>
      <c r="D316" s="156"/>
      <c r="E316" s="143"/>
      <c r="F316" s="157"/>
      <c r="G316" s="143"/>
      <c r="H316" s="143"/>
      <c r="I316" s="143"/>
      <c r="J316" s="144"/>
      <c r="K316" s="145"/>
    </row>
    <row r="317">
      <c r="A317" s="139">
        <v>3</v>
      </c>
      <c r="B317" s="143"/>
      <c r="C317" s="143"/>
      <c r="D317" s="143"/>
      <c r="E317" s="143"/>
      <c r="F317" s="146"/>
      <c r="G317" s="143"/>
      <c r="H317" s="143"/>
      <c r="I317" s="143"/>
      <c r="J317" s="144"/>
      <c r="K317" s="145"/>
    </row>
    <row r="318">
      <c r="A318" s="139">
        <v>4</v>
      </c>
      <c r="B318" s="143"/>
      <c r="C318" s="143"/>
      <c r="D318" s="143"/>
      <c r="E318" s="143"/>
      <c r="F318" s="146"/>
      <c r="G318" s="143"/>
      <c r="H318" s="143"/>
      <c r="I318" s="143"/>
      <c r="J318" s="144"/>
      <c r="K318" s="145"/>
    </row>
    <row r="319" ht="15.75">
      <c r="A319" s="147">
        <v>5</v>
      </c>
      <c r="B319" s="148"/>
      <c r="C319" s="148"/>
      <c r="D319" s="148"/>
      <c r="E319" s="148"/>
      <c r="F319" s="149"/>
      <c r="G319" s="148"/>
      <c r="H319" s="148"/>
      <c r="I319" s="148"/>
      <c r="J319" s="151"/>
      <c r="K319" s="152"/>
    </row>
    <row r="320" ht="27.75" customHeight="1">
      <c r="A320" s="158" t="s">
        <v>42</v>
      </c>
      <c r="B320" s="158"/>
      <c r="C320" s="158"/>
      <c r="D320" s="158"/>
      <c r="E320" s="159">
        <f>SUM(E293:E319)</f>
        <v>0</v>
      </c>
      <c r="F320" s="160"/>
      <c r="G320" s="160"/>
      <c r="H320" s="160"/>
      <c r="I320" s="160"/>
      <c r="J320" s="160"/>
      <c r="K320" s="160"/>
    </row>
    <row r="321" ht="27.75" customHeight="1">
      <c r="A321" s="158" t="s">
        <v>43</v>
      </c>
      <c r="B321" s="158"/>
      <c r="C321" s="158"/>
      <c r="D321" s="158"/>
      <c r="E321" s="161">
        <f>E287-E320</f>
        <v>2715</v>
      </c>
      <c r="F321" s="162"/>
      <c r="G321" s="160"/>
      <c r="H321" s="160"/>
      <c r="I321" s="160"/>
      <c r="J321" s="160"/>
      <c r="K321" s="160"/>
    </row>
    <row r="322" ht="14.25">
      <c r="E322" s="1"/>
    </row>
    <row r="323" ht="14.25">
      <c r="E323" s="1"/>
    </row>
    <row r="324" ht="14.25">
      <c r="E324" s="1"/>
    </row>
    <row r="325" ht="14.25">
      <c r="E325" s="1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24:D224"/>
    <mergeCell ref="A225:D225"/>
    <mergeCell ref="A227:D227"/>
    <mergeCell ref="A228:D228"/>
    <mergeCell ref="A247:D247"/>
    <mergeCell ref="A248:D248"/>
    <mergeCell ref="A250:D250"/>
    <mergeCell ref="A251:D251"/>
    <mergeCell ref="A252:D252"/>
    <mergeCell ref="A283:D283"/>
    <mergeCell ref="A284:D284"/>
    <mergeCell ref="A287:D287"/>
    <mergeCell ref="A288:D288"/>
    <mergeCell ref="A289:D289"/>
    <mergeCell ref="A292:K292"/>
    <mergeCell ref="A320:D320"/>
    <mergeCell ref="A321:D321"/>
  </mergeCells>
  <printOptions headings="0" gridLines="0"/>
  <pageMargins left="0" right="0" top="0" bottom="0" header="0.29999999999999999" footer="0.29999999999999999"/>
  <pageSetup paperSize="9" scale="12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0" disablePrompts="0">
        <x14:dataValidation xr:uid="{00930068-00A7-466A-8581-00B000C300B4}" type="list" allowBlank="1" errorStyle="stop" imeMode="noControl" operator="between" showDropDown="0" showErrorMessage="1" showInputMessage="1">
          <x14:formula1>
            <xm:f>ДаНет</xm:f>
          </x14:formula1>
          <xm:sqref>H124:H140 H146 H148 H152:H153 H231:H245 H218:H222 H271:H275 H212:H216 H163:H193 H194 H195 H196:H199 H203 H202 H201 H200 H204:H210 H109:H120 H277:H281 H50:H80 H255:H256 H259:H269</xm:sqref>
        </x14:dataValidation>
        <x14:dataValidation xr:uid="{00960035-008E-4772-AA98-004F00C600D4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H81:H108 H257:H258</xm:sqref>
        </x14:dataValidation>
        <x14:dataValidation xr:uid="{00320009-0006-4E3A-B771-0090001100C1}" type="list" allowBlank="1" errorStyle="stop" imeMode="noControl" operator="between" showDropDown="0" showErrorMessage="1" showInputMessage="1">
          <x14:formula1>
            <xm:f>ДаНет</xm:f>
          </x14:formula1>
          <xm:sqref>H46:H49</xm:sqref>
        </x14:dataValidation>
        <x14:dataValidation xr:uid="{00880006-002B-4DD3-862C-002000EC0046}" type="list" allowBlank="1" errorStyle="stop" imeMode="noControl" operator="between" showDropDown="0" showErrorMessage="1" showInputMessage="1">
          <x14:formula1>
            <xm:f>ДаНет</xm:f>
          </x14:formula1>
          <xm:sqref>H43:H44</xm:sqref>
        </x14:dataValidation>
        <x14:dataValidation xr:uid="{003200EB-00FF-495E-8038-009700B700EE}" type="list" allowBlank="1" errorStyle="stop" imeMode="noControl" operator="between" showDropDown="0" showErrorMessage="1" showInputMessage="1">
          <x14:formula1>
            <xm:f>ДаНет</xm:f>
          </x14:formula1>
          <xm:sqref>H41</xm:sqref>
        </x14:dataValidation>
        <x14:dataValidation xr:uid="{008A00CE-00E3-46C8-9F0C-00AE003A00C5}" type="list" allowBlank="1" errorStyle="stop" imeMode="noControl" operator="between" showDropDown="0" showErrorMessage="1" showInputMessage="1">
          <x14:formula1>
            <xm:f>ДаНет</xm:f>
          </x14:formula1>
          <xm:sqref>H45</xm:sqref>
        </x14:dataValidation>
        <x14:dataValidation xr:uid="{00AA0061-004C-4E64-A4E2-0043005E00F4}" type="list" allowBlank="1" errorStyle="stop" imeMode="noControl" operator="between" showDropDown="0" showErrorMessage="1" showInputMessage="1">
          <x14:formula1>
            <xm:f>ДаНет</xm:f>
          </x14:formula1>
          <xm:sqref>H122:H123</xm:sqref>
        </x14:dataValidation>
        <x14:dataValidation xr:uid="{009B0093-00D9-4FAC-9A73-00D300810038}" type="list" allowBlank="1" errorStyle="stop" imeMode="noControl" operator="between" showDropDown="0" showErrorMessage="1" showInputMessage="1">
          <x14:formula1>
            <xm:f>ДаНет</xm:f>
          </x14:formula1>
          <xm:sqref>H142 H145</xm:sqref>
        </x14:dataValidation>
        <x14:dataValidation xr:uid="{00F00021-00DF-4D2A-B022-00F3002B0090}" type="list" allowBlank="1" errorStyle="stop" imeMode="noControl" operator="between" showDropDown="0" showErrorMessage="1" showInputMessage="1">
          <x14:formula1>
            <xm:f>ДаНет</xm:f>
          </x14:formula1>
          <xm:sqref>H143</xm:sqref>
        </x14:dataValidation>
        <x14:dataValidation xr:uid="{00A6006C-00F5-49B2-820A-002700CF0019}" type="list" allowBlank="1" errorStyle="stop" imeMode="noControl" operator="between" showDropDown="0" showErrorMessage="1" showInputMessage="1">
          <x14:formula1>
            <xm:f>ДаНет</xm:f>
          </x14:formula1>
          <xm:sqref>H144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7">
    <tabColor theme="3"/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'26'!C2+1</f>
        <v>46108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28480.140000000003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17659.450000000001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ht="28.5" outlineLevel="1">
      <c r="A11" s="28">
        <v>1</v>
      </c>
      <c r="B11" s="34" t="s">
        <v>45</v>
      </c>
      <c r="C11" s="33" t="s">
        <v>669</v>
      </c>
      <c r="D11" s="34"/>
      <c r="E11" s="368">
        <v>10000</v>
      </c>
      <c r="F11" s="33" t="s">
        <v>670</v>
      </c>
      <c r="G11" s="873" t="s">
        <v>671</v>
      </c>
      <c r="H11" s="34"/>
      <c r="I11" s="35"/>
      <c r="J11" s="36" t="s">
        <v>47</v>
      </c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10000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18480.140000000003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25932.740000000002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25932.740000000002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72" customHeight="1" outlineLevel="1">
      <c r="A164" s="62">
        <v>1</v>
      </c>
      <c r="B164" s="39" t="s">
        <v>45</v>
      </c>
      <c r="C164" s="39" t="s">
        <v>672</v>
      </c>
      <c r="D164" s="39"/>
      <c r="E164" s="45">
        <v>20000</v>
      </c>
      <c r="F164" s="874" t="s">
        <v>438</v>
      </c>
      <c r="G164" s="39"/>
      <c r="H164" s="42"/>
      <c r="I164" s="59"/>
      <c r="J164" s="66" t="s">
        <v>47</v>
      </c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hidden="1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hidden="1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hidden="1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hidden="1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hidden="1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hidden="1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hidden="1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hidden="1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hidden="1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hidden="1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hidden="1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hidden="1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hidden="1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hidden="1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hidden="1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hidden="1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hidden="1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hidden="1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hidden="1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hidden="1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20000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5932.7400000000016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4476.1899999999996</v>
      </c>
      <c r="F227" s="163" t="s">
        <v>44</v>
      </c>
      <c r="G227" s="13"/>
      <c r="H227" s="13"/>
      <c r="I227" s="13"/>
    </row>
    <row r="228" ht="28.5">
      <c r="A228" s="14" t="s">
        <v>33</v>
      </c>
      <c r="B228" s="15"/>
      <c r="C228" s="15"/>
      <c r="D228" s="16"/>
      <c r="E228" s="17">
        <v>1132.95</v>
      </c>
      <c r="F228" s="13" t="s">
        <v>673</v>
      </c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3343.2399999999998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4476.1899999999996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2715</v>
      </c>
      <c r="F264" s="163" t="s">
        <v>44</v>
      </c>
      <c r="G264" s="123"/>
      <c r="H264" s="123"/>
      <c r="I264" s="123"/>
      <c r="J264" s="124"/>
      <c r="K264" s="124"/>
    </row>
    <row r="265" ht="29.25" customHeight="1">
      <c r="A265" s="125" t="s">
        <v>38</v>
      </c>
      <c r="B265" s="125"/>
      <c r="C265" s="125"/>
      <c r="D265" s="125"/>
      <c r="E265" s="126">
        <v>0</v>
      </c>
      <c r="F265" s="13" t="s">
        <v>673</v>
      </c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2715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" right="0" top="0" bottom="0" header="0.29999999999999999" footer="0.29999999999999999"/>
  <pageSetup paperSize="9" scale="1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30062-0036-4BFB-B9F9-00D500AF0053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9F00FF-00D2-460F-8865-003E003500B7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8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F30" activeCellId="0" sqref="F30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'27'!C2+1</f>
        <v>46109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B0017-00AF-47D1-B0E1-008E00F200FD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8800D6-0039-4A34-9704-00CD003F007E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9">
    <tabColor theme="1" tint="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H34" activeCellId="0" sqref="H34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'28'!C2+1</f>
        <v>46110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0</v>
      </c>
      <c r="F4" s="13"/>
      <c r="G4" s="13"/>
      <c r="H4" s="13"/>
      <c r="I4" s="13"/>
    </row>
    <row r="5" ht="15.75">
      <c r="A5" s="14" t="s">
        <v>3</v>
      </c>
      <c r="B5" s="15"/>
      <c r="C5" s="15"/>
      <c r="D5" s="16"/>
      <c r="E5" s="17"/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/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/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/>
      <c r="C11" s="33"/>
      <c r="D11" s="34"/>
      <c r="E11" s="368"/>
      <c r="F11" s="33"/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/>
      <c r="C12" s="39"/>
      <c r="D12" s="39"/>
      <c r="E12" s="40"/>
      <c r="F12" s="41"/>
      <c r="G12" s="39"/>
      <c r="H12" s="42"/>
      <c r="I12" s="42"/>
      <c r="J12" s="43"/>
      <c r="K12" s="44"/>
    </row>
    <row r="13" ht="14.25" customHeight="1" outlineLevel="1">
      <c r="A13" s="38">
        <v>3</v>
      </c>
      <c r="B13" s="39"/>
      <c r="C13" s="39"/>
      <c r="D13" s="39"/>
      <c r="E13" s="40"/>
      <c r="F13" s="41"/>
      <c r="G13" s="39"/>
      <c r="H13" s="42"/>
      <c r="I13" s="42"/>
      <c r="J13" s="43"/>
      <c r="K13" s="44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0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0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0</v>
      </c>
      <c r="F158" s="13"/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/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0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0</v>
      </c>
      <c r="F204" s="13"/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/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0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0</v>
      </c>
      <c r="F227" s="13"/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/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/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4.7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0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0</v>
      </c>
      <c r="F264" s="122" t="s">
        <v>35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0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0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0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90016-00A2-4CE1-9B56-004000AB00E8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230086-00FC-4226-8F99-00FD005400D8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0">
    <tabColor theme="3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4" activeCellId="0" sqref="4:29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'29'!C2+1</f>
        <v>46111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18440.139999999999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7619.4499999999998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623.45000000000005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23"/>
      <c r="G10" s="23"/>
      <c r="H10" s="23"/>
      <c r="I10" s="23"/>
      <c r="J10" s="23"/>
      <c r="K10" s="27"/>
    </row>
    <row r="11" outlineLevel="1">
      <c r="A11" s="28">
        <v>1</v>
      </c>
      <c r="B11" s="34" t="s">
        <v>45</v>
      </c>
      <c r="C11" s="33"/>
      <c r="D11" s="34"/>
      <c r="E11" s="164">
        <v>634150.68999999994</v>
      </c>
      <c r="F11" s="33" t="s">
        <v>46</v>
      </c>
      <c r="G11" s="33"/>
      <c r="H11" s="34"/>
      <c r="I11" s="35"/>
      <c r="J11" s="36"/>
      <c r="K11" s="37"/>
    </row>
    <row r="12" ht="14.25" customHeight="1" outlineLevel="1">
      <c r="A12" s="38">
        <v>2</v>
      </c>
      <c r="B12" s="39" t="s">
        <v>674</v>
      </c>
      <c r="C12" s="39"/>
      <c r="D12" s="39"/>
      <c r="E12" s="40">
        <v>700000</v>
      </c>
      <c r="F12" s="41" t="s">
        <v>56</v>
      </c>
      <c r="G12" s="39"/>
      <c r="H12" s="42"/>
      <c r="I12" s="42"/>
      <c r="J12" s="43" t="s">
        <v>47</v>
      </c>
      <c r="K12" s="44"/>
    </row>
    <row r="13" ht="14.25" customHeight="1" outlineLevel="1">
      <c r="A13" s="38">
        <v>3</v>
      </c>
      <c r="B13" s="875" t="s">
        <v>675</v>
      </c>
      <c r="C13" s="875" t="s">
        <v>638</v>
      </c>
      <c r="D13" s="875" t="s">
        <v>676</v>
      </c>
      <c r="E13" s="876">
        <v>608971.19999999995</v>
      </c>
      <c r="F13" s="877" t="s">
        <v>677</v>
      </c>
      <c r="G13" s="875"/>
      <c r="H13" s="878"/>
      <c r="I13" s="878"/>
      <c r="J13" s="879" t="s">
        <v>47</v>
      </c>
      <c r="K13" s="880"/>
    </row>
    <row r="14" ht="14.25" customHeight="1" outlineLevel="1">
      <c r="A14" s="38">
        <v>4</v>
      </c>
      <c r="B14" s="39"/>
      <c r="C14" s="39"/>
      <c r="D14" s="39"/>
      <c r="E14" s="40"/>
      <c r="F14" s="41"/>
      <c r="G14" s="39"/>
      <c r="H14" s="42"/>
      <c r="I14" s="42"/>
      <c r="J14" s="43"/>
      <c r="K14" s="44"/>
    </row>
    <row r="15" ht="14.25" customHeight="1" outlineLevel="1">
      <c r="A15" s="38">
        <v>5</v>
      </c>
      <c r="B15" s="39"/>
      <c r="C15" s="39"/>
      <c r="D15" s="39"/>
      <c r="E15" s="40"/>
      <c r="F15" s="41"/>
      <c r="G15" s="39"/>
      <c r="H15" s="42"/>
      <c r="I15" s="42"/>
      <c r="J15" s="43"/>
      <c r="K15" s="44"/>
    </row>
    <row r="16" ht="14.25" customHeight="1" outlineLevel="1">
      <c r="A16" s="38">
        <v>6</v>
      </c>
      <c r="B16" s="39"/>
      <c r="C16" s="39"/>
      <c r="D16" s="39"/>
      <c r="E16" s="40"/>
      <c r="F16" s="41"/>
      <c r="G16" s="39"/>
      <c r="H16" s="42"/>
      <c r="I16" s="42"/>
      <c r="J16" s="43"/>
      <c r="K16" s="44"/>
    </row>
    <row r="17" ht="14.25" customHeight="1" outlineLevel="1">
      <c r="A17" s="38">
        <v>7</v>
      </c>
      <c r="B17" s="39"/>
      <c r="C17" s="39"/>
      <c r="D17" s="39"/>
      <c r="E17" s="40"/>
      <c r="F17" s="41"/>
      <c r="G17" s="39"/>
      <c r="H17" s="42"/>
      <c r="I17" s="42"/>
      <c r="J17" s="43"/>
      <c r="K17" s="44"/>
    </row>
    <row r="18" ht="14.25" customHeight="1" outlineLevel="1">
      <c r="A18" s="38">
        <v>8</v>
      </c>
      <c r="B18" s="39"/>
      <c r="C18" s="39"/>
      <c r="D18" s="39"/>
      <c r="E18" s="40"/>
      <c r="F18" s="41"/>
      <c r="G18" s="39"/>
      <c r="H18" s="42"/>
      <c r="I18" s="42"/>
      <c r="J18" s="43"/>
      <c r="K18" s="44"/>
    </row>
    <row r="19" ht="14.25" customHeight="1" outlineLevel="1">
      <c r="A19" s="38">
        <v>9</v>
      </c>
      <c r="B19" s="39"/>
      <c r="C19" s="39"/>
      <c r="D19" s="39"/>
      <c r="E19" s="40"/>
      <c r="F19" s="41"/>
      <c r="G19" s="39"/>
      <c r="H19" s="42"/>
      <c r="I19" s="42"/>
      <c r="J19" s="43"/>
      <c r="K19" s="44"/>
    </row>
    <row r="20" ht="14.25" customHeight="1" outlineLevel="1">
      <c r="A20" s="38">
        <v>10</v>
      </c>
      <c r="B20" s="39"/>
      <c r="C20" s="39"/>
      <c r="D20" s="39"/>
      <c r="E20" s="40"/>
      <c r="F20" s="41"/>
      <c r="G20" s="39"/>
      <c r="H20" s="42"/>
      <c r="I20" s="42"/>
      <c r="J20" s="43"/>
      <c r="K20" s="44"/>
    </row>
    <row r="21" ht="14.25" customHeight="1" outlineLevel="1">
      <c r="A21" s="38">
        <v>11</v>
      </c>
      <c r="B21" s="39"/>
      <c r="C21" s="39"/>
      <c r="D21" s="39"/>
      <c r="E21" s="40"/>
      <c r="F21" s="41"/>
      <c r="G21" s="39"/>
      <c r="H21" s="42"/>
      <c r="I21" s="42"/>
      <c r="J21" s="43"/>
      <c r="K21" s="44"/>
    </row>
    <row r="22" ht="14.25" customHeight="1" outlineLevel="1">
      <c r="A22" s="38">
        <v>12</v>
      </c>
      <c r="B22" s="39"/>
      <c r="C22" s="39"/>
      <c r="D22" s="39"/>
      <c r="E22" s="40"/>
      <c r="F22" s="41"/>
      <c r="G22" s="39"/>
      <c r="H22" s="42"/>
      <c r="I22" s="42"/>
      <c r="J22" s="43"/>
      <c r="K22" s="44"/>
    </row>
    <row r="23" ht="14.25" customHeight="1" outlineLevel="1">
      <c r="A23" s="38">
        <v>13</v>
      </c>
      <c r="B23" s="39"/>
      <c r="C23" s="39"/>
      <c r="D23" s="39"/>
      <c r="E23" s="40"/>
      <c r="F23" s="41"/>
      <c r="G23" s="39"/>
      <c r="H23" s="42"/>
      <c r="I23" s="42"/>
      <c r="J23" s="43"/>
      <c r="K23" s="44"/>
    </row>
    <row r="24" ht="14.25" customHeight="1" outlineLevel="1">
      <c r="A24" s="38">
        <v>14</v>
      </c>
      <c r="B24" s="39"/>
      <c r="C24" s="39"/>
      <c r="D24" s="39"/>
      <c r="E24" s="40"/>
      <c r="F24" s="41"/>
      <c r="G24" s="39"/>
      <c r="H24" s="42"/>
      <c r="I24" s="42"/>
      <c r="J24" s="43"/>
      <c r="K24" s="44"/>
    </row>
    <row r="25" ht="14.25" customHeight="1" outlineLevel="1">
      <c r="A25" s="38">
        <v>15</v>
      </c>
      <c r="B25" s="39"/>
      <c r="C25" s="39"/>
      <c r="D25" s="39"/>
      <c r="E25" s="40"/>
      <c r="F25" s="41"/>
      <c r="G25" s="39"/>
      <c r="H25" s="42"/>
      <c r="I25" s="42"/>
      <c r="J25" s="43"/>
      <c r="K25" s="44"/>
    </row>
    <row r="26" ht="14.25" customHeight="1" outlineLevel="1">
      <c r="A26" s="38">
        <v>16</v>
      </c>
      <c r="B26" s="39"/>
      <c r="C26" s="39"/>
      <c r="D26" s="39"/>
      <c r="E26" s="40"/>
      <c r="F26" s="41"/>
      <c r="G26" s="39"/>
      <c r="H26" s="42"/>
      <c r="I26" s="42"/>
      <c r="J26" s="43"/>
      <c r="K26" s="44"/>
    </row>
    <row r="27" ht="14.25" customHeight="1" outlineLevel="1">
      <c r="A27" s="38">
        <v>17</v>
      </c>
      <c r="B27" s="39"/>
      <c r="C27" s="39"/>
      <c r="D27" s="39"/>
      <c r="E27" s="40"/>
      <c r="F27" s="41"/>
      <c r="G27" s="39"/>
      <c r="H27" s="42"/>
      <c r="I27" s="42"/>
      <c r="J27" s="43"/>
      <c r="K27" s="44"/>
    </row>
    <row r="28" ht="14.25" customHeight="1" outlineLevel="1">
      <c r="A28" s="38">
        <v>18</v>
      </c>
      <c r="B28" s="39"/>
      <c r="C28" s="39"/>
      <c r="D28" s="39"/>
      <c r="E28" s="40"/>
      <c r="F28" s="41"/>
      <c r="G28" s="39"/>
      <c r="H28" s="42"/>
      <c r="I28" s="42"/>
      <c r="J28" s="43"/>
      <c r="K28" s="44"/>
    </row>
    <row r="29" ht="14.25" customHeight="1" outlineLevel="1">
      <c r="A29" s="38">
        <v>19</v>
      </c>
      <c r="B29" s="39"/>
      <c r="C29" s="39"/>
      <c r="D29" s="39"/>
      <c r="E29" s="40"/>
      <c r="F29" s="41"/>
      <c r="G29" s="39"/>
      <c r="H29" s="42"/>
      <c r="I29" s="42"/>
      <c r="J29" s="43"/>
      <c r="K29" s="44"/>
    </row>
    <row r="30" ht="14.25" customHeight="1" outlineLevel="1">
      <c r="A30" s="38">
        <v>20</v>
      </c>
      <c r="B30" s="39"/>
      <c r="C30" s="39"/>
      <c r="D30" s="39"/>
      <c r="E30" s="40"/>
      <c r="F30" s="41"/>
      <c r="G30" s="39"/>
      <c r="H30" s="42"/>
      <c r="I30" s="42"/>
      <c r="J30" s="43"/>
      <c r="K30" s="44"/>
    </row>
    <row r="31" ht="14.25" customHeight="1" outlineLevel="1">
      <c r="A31" s="38">
        <v>21</v>
      </c>
      <c r="B31" s="39"/>
      <c r="C31" s="39"/>
      <c r="D31" s="39"/>
      <c r="E31" s="40"/>
      <c r="F31" s="41"/>
      <c r="G31" s="39"/>
      <c r="H31" s="42"/>
      <c r="I31" s="42"/>
      <c r="J31" s="43"/>
      <c r="K31" s="44"/>
    </row>
    <row r="32" ht="14.25" customHeight="1" outlineLevel="1">
      <c r="A32" s="38">
        <v>22</v>
      </c>
      <c r="B32" s="39"/>
      <c r="C32" s="39"/>
      <c r="D32" s="39"/>
      <c r="E32" s="40"/>
      <c r="F32" s="41"/>
      <c r="G32" s="39"/>
      <c r="H32" s="42"/>
      <c r="I32" s="42"/>
      <c r="J32" s="43"/>
      <c r="K32" s="44"/>
    </row>
    <row r="33" ht="14.25" customHeight="1" outlineLevel="1">
      <c r="A33" s="38">
        <v>23</v>
      </c>
      <c r="B33" s="39"/>
      <c r="C33" s="39"/>
      <c r="D33" s="39"/>
      <c r="E33" s="40"/>
      <c r="F33" s="41"/>
      <c r="G33" s="39"/>
      <c r="H33" s="42"/>
      <c r="I33" s="42"/>
      <c r="J33" s="43"/>
      <c r="K33" s="44"/>
    </row>
    <row r="34" ht="14.25" customHeight="1" outlineLevel="1">
      <c r="A34" s="38">
        <v>24</v>
      </c>
      <c r="B34" s="39"/>
      <c r="C34" s="39"/>
      <c r="D34" s="39"/>
      <c r="E34" s="40"/>
      <c r="F34" s="41"/>
      <c r="G34" s="39"/>
      <c r="H34" s="42"/>
      <c r="I34" s="42"/>
      <c r="J34" s="43"/>
      <c r="K34" s="44"/>
    </row>
    <row r="35" ht="14.25" customHeight="1" outlineLevel="1">
      <c r="A35" s="38">
        <v>25</v>
      </c>
      <c r="B35" s="39"/>
      <c r="C35" s="39"/>
      <c r="D35" s="39"/>
      <c r="E35" s="40"/>
      <c r="F35" s="41"/>
      <c r="G35" s="39"/>
      <c r="H35" s="42"/>
      <c r="I35" s="42"/>
      <c r="J35" s="43"/>
      <c r="K35" s="44"/>
    </row>
    <row r="36" ht="14.25" customHeight="1" outlineLevel="1">
      <c r="A36" s="38">
        <v>26</v>
      </c>
      <c r="B36" s="39"/>
      <c r="C36" s="39"/>
      <c r="D36" s="39"/>
      <c r="E36" s="40"/>
      <c r="F36" s="41"/>
      <c r="G36" s="39"/>
      <c r="H36" s="42"/>
      <c r="I36" s="42"/>
      <c r="J36" s="43"/>
      <c r="K36" s="44"/>
    </row>
    <row r="37" ht="14.25" customHeight="1" outlineLevel="1">
      <c r="A37" s="38">
        <v>27</v>
      </c>
      <c r="B37" s="39"/>
      <c r="C37" s="39"/>
      <c r="D37" s="39"/>
      <c r="E37" s="40"/>
      <c r="F37" s="41"/>
      <c r="G37" s="39"/>
      <c r="H37" s="42"/>
      <c r="I37" s="42"/>
      <c r="J37" s="43"/>
      <c r="K37" s="44"/>
    </row>
    <row r="38" ht="14.25" customHeight="1" outlineLevel="1">
      <c r="A38" s="38">
        <v>28</v>
      </c>
      <c r="B38" s="39"/>
      <c r="C38" s="39"/>
      <c r="D38" s="39"/>
      <c r="E38" s="40"/>
      <c r="F38" s="41"/>
      <c r="G38" s="39"/>
      <c r="H38" s="42"/>
      <c r="I38" s="42"/>
      <c r="J38" s="43"/>
      <c r="K38" s="44"/>
    </row>
    <row r="39" ht="14.25" customHeight="1" outlineLevel="1">
      <c r="A39" s="38">
        <v>29</v>
      </c>
      <c r="B39" s="39"/>
      <c r="C39" s="39"/>
      <c r="D39" s="39"/>
      <c r="E39" s="40"/>
      <c r="F39" s="41"/>
      <c r="G39" s="39"/>
      <c r="H39" s="42"/>
      <c r="I39" s="42"/>
      <c r="J39" s="43"/>
      <c r="K39" s="44"/>
    </row>
    <row r="40" ht="14.25" customHeight="1" outlineLevel="1">
      <c r="A40" s="38">
        <v>30</v>
      </c>
      <c r="B40" s="39"/>
      <c r="C40" s="39"/>
      <c r="D40" s="39"/>
      <c r="E40" s="40"/>
      <c r="F40" s="41"/>
      <c r="G40" s="39"/>
      <c r="H40" s="42"/>
      <c r="I40" s="42"/>
      <c r="J40" s="43"/>
      <c r="K40" s="44"/>
    </row>
    <row r="41" ht="14.25" customHeight="1" outlineLevel="1">
      <c r="A41" s="38">
        <v>31</v>
      </c>
      <c r="B41" s="39"/>
      <c r="C41" s="39"/>
      <c r="D41" s="39"/>
      <c r="E41" s="40"/>
      <c r="F41" s="41"/>
      <c r="G41" s="39"/>
      <c r="H41" s="42"/>
      <c r="I41" s="42"/>
      <c r="J41" s="43"/>
      <c r="K41" s="44"/>
    </row>
    <row r="42" ht="14.25" customHeight="1" outlineLevel="1">
      <c r="A42" s="38">
        <v>32</v>
      </c>
      <c r="B42" s="39"/>
      <c r="C42" s="39"/>
      <c r="D42" s="39"/>
      <c r="E42" s="40"/>
      <c r="F42" s="41"/>
      <c r="G42" s="39"/>
      <c r="H42" s="42"/>
      <c r="I42" s="42"/>
      <c r="J42" s="43"/>
      <c r="K42" s="44"/>
    </row>
    <row r="43" ht="14.25" customHeight="1" outlineLevel="1">
      <c r="A43" s="38">
        <v>33</v>
      </c>
      <c r="B43" s="39"/>
      <c r="C43" s="39"/>
      <c r="D43" s="39"/>
      <c r="E43" s="40"/>
      <c r="F43" s="41"/>
      <c r="G43" s="39"/>
      <c r="H43" s="42"/>
      <c r="I43" s="42"/>
      <c r="J43" s="43"/>
      <c r="K43" s="44"/>
    </row>
    <row r="44" ht="14.25" customHeight="1" outlineLevel="1">
      <c r="A44" s="38">
        <v>34</v>
      </c>
      <c r="B44" s="39"/>
      <c r="C44" s="39"/>
      <c r="D44" s="39"/>
      <c r="E44" s="40"/>
      <c r="F44" s="41"/>
      <c r="G44" s="39"/>
      <c r="H44" s="42"/>
      <c r="I44" s="42"/>
      <c r="J44" s="43"/>
      <c r="K44" s="44"/>
    </row>
    <row r="45" ht="14.25" customHeight="1" outlineLevel="1">
      <c r="A45" s="38">
        <v>35</v>
      </c>
      <c r="B45" s="39"/>
      <c r="C45" s="39"/>
      <c r="D45" s="39"/>
      <c r="E45" s="40"/>
      <c r="F45" s="41"/>
      <c r="G45" s="39"/>
      <c r="H45" s="42"/>
      <c r="I45" s="42"/>
      <c r="J45" s="43"/>
      <c r="K45" s="44"/>
    </row>
    <row r="46" ht="14.25" customHeight="1" outlineLevel="1">
      <c r="A46" s="38">
        <v>36</v>
      </c>
      <c r="B46" s="39"/>
      <c r="C46" s="39"/>
      <c r="D46" s="39"/>
      <c r="E46" s="40"/>
      <c r="F46" s="41"/>
      <c r="G46" s="39"/>
      <c r="H46" s="42"/>
      <c r="I46" s="42"/>
      <c r="J46" s="43"/>
      <c r="K46" s="44"/>
    </row>
    <row r="47" ht="14.25" customHeight="1" outlineLevel="1">
      <c r="A47" s="38">
        <v>37</v>
      </c>
      <c r="B47" s="39"/>
      <c r="C47" s="39"/>
      <c r="D47" s="39"/>
      <c r="E47" s="40"/>
      <c r="F47" s="41"/>
      <c r="G47" s="39"/>
      <c r="H47" s="42"/>
      <c r="I47" s="42"/>
      <c r="J47" s="43"/>
      <c r="K47" s="44"/>
    </row>
    <row r="48" ht="14.25" customHeight="1" outlineLevel="1">
      <c r="A48" s="38">
        <v>38</v>
      </c>
      <c r="B48" s="39"/>
      <c r="C48" s="39"/>
      <c r="D48" s="39"/>
      <c r="E48" s="40"/>
      <c r="F48" s="41"/>
      <c r="G48" s="39"/>
      <c r="H48" s="42"/>
      <c r="I48" s="42"/>
      <c r="J48" s="43"/>
      <c r="K48" s="44"/>
    </row>
    <row r="49" ht="14.25" customHeight="1" outlineLevel="1">
      <c r="A49" s="38">
        <v>39</v>
      </c>
      <c r="B49" s="39"/>
      <c r="C49" s="39"/>
      <c r="D49" s="39"/>
      <c r="E49" s="40"/>
      <c r="F49" s="41"/>
      <c r="G49" s="39"/>
      <c r="H49" s="42"/>
      <c r="I49" s="42"/>
      <c r="J49" s="43"/>
      <c r="K49" s="44"/>
    </row>
    <row r="50" ht="14.25" customHeight="1" outlineLevel="1">
      <c r="A50" s="38">
        <v>40</v>
      </c>
      <c r="B50" s="39"/>
      <c r="C50" s="39"/>
      <c r="D50" s="39"/>
      <c r="E50" s="40"/>
      <c r="F50" s="41"/>
      <c r="G50" s="39"/>
      <c r="H50" s="42"/>
      <c r="I50" s="42"/>
      <c r="J50" s="43"/>
      <c r="K50" s="44"/>
    </row>
    <row r="51" ht="14.25" customHeight="1" outlineLevel="1">
      <c r="A51" s="38">
        <v>41</v>
      </c>
      <c r="B51" s="39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customHeight="1" outlineLevel="1">
      <c r="A120" s="38">
        <v>110</v>
      </c>
      <c r="B120" s="59"/>
      <c r="C120" s="59"/>
      <c r="D120" s="59"/>
      <c r="E120" s="60"/>
      <c r="F120" s="61"/>
      <c r="G120" s="61"/>
      <c r="H120" s="59"/>
      <c r="I120" s="59"/>
      <c r="J120" s="57"/>
      <c r="K120" s="58"/>
    </row>
    <row r="121" s="21" customFormat="1" ht="18.75" customHeight="1" outlineLevel="1">
      <c r="A121" s="22"/>
      <c r="B121" s="23" t="s">
        <v>18</v>
      </c>
      <c r="C121" s="24"/>
      <c r="D121" s="25"/>
      <c r="E121" s="26"/>
      <c r="F121" s="23"/>
      <c r="G121" s="23"/>
      <c r="H121" s="23"/>
      <c r="I121" s="23"/>
      <c r="J121" s="23"/>
      <c r="K121" s="27"/>
    </row>
    <row r="122" ht="14.25" customHeight="1" outlineLevel="1">
      <c r="A122" s="62">
        <v>1</v>
      </c>
      <c r="B122" s="63"/>
      <c r="C122" s="63"/>
      <c r="D122" s="63"/>
      <c r="E122" s="64"/>
      <c r="F122" s="65"/>
      <c r="G122" s="59"/>
      <c r="H122" s="63"/>
      <c r="I122" s="59"/>
      <c r="J122" s="66"/>
      <c r="K122" s="67"/>
    </row>
    <row r="123" ht="14.25" customHeight="1" outlineLevel="1">
      <c r="A123" s="68">
        <v>2</v>
      </c>
      <c r="B123" s="59"/>
      <c r="C123" s="59"/>
      <c r="D123" s="59"/>
      <c r="E123" s="60"/>
      <c r="F123" s="61"/>
      <c r="G123" s="59"/>
      <c r="H123" s="59"/>
      <c r="I123" s="59"/>
      <c r="J123" s="57"/>
      <c r="K123" s="58"/>
    </row>
    <row r="124" ht="14.25" customHeight="1" outlineLevel="1">
      <c r="A124" s="68">
        <v>3</v>
      </c>
      <c r="B124" s="59"/>
      <c r="C124" s="59"/>
      <c r="D124" s="59"/>
      <c r="E124" s="60"/>
      <c r="F124" s="61"/>
      <c r="G124" s="5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customHeight="1" outlineLevel="1">
      <c r="A141" s="69">
        <v>20</v>
      </c>
      <c r="B141" s="70"/>
      <c r="C141" s="70"/>
      <c r="D141" s="70"/>
      <c r="E141" s="71"/>
      <c r="F141" s="72"/>
      <c r="G141" s="70"/>
      <c r="H141" s="70"/>
      <c r="I141" s="70"/>
      <c r="J141" s="73"/>
      <c r="K141" s="74"/>
    </row>
    <row r="142" s="21" customFormat="1" ht="18.75" customHeight="1" outlineLevel="1">
      <c r="A142" s="22"/>
      <c r="B142" s="23" t="s">
        <v>19</v>
      </c>
      <c r="C142" s="24"/>
      <c r="D142" s="25"/>
      <c r="E142" s="26"/>
      <c r="F142" s="23"/>
      <c r="G142" s="23"/>
      <c r="H142" s="23"/>
      <c r="I142" s="23"/>
      <c r="J142" s="23"/>
      <c r="K142" s="27"/>
    </row>
    <row r="143" ht="14.25" customHeight="1" outlineLevel="1">
      <c r="A143" s="62">
        <v>1</v>
      </c>
      <c r="B143" s="75"/>
      <c r="C143" s="75"/>
      <c r="D143" s="75"/>
      <c r="E143" s="40"/>
      <c r="F143" s="76"/>
      <c r="G143" s="63"/>
      <c r="H143" s="63"/>
      <c r="I143" s="63"/>
      <c r="J143" s="66"/>
      <c r="K143" s="67"/>
    </row>
    <row r="144" ht="14.25" customHeight="1" outlineLevel="1">
      <c r="A144" s="68">
        <v>2</v>
      </c>
      <c r="B144" s="59"/>
      <c r="C144" s="59"/>
      <c r="D144" s="59"/>
      <c r="E144" s="60"/>
      <c r="F144" s="61"/>
      <c r="G144" s="59"/>
      <c r="H144" s="59"/>
      <c r="I144" s="59"/>
      <c r="J144" s="57"/>
      <c r="K144" s="58"/>
    </row>
    <row r="145" ht="14.25" customHeight="1" outlineLevel="1">
      <c r="A145" s="68">
        <v>3</v>
      </c>
      <c r="B145" s="59"/>
      <c r="C145" s="59"/>
      <c r="D145" s="59"/>
      <c r="E145" s="60"/>
      <c r="F145" s="61"/>
      <c r="G145" s="59"/>
      <c r="H145" s="59"/>
      <c r="I145" s="59"/>
      <c r="J145" s="57"/>
      <c r="K145" s="58"/>
    </row>
    <row r="146" ht="14.25" customHeight="1" outlineLevel="1">
      <c r="A146" s="68">
        <v>4</v>
      </c>
      <c r="B146" s="59"/>
      <c r="C146" s="59"/>
      <c r="D146" s="59"/>
      <c r="E146" s="60"/>
      <c r="F146" s="61"/>
      <c r="G146" s="59"/>
      <c r="H146" s="59"/>
      <c r="I146" s="59"/>
      <c r="J146" s="57"/>
      <c r="K146" s="58"/>
    </row>
    <row r="147" ht="14.25" customHeight="1" outlineLevel="1">
      <c r="A147" s="77">
        <v>5</v>
      </c>
      <c r="B147" s="56"/>
      <c r="C147" s="56"/>
      <c r="D147" s="56"/>
      <c r="E147" s="78"/>
      <c r="F147" s="79"/>
      <c r="G147" s="56"/>
      <c r="H147" s="56"/>
      <c r="I147" s="56"/>
      <c r="J147" s="80"/>
      <c r="K147" s="81"/>
    </row>
    <row r="148" s="21" customFormat="1" ht="18.75" customHeight="1" outlineLevel="1">
      <c r="A148" s="22"/>
      <c r="B148" s="23" t="s">
        <v>20</v>
      </c>
      <c r="C148" s="24"/>
      <c r="D148" s="25"/>
      <c r="E148" s="26"/>
      <c r="F148" s="23"/>
      <c r="G148" s="23"/>
      <c r="H148" s="23"/>
      <c r="I148" s="23"/>
      <c r="J148" s="23"/>
      <c r="K148" s="27"/>
    </row>
    <row r="149" ht="14.25" customHeight="1" outlineLevel="1">
      <c r="A149" s="68">
        <v>1</v>
      </c>
      <c r="B149" s="63"/>
      <c r="C149" s="63"/>
      <c r="D149" s="63"/>
      <c r="E149" s="64"/>
      <c r="F149" s="65"/>
      <c r="G149" s="63"/>
      <c r="H149" s="63"/>
      <c r="I149" s="63"/>
      <c r="J149" s="66"/>
      <c r="K149" s="67"/>
    </row>
    <row r="150" ht="14.25" customHeight="1" outlineLevel="1">
      <c r="A150" s="68">
        <v>2</v>
      </c>
      <c r="B150" s="59"/>
      <c r="C150" s="59"/>
      <c r="D150" s="59"/>
      <c r="E150" s="60"/>
      <c r="F150" s="61"/>
      <c r="G150" s="59"/>
      <c r="H150" s="59"/>
      <c r="I150" s="59"/>
      <c r="J150" s="57"/>
      <c r="K150" s="58"/>
    </row>
    <row r="151" ht="14.25" customHeight="1" outlineLevel="1">
      <c r="A151" s="68">
        <v>3</v>
      </c>
      <c r="B151" s="56"/>
      <c r="C151" s="56"/>
      <c r="D151" s="56"/>
      <c r="E151" s="78"/>
      <c r="F151" s="79"/>
      <c r="G151" s="56"/>
      <c r="H151" s="56"/>
      <c r="I151" s="56"/>
      <c r="J151" s="80"/>
      <c r="K151" s="81"/>
    </row>
    <row r="152" ht="14.25" customHeight="1" outlineLevel="1">
      <c r="A152" s="68">
        <v>4</v>
      </c>
      <c r="B152" s="56"/>
      <c r="C152" s="56"/>
      <c r="D152" s="56"/>
      <c r="E152" s="78"/>
      <c r="F152" s="79"/>
      <c r="G152" s="56"/>
      <c r="H152" s="56"/>
      <c r="I152" s="56"/>
      <c r="J152" s="80"/>
      <c r="K152" s="81"/>
    </row>
    <row r="153" ht="14.25" customHeight="1" outlineLevel="1">
      <c r="A153" s="68">
        <v>5</v>
      </c>
      <c r="B153" s="56"/>
      <c r="C153" s="56"/>
      <c r="D153" s="56"/>
      <c r="E153" s="78"/>
      <c r="F153" s="79"/>
      <c r="G153" s="56"/>
      <c r="H153" s="56"/>
      <c r="I153" s="56"/>
      <c r="J153" s="80"/>
      <c r="K153" s="81"/>
    </row>
    <row r="154" ht="14.25" customHeight="1" outlineLevel="1">
      <c r="A154" s="68">
        <v>6</v>
      </c>
      <c r="B154" s="70"/>
      <c r="C154" s="70"/>
      <c r="D154" s="70"/>
      <c r="E154" s="71"/>
      <c r="F154" s="72"/>
      <c r="G154" s="70"/>
      <c r="H154" s="70"/>
      <c r="I154" s="70"/>
      <c r="J154" s="73"/>
      <c r="K154" s="74"/>
    </row>
    <row r="155" s="21" customFormat="1" ht="23.25" customHeight="1">
      <c r="A155" s="82" t="s">
        <v>21</v>
      </c>
      <c r="B155" s="83"/>
      <c r="C155" s="83"/>
      <c r="D155" s="84"/>
      <c r="E155" s="85">
        <f>SUM(E10:E154)</f>
        <v>1943121.8899999999</v>
      </c>
    </row>
    <row r="156" s="21" customFormat="1" ht="23.25" customHeight="1">
      <c r="A156" s="82" t="s">
        <v>22</v>
      </c>
      <c r="B156" s="83"/>
      <c r="C156" s="83"/>
      <c r="D156" s="84"/>
      <c r="E156" s="85">
        <f>E4-E155</f>
        <v>-1924681.75</v>
      </c>
      <c r="F156" s="86"/>
    </row>
    <row r="157" ht="27.75" customHeight="1"/>
    <row r="158" ht="29.25" customHeight="1">
      <c r="A158" s="9" t="s">
        <v>23</v>
      </c>
      <c r="B158" s="10"/>
      <c r="C158" s="10"/>
      <c r="D158" s="11"/>
      <c r="E158" s="12">
        <f>SUM(E159:E160)</f>
        <v>5932.7399999999998</v>
      </c>
      <c r="F158" s="163" t="s">
        <v>44</v>
      </c>
      <c r="G158" s="13"/>
      <c r="H158" s="13"/>
      <c r="I158" s="13"/>
    </row>
    <row r="159" ht="15" customHeight="1">
      <c r="A159" s="14"/>
      <c r="B159" s="15"/>
      <c r="C159" s="15"/>
      <c r="D159" s="16"/>
      <c r="E159" s="17"/>
      <c r="F159" s="13"/>
      <c r="G159" s="13"/>
      <c r="H159" s="13"/>
      <c r="I159" s="13"/>
    </row>
    <row r="160" ht="15" customHeight="1">
      <c r="A160" s="14" t="s">
        <v>24</v>
      </c>
      <c r="B160" s="15"/>
      <c r="C160" s="15"/>
      <c r="D160" s="16"/>
      <c r="E160" s="17">
        <v>5932.7399999999998</v>
      </c>
      <c r="F160" s="13"/>
      <c r="G160" s="13"/>
      <c r="H160" s="13"/>
      <c r="I160" s="13"/>
    </row>
    <row r="161" ht="6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26.25" customHeight="1" outlineLevel="1">
      <c r="A162" s="87" t="s">
        <v>6</v>
      </c>
      <c r="B162" s="87" t="s">
        <v>7</v>
      </c>
      <c r="C162" s="87" t="s">
        <v>8</v>
      </c>
      <c r="D162" s="87" t="s">
        <v>9</v>
      </c>
      <c r="E162" s="88" t="s">
        <v>10</v>
      </c>
      <c r="F162" s="87" t="s">
        <v>11</v>
      </c>
      <c r="G162" s="87" t="s">
        <v>12</v>
      </c>
      <c r="H162" s="89" t="s">
        <v>13</v>
      </c>
      <c r="I162" s="87" t="s">
        <v>14</v>
      </c>
      <c r="J162" s="87" t="s">
        <v>15</v>
      </c>
      <c r="K162" s="87" t="s">
        <v>16</v>
      </c>
    </row>
    <row r="163" s="21" customFormat="1" ht="20.25" customHeight="1" outlineLevel="1">
      <c r="A163" s="22"/>
      <c r="B163" s="23" t="s">
        <v>25</v>
      </c>
      <c r="C163" s="24"/>
      <c r="D163" s="25"/>
      <c r="E163" s="26"/>
      <c r="F163" s="23"/>
      <c r="G163" s="23"/>
      <c r="H163" s="23"/>
      <c r="I163" s="23"/>
      <c r="J163" s="23"/>
      <c r="K163" s="27"/>
    </row>
    <row r="164" ht="14.25" customHeight="1" outlineLevel="1">
      <c r="A164" s="62">
        <v>1</v>
      </c>
      <c r="B164" s="39"/>
      <c r="C164" s="39"/>
      <c r="D164" s="39"/>
      <c r="E164" s="45"/>
      <c r="F164" s="41"/>
      <c r="G164" s="39"/>
      <c r="H164" s="42"/>
      <c r="I164" s="59"/>
      <c r="J164" s="66"/>
      <c r="K164" s="67"/>
    </row>
    <row r="165" ht="14.25" customHeight="1" outlineLevel="1">
      <c r="A165" s="68">
        <v>2</v>
      </c>
      <c r="B165" s="39"/>
      <c r="C165" s="39"/>
      <c r="D165" s="39"/>
      <c r="E165" s="40"/>
      <c r="F165" s="41"/>
      <c r="G165" s="39"/>
      <c r="H165" s="42"/>
      <c r="I165" s="59"/>
      <c r="J165" s="57"/>
      <c r="K165" s="58"/>
    </row>
    <row r="166" ht="14.25" customHeight="1" outlineLevel="1">
      <c r="A166" s="68">
        <v>3</v>
      </c>
      <c r="B166" s="39"/>
      <c r="C166" s="39"/>
      <c r="D166" s="39"/>
      <c r="E166" s="40"/>
      <c r="F166" s="41"/>
      <c r="G166" s="39"/>
      <c r="H166" s="42"/>
      <c r="I166" s="59"/>
      <c r="J166" s="57"/>
      <c r="K166" s="58"/>
    </row>
    <row r="167" ht="14.25" customHeight="1" outlineLevel="1">
      <c r="A167" s="68">
        <v>4</v>
      </c>
      <c r="B167" s="39"/>
      <c r="C167" s="39"/>
      <c r="D167" s="39"/>
      <c r="E167" s="40"/>
      <c r="F167" s="41"/>
      <c r="G167" s="39"/>
      <c r="H167" s="42"/>
      <c r="I167" s="59"/>
      <c r="J167" s="57"/>
      <c r="K167" s="58"/>
    </row>
    <row r="168" ht="14.25" customHeight="1" outlineLevel="1">
      <c r="A168" s="68">
        <v>5</v>
      </c>
      <c r="B168" s="39"/>
      <c r="C168" s="39"/>
      <c r="D168" s="39"/>
      <c r="E168" s="40"/>
      <c r="F168" s="41"/>
      <c r="G168" s="39"/>
      <c r="H168" s="42"/>
      <c r="I168" s="59"/>
      <c r="J168" s="57"/>
      <c r="K168" s="58"/>
    </row>
    <row r="169" ht="14.25" customHeight="1" outlineLevel="1">
      <c r="A169" s="68">
        <v>6</v>
      </c>
      <c r="B169" s="39"/>
      <c r="C169" s="39"/>
      <c r="D169" s="39"/>
      <c r="E169" s="40"/>
      <c r="F169" s="41"/>
      <c r="G169" s="39"/>
      <c r="H169" s="42"/>
      <c r="I169" s="59"/>
      <c r="J169" s="57"/>
      <c r="K169" s="58"/>
    </row>
    <row r="170" ht="14.25" customHeight="1" outlineLevel="1">
      <c r="A170" s="68">
        <v>7</v>
      </c>
      <c r="B170" s="39"/>
      <c r="C170" s="39"/>
      <c r="D170" s="39"/>
      <c r="E170" s="40"/>
      <c r="F170" s="41"/>
      <c r="G170" s="39"/>
      <c r="H170" s="42"/>
      <c r="I170" s="59"/>
      <c r="J170" s="57"/>
      <c r="K170" s="58"/>
    </row>
    <row r="171" ht="14.25" customHeight="1" outlineLevel="1">
      <c r="A171" s="68">
        <v>8</v>
      </c>
      <c r="B171" s="39"/>
      <c r="C171" s="39"/>
      <c r="D171" s="39"/>
      <c r="E171" s="40"/>
      <c r="F171" s="41"/>
      <c r="G171" s="39"/>
      <c r="H171" s="42"/>
      <c r="I171" s="59"/>
      <c r="J171" s="57"/>
      <c r="K171" s="58"/>
    </row>
    <row r="172" ht="14.25" customHeight="1" outlineLevel="1">
      <c r="A172" s="68">
        <v>9</v>
      </c>
      <c r="B172" s="39"/>
      <c r="C172" s="39"/>
      <c r="D172" s="39"/>
      <c r="E172" s="40"/>
      <c r="F172" s="41"/>
      <c r="G172" s="39"/>
      <c r="H172" s="42"/>
      <c r="I172" s="59"/>
      <c r="J172" s="57"/>
      <c r="K172" s="58"/>
    </row>
    <row r="173" ht="14.25" customHeight="1" outlineLevel="1">
      <c r="A173" s="68">
        <v>10</v>
      </c>
      <c r="B173" s="39"/>
      <c r="C173" s="39"/>
      <c r="D173" s="39"/>
      <c r="E173" s="40"/>
      <c r="F173" s="41"/>
      <c r="G173" s="39"/>
      <c r="H173" s="42"/>
      <c r="I173" s="59"/>
      <c r="J173" s="57"/>
      <c r="K173" s="58"/>
    </row>
    <row r="174" ht="14.25" customHeight="1" outlineLevel="1">
      <c r="A174" s="68">
        <v>11</v>
      </c>
      <c r="B174" s="39"/>
      <c r="C174" s="39"/>
      <c r="D174" s="39"/>
      <c r="E174" s="40"/>
      <c r="F174" s="41"/>
      <c r="G174" s="39"/>
      <c r="H174" s="42"/>
      <c r="I174" s="59"/>
      <c r="J174" s="57"/>
      <c r="K174" s="58"/>
    </row>
    <row r="175" ht="14.25" customHeight="1" outlineLevel="1">
      <c r="A175" s="68">
        <v>12</v>
      </c>
      <c r="B175" s="39"/>
      <c r="C175" s="39"/>
      <c r="D175" s="39"/>
      <c r="E175" s="40"/>
      <c r="F175" s="41"/>
      <c r="G175" s="39"/>
      <c r="H175" s="42"/>
      <c r="I175" s="59"/>
      <c r="J175" s="57"/>
      <c r="K175" s="58"/>
    </row>
    <row r="176" ht="14.25" customHeight="1" outlineLevel="1">
      <c r="A176" s="68">
        <v>13</v>
      </c>
      <c r="B176" s="39"/>
      <c r="C176" s="39"/>
      <c r="D176" s="39"/>
      <c r="E176" s="40"/>
      <c r="F176" s="41"/>
      <c r="G176" s="39"/>
      <c r="H176" s="42"/>
      <c r="I176" s="59"/>
      <c r="J176" s="57"/>
      <c r="K176" s="58"/>
    </row>
    <row r="177" ht="14.25" customHeight="1" outlineLevel="1">
      <c r="A177" s="68">
        <v>14</v>
      </c>
      <c r="B177" s="39"/>
      <c r="C177" s="39"/>
      <c r="D177" s="39"/>
      <c r="E177" s="40"/>
      <c r="F177" s="41"/>
      <c r="G177" s="39"/>
      <c r="H177" s="42"/>
      <c r="I177" s="59"/>
      <c r="J177" s="57"/>
      <c r="K177" s="58"/>
    </row>
    <row r="178" ht="14.25" customHeight="1" outlineLevel="1">
      <c r="A178" s="68">
        <v>15</v>
      </c>
      <c r="B178" s="39"/>
      <c r="C178" s="39"/>
      <c r="D178" s="39"/>
      <c r="E178" s="40"/>
      <c r="F178" s="41"/>
      <c r="G178" s="39"/>
      <c r="H178" s="42"/>
      <c r="I178" s="59"/>
      <c r="J178" s="57"/>
      <c r="K178" s="58"/>
    </row>
    <row r="179" ht="14.25" customHeight="1" outlineLevel="1">
      <c r="A179" s="68">
        <v>16</v>
      </c>
      <c r="B179" s="39"/>
      <c r="C179" s="39"/>
      <c r="D179" s="39"/>
      <c r="E179" s="45"/>
      <c r="F179" s="41"/>
      <c r="G179" s="39"/>
      <c r="H179" s="42"/>
      <c r="I179" s="59"/>
      <c r="J179" s="57"/>
      <c r="K179" s="58"/>
    </row>
    <row r="180" ht="14.25" customHeight="1" outlineLevel="1">
      <c r="A180" s="68">
        <v>17</v>
      </c>
      <c r="B180" s="39"/>
      <c r="C180" s="39"/>
      <c r="D180" s="39"/>
      <c r="E180" s="45"/>
      <c r="F180" s="41"/>
      <c r="G180" s="39"/>
      <c r="H180" s="42"/>
      <c r="I180" s="59"/>
      <c r="J180" s="57"/>
      <c r="K180" s="58"/>
    </row>
    <row r="181" ht="14.25" customHeight="1" outlineLevel="1">
      <c r="A181" s="68">
        <v>18</v>
      </c>
      <c r="B181" s="90"/>
      <c r="C181" s="90"/>
      <c r="D181" s="91"/>
      <c r="E181" s="92"/>
      <c r="F181" s="91"/>
      <c r="G181" s="42"/>
      <c r="H181" s="42"/>
      <c r="I181" s="59"/>
      <c r="J181" s="57"/>
      <c r="K181" s="58"/>
    </row>
    <row r="182" ht="14.25" customHeight="1" outlineLevel="1">
      <c r="A182" s="68">
        <v>19</v>
      </c>
      <c r="B182" s="42"/>
      <c r="C182" s="42"/>
      <c r="D182" s="42"/>
      <c r="E182" s="93"/>
      <c r="F182" s="94"/>
      <c r="G182" s="42"/>
      <c r="H182" s="42"/>
      <c r="I182" s="59"/>
      <c r="J182" s="57"/>
      <c r="K182" s="58"/>
    </row>
    <row r="183" ht="14.25" customHeight="1" outlineLevel="1">
      <c r="A183" s="68">
        <v>20</v>
      </c>
      <c r="B183" s="42"/>
      <c r="C183" s="42"/>
      <c r="D183" s="42"/>
      <c r="E183" s="93"/>
      <c r="F183" s="94"/>
      <c r="G183" s="42"/>
      <c r="H183" s="42"/>
      <c r="I183" s="59"/>
      <c r="J183" s="57"/>
      <c r="K183" s="58"/>
    </row>
    <row r="184" ht="14.25" customHeight="1" outlineLevel="1">
      <c r="A184" s="68">
        <v>21</v>
      </c>
      <c r="B184" s="95"/>
      <c r="C184" s="95"/>
      <c r="D184" s="95"/>
      <c r="E184" s="96"/>
      <c r="F184" s="97"/>
      <c r="G184" s="42"/>
      <c r="H184" s="95"/>
      <c r="I184" s="98"/>
      <c r="J184" s="57"/>
      <c r="K184" s="58"/>
    </row>
    <row r="185" ht="14.25" customHeight="1" outlineLevel="1">
      <c r="A185" s="68">
        <v>22</v>
      </c>
      <c r="B185" s="95"/>
      <c r="C185" s="95"/>
      <c r="D185" s="95"/>
      <c r="E185" s="96"/>
      <c r="F185" s="97"/>
      <c r="G185" s="42"/>
      <c r="H185" s="95"/>
      <c r="I185" s="98"/>
      <c r="J185" s="57"/>
      <c r="K185" s="58"/>
    </row>
    <row r="186" ht="14.25" customHeight="1" outlineLevel="1">
      <c r="A186" s="68">
        <v>23</v>
      </c>
      <c r="B186" s="99"/>
      <c r="C186" s="99"/>
      <c r="D186" s="99"/>
      <c r="E186" s="100"/>
      <c r="F186" s="101"/>
      <c r="G186" s="59"/>
      <c r="H186" s="99"/>
      <c r="I186" s="98"/>
      <c r="J186" s="57"/>
      <c r="K186" s="58"/>
    </row>
    <row r="187" ht="14.25" customHeight="1" outlineLevel="1">
      <c r="A187" s="68">
        <v>24</v>
      </c>
      <c r="B187" s="99"/>
      <c r="C187" s="99"/>
      <c r="D187" s="99"/>
      <c r="E187" s="100"/>
      <c r="F187" s="101"/>
      <c r="G187" s="59"/>
      <c r="H187" s="99"/>
      <c r="I187" s="98"/>
      <c r="J187" s="57"/>
      <c r="K187" s="58"/>
    </row>
    <row r="188" ht="14.25" customHeight="1" outlineLevel="1">
      <c r="A188" s="68">
        <v>25</v>
      </c>
      <c r="B188" s="99"/>
      <c r="C188" s="99"/>
      <c r="D188" s="99"/>
      <c r="E188" s="100"/>
      <c r="F188" s="101"/>
      <c r="G188" s="59"/>
      <c r="H188" s="99"/>
      <c r="I188" s="98"/>
      <c r="J188" s="57"/>
      <c r="K188" s="58"/>
    </row>
    <row r="189" s="21" customFormat="1" ht="20.25" customHeight="1" outlineLevel="1">
      <c r="A189" s="22"/>
      <c r="B189" s="23" t="s">
        <v>26</v>
      </c>
      <c r="C189" s="24"/>
      <c r="D189" s="25"/>
      <c r="E189" s="26"/>
      <c r="F189" s="23"/>
      <c r="G189" s="23"/>
      <c r="H189" s="23"/>
      <c r="I189" s="23"/>
      <c r="J189" s="23"/>
      <c r="K189" s="27"/>
    </row>
    <row r="190" ht="14.25" customHeight="1" outlineLevel="1">
      <c r="A190" s="62">
        <v>1</v>
      </c>
      <c r="B190" s="63"/>
      <c r="C190" s="63"/>
      <c r="D190" s="63"/>
      <c r="E190" s="64"/>
      <c r="F190" s="65"/>
      <c r="G190" s="63"/>
      <c r="H190" s="63"/>
      <c r="I190" s="102"/>
      <c r="J190" s="66"/>
      <c r="K190" s="67"/>
    </row>
    <row r="191" ht="14.25" customHeight="1" outlineLevel="1">
      <c r="A191" s="68">
        <v>2</v>
      </c>
      <c r="B191" s="99"/>
      <c r="C191" s="99"/>
      <c r="D191" s="99"/>
      <c r="E191" s="60"/>
      <c r="F191" s="61"/>
      <c r="G191" s="59"/>
      <c r="H191" s="59"/>
      <c r="I191" s="59"/>
      <c r="J191" s="57"/>
      <c r="K191" s="58"/>
    </row>
    <row r="192" ht="14.25" customHeight="1" outlineLevel="1">
      <c r="A192" s="68">
        <v>3</v>
      </c>
      <c r="B192" s="56"/>
      <c r="C192" s="56"/>
      <c r="D192" s="56"/>
      <c r="E192" s="78"/>
      <c r="F192" s="79"/>
      <c r="G192" s="59"/>
      <c r="H192" s="59"/>
      <c r="I192" s="59"/>
      <c r="J192" s="57"/>
      <c r="K192" s="58"/>
    </row>
    <row r="193" ht="14.25" customHeight="1" outlineLevel="1">
      <c r="A193" s="68">
        <v>4</v>
      </c>
      <c r="B193" s="59"/>
      <c r="C193" s="59"/>
      <c r="D193" s="59"/>
      <c r="E193" s="60"/>
      <c r="F193" s="61"/>
      <c r="G193" s="59"/>
      <c r="H193" s="59"/>
      <c r="I193" s="59"/>
      <c r="J193" s="57"/>
      <c r="K193" s="58"/>
    </row>
    <row r="194" ht="14.25" customHeight="1" outlineLevel="1">
      <c r="A194" s="69">
        <v>5</v>
      </c>
      <c r="B194" s="70"/>
      <c r="C194" s="70"/>
      <c r="D194" s="70"/>
      <c r="E194" s="71"/>
      <c r="F194" s="72"/>
      <c r="G194" s="70"/>
      <c r="H194" s="70"/>
      <c r="I194" s="70"/>
      <c r="J194" s="73"/>
      <c r="K194" s="74"/>
    </row>
    <row r="195" s="21" customFormat="1" ht="20.25" customHeight="1" outlineLevel="1">
      <c r="A195" s="22"/>
      <c r="B195" s="23" t="s">
        <v>19</v>
      </c>
      <c r="C195" s="24"/>
      <c r="D195" s="25"/>
      <c r="E195" s="26"/>
      <c r="F195" s="23"/>
      <c r="G195" s="23"/>
      <c r="H195" s="23"/>
      <c r="I195" s="23"/>
      <c r="J195" s="23"/>
      <c r="K195" s="27"/>
    </row>
    <row r="196" ht="14.25" customHeight="1" outlineLevel="1">
      <c r="A196" s="62">
        <v>1</v>
      </c>
      <c r="B196" s="99"/>
      <c r="C196" s="99"/>
      <c r="D196" s="65"/>
      <c r="E196" s="64"/>
      <c r="F196" s="65"/>
      <c r="G196" s="63"/>
      <c r="H196" s="63"/>
      <c r="I196" s="59"/>
      <c r="J196" s="66"/>
      <c r="K196" s="67"/>
    </row>
    <row r="197" ht="14.25" customHeight="1" outlineLevel="1">
      <c r="A197" s="68">
        <v>2</v>
      </c>
      <c r="B197" s="99"/>
      <c r="C197" s="99"/>
      <c r="D197" s="99"/>
      <c r="E197" s="60"/>
      <c r="F197" s="61"/>
      <c r="G197" s="59"/>
      <c r="H197" s="59"/>
      <c r="I197" s="59"/>
      <c r="J197" s="57"/>
      <c r="K197" s="58"/>
    </row>
    <row r="198" ht="14.25" customHeight="1" outlineLevel="1">
      <c r="A198" s="68">
        <v>3</v>
      </c>
      <c r="B198" s="99"/>
      <c r="C198" s="99"/>
      <c r="D198" s="99"/>
      <c r="E198" s="60"/>
      <c r="F198" s="61"/>
      <c r="G198" s="59"/>
      <c r="H198" s="59"/>
      <c r="I198" s="59"/>
      <c r="J198" s="57"/>
      <c r="K198" s="58"/>
    </row>
    <row r="199" ht="14.25" customHeight="1" outlineLevel="1">
      <c r="A199" s="68">
        <v>4</v>
      </c>
      <c r="B199" s="59"/>
      <c r="C199" s="59"/>
      <c r="D199" s="59"/>
      <c r="E199" s="60"/>
      <c r="F199" s="61"/>
      <c r="G199" s="59"/>
      <c r="H199" s="59"/>
      <c r="I199" s="59"/>
      <c r="J199" s="57"/>
      <c r="K199" s="58"/>
    </row>
    <row r="200" ht="14.25" customHeight="1" outlineLevel="1">
      <c r="A200" s="69">
        <v>5</v>
      </c>
      <c r="B200" s="70"/>
      <c r="C200" s="70"/>
      <c r="D200" s="70"/>
      <c r="E200" s="71"/>
      <c r="F200" s="72"/>
      <c r="G200" s="70"/>
      <c r="H200" s="70"/>
      <c r="I200" s="70"/>
      <c r="J200" s="73"/>
      <c r="K200" s="74"/>
    </row>
    <row r="201" s="21" customFormat="1" ht="23.25" customHeight="1">
      <c r="A201" s="82" t="s">
        <v>27</v>
      </c>
      <c r="B201" s="83"/>
      <c r="C201" s="83"/>
      <c r="D201" s="103"/>
      <c r="E201" s="104">
        <f>SUM(E163:E200)</f>
        <v>0</v>
      </c>
    </row>
    <row r="202" s="21" customFormat="1" ht="23.25" customHeight="1">
      <c r="A202" s="82" t="s">
        <v>22</v>
      </c>
      <c r="B202" s="83"/>
      <c r="C202" s="83"/>
      <c r="D202" s="103"/>
      <c r="E202" s="104">
        <f>E158-E201</f>
        <v>5932.7399999999998</v>
      </c>
      <c r="F202" s="86"/>
    </row>
    <row r="203" ht="28.5" customHeight="1"/>
    <row r="204" ht="30.75" customHeight="1">
      <c r="A204" s="9" t="s">
        <v>28</v>
      </c>
      <c r="B204" s="10"/>
      <c r="C204" s="10"/>
      <c r="D204" s="11"/>
      <c r="E204" s="12">
        <f>SUM(E205:E205)</f>
        <v>5242</v>
      </c>
      <c r="F204" s="163" t="s">
        <v>44</v>
      </c>
      <c r="G204" s="13"/>
      <c r="H204" s="13"/>
      <c r="I204" s="13"/>
    </row>
    <row r="205" ht="15" customHeight="1">
      <c r="A205" s="105" t="s">
        <v>29</v>
      </c>
      <c r="B205" s="15"/>
      <c r="C205" s="15"/>
      <c r="D205" s="16"/>
      <c r="E205" s="17">
        <v>5242</v>
      </c>
      <c r="F205" s="13"/>
      <c r="G205" s="13"/>
      <c r="H205" s="13"/>
      <c r="I205" s="13"/>
    </row>
    <row r="206" ht="5.2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25.5" customHeight="1" outlineLevel="1">
      <c r="A207" s="87" t="s">
        <v>6</v>
      </c>
      <c r="B207" s="87" t="s">
        <v>7</v>
      </c>
      <c r="C207" s="87" t="s">
        <v>8</v>
      </c>
      <c r="D207" s="87" t="s">
        <v>9</v>
      </c>
      <c r="E207" s="88" t="s">
        <v>10</v>
      </c>
      <c r="F207" s="87" t="s">
        <v>11</v>
      </c>
      <c r="G207" s="87" t="s">
        <v>12</v>
      </c>
      <c r="H207" s="89" t="s">
        <v>13</v>
      </c>
      <c r="I207" s="87" t="s">
        <v>14</v>
      </c>
      <c r="J207" s="87" t="s">
        <v>15</v>
      </c>
      <c r="K207" s="87" t="s">
        <v>16</v>
      </c>
    </row>
    <row r="208" s="21" customFormat="1" ht="18.75" customHeight="1" outlineLevel="1">
      <c r="A208" s="22"/>
      <c r="B208" s="23" t="s">
        <v>30</v>
      </c>
      <c r="C208" s="24"/>
      <c r="D208" s="25"/>
      <c r="E208" s="26"/>
      <c r="F208" s="23"/>
      <c r="G208" s="23"/>
      <c r="H208" s="23"/>
      <c r="I208" s="23"/>
      <c r="J208" s="23"/>
      <c r="K208" s="27"/>
    </row>
    <row r="209" ht="14.25" customHeight="1" outlineLevel="1">
      <c r="A209" s="62">
        <v>1</v>
      </c>
      <c r="B209" s="63"/>
      <c r="C209" s="63"/>
      <c r="D209" s="63"/>
      <c r="E209" s="64"/>
      <c r="F209" s="65"/>
      <c r="G209" s="63"/>
      <c r="H209" s="63"/>
      <c r="I209" s="63"/>
      <c r="J209" s="66"/>
      <c r="K209" s="67"/>
    </row>
    <row r="210" ht="14.25" customHeight="1" outlineLevel="1">
      <c r="A210" s="68">
        <v>2</v>
      </c>
      <c r="B210" s="59"/>
      <c r="C210" s="59"/>
      <c r="D210" s="59"/>
      <c r="E210" s="60"/>
      <c r="F210" s="61"/>
      <c r="G210" s="59"/>
      <c r="H210" s="59"/>
      <c r="I210" s="59"/>
      <c r="J210" s="57"/>
      <c r="K210" s="58"/>
    </row>
    <row r="211" ht="14.25" customHeight="1" outlineLevel="1">
      <c r="A211" s="68">
        <v>3</v>
      </c>
      <c r="B211" s="59"/>
      <c r="C211" s="59"/>
      <c r="D211" s="59"/>
      <c r="E211" s="60"/>
      <c r="F211" s="61"/>
      <c r="G211" s="59"/>
      <c r="H211" s="59"/>
      <c r="I211" s="59"/>
      <c r="J211" s="57"/>
      <c r="K211" s="58"/>
    </row>
    <row r="212" ht="14.25" customHeight="1" outlineLevel="1">
      <c r="A212" s="68">
        <v>4</v>
      </c>
      <c r="B212" s="59"/>
      <c r="C212" s="59"/>
      <c r="D212" s="59"/>
      <c r="E212" s="60"/>
      <c r="F212" s="61"/>
      <c r="G212" s="59"/>
      <c r="H212" s="59"/>
      <c r="I212" s="59"/>
      <c r="J212" s="57"/>
      <c r="K212" s="58"/>
    </row>
    <row r="213" ht="14.25" customHeight="1" outlineLevel="1">
      <c r="A213" s="68">
        <v>5</v>
      </c>
      <c r="B213" s="59"/>
      <c r="C213" s="59"/>
      <c r="D213" s="5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6</v>
      </c>
      <c r="B214" s="59"/>
      <c r="C214" s="59"/>
      <c r="D214" s="5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7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5.75" customHeight="1" outlineLevel="1">
      <c r="A216" s="68">
        <v>8</v>
      </c>
      <c r="B216" s="59"/>
      <c r="C216" s="59"/>
      <c r="D216" s="59"/>
      <c r="E216" s="60"/>
      <c r="F216" s="61"/>
      <c r="G216" s="59"/>
      <c r="H216" s="59"/>
      <c r="I216" s="59"/>
      <c r="J216" s="57"/>
      <c r="K216" s="58"/>
    </row>
    <row r="217" ht="15.75" customHeight="1" outlineLevel="1">
      <c r="A217" s="68">
        <v>9</v>
      </c>
      <c r="B217" s="59"/>
      <c r="C217" s="59"/>
      <c r="D217" s="59"/>
      <c r="E217" s="60"/>
      <c r="F217" s="61"/>
      <c r="G217" s="59"/>
      <c r="H217" s="59"/>
      <c r="I217" s="59"/>
      <c r="J217" s="57"/>
      <c r="K217" s="58"/>
    </row>
    <row r="218" ht="15.75" customHeight="1" outlineLevel="1">
      <c r="A218" s="68">
        <v>10</v>
      </c>
      <c r="B218" s="59"/>
      <c r="C218" s="59"/>
      <c r="D218" s="59"/>
      <c r="E218" s="60"/>
      <c r="F218" s="61"/>
      <c r="G218" s="59"/>
      <c r="H218" s="59"/>
      <c r="I218" s="59"/>
      <c r="J218" s="57"/>
      <c r="K218" s="58"/>
    </row>
    <row r="219" ht="15.75" customHeight="1" outlineLevel="1">
      <c r="A219" s="68">
        <v>11</v>
      </c>
      <c r="B219" s="59"/>
      <c r="C219" s="59"/>
      <c r="D219" s="59"/>
      <c r="E219" s="60"/>
      <c r="F219" s="61"/>
      <c r="G219" s="59"/>
      <c r="H219" s="59"/>
      <c r="I219" s="59"/>
      <c r="J219" s="57"/>
      <c r="K219" s="58"/>
    </row>
    <row r="220" ht="15.75" customHeight="1" outlineLevel="1">
      <c r="A220" s="68">
        <v>12</v>
      </c>
      <c r="B220" s="59"/>
      <c r="C220" s="59"/>
      <c r="D220" s="59"/>
      <c r="E220" s="60"/>
      <c r="F220" s="61"/>
      <c r="G220" s="59"/>
      <c r="H220" s="59"/>
      <c r="I220" s="59"/>
      <c r="J220" s="57"/>
      <c r="K220" s="58"/>
    </row>
    <row r="221" ht="15.75" customHeight="1" outlineLevel="1">
      <c r="A221" s="68">
        <v>13</v>
      </c>
      <c r="B221" s="59"/>
      <c r="C221" s="59"/>
      <c r="D221" s="59"/>
      <c r="E221" s="60"/>
      <c r="F221" s="61"/>
      <c r="G221" s="59"/>
      <c r="H221" s="59"/>
      <c r="I221" s="59"/>
      <c r="J221" s="57"/>
      <c r="K221" s="58"/>
    </row>
    <row r="222" ht="15.75" customHeight="1" outlineLevel="1">
      <c r="A222" s="68">
        <v>14</v>
      </c>
      <c r="B222" s="59"/>
      <c r="C222" s="59"/>
      <c r="D222" s="59"/>
      <c r="E222" s="60"/>
      <c r="F222" s="61"/>
      <c r="G222" s="59"/>
      <c r="H222" s="59"/>
      <c r="I222" s="59"/>
      <c r="J222" s="57"/>
      <c r="K222" s="58"/>
    </row>
    <row r="223" ht="15.75" customHeight="1" outlineLevel="1">
      <c r="A223" s="69">
        <v>15</v>
      </c>
      <c r="B223" s="70"/>
      <c r="C223" s="70"/>
      <c r="D223" s="70"/>
      <c r="E223" s="71"/>
      <c r="F223" s="72"/>
      <c r="G223" s="70"/>
      <c r="H223" s="70"/>
      <c r="I223" s="70"/>
      <c r="J223" s="73"/>
      <c r="K223" s="74"/>
    </row>
    <row r="224" s="21" customFormat="1" ht="21.75" customHeight="1">
      <c r="A224" s="82" t="s">
        <v>31</v>
      </c>
      <c r="B224" s="83"/>
      <c r="C224" s="83"/>
      <c r="D224" s="103"/>
      <c r="E224" s="104">
        <f>SUM(E208:E223)</f>
        <v>0</v>
      </c>
    </row>
    <row r="225" s="21" customFormat="1" ht="21.75" customHeight="1">
      <c r="A225" s="82" t="s">
        <v>22</v>
      </c>
      <c r="B225" s="83"/>
      <c r="C225" s="83"/>
      <c r="D225" s="103"/>
      <c r="E225" s="104">
        <f>E204-E224</f>
        <v>5242</v>
      </c>
      <c r="F225" s="86"/>
    </row>
    <row r="226" ht="15.75"/>
    <row r="227" ht="25.5" customHeight="1">
      <c r="A227" s="9" t="s">
        <v>32</v>
      </c>
      <c r="B227" s="10"/>
      <c r="C227" s="10"/>
      <c r="D227" s="11"/>
      <c r="E227" s="12">
        <f>SUM(E228:E229)</f>
        <v>12476.190000000001</v>
      </c>
      <c r="F227" s="163" t="s">
        <v>44</v>
      </c>
      <c r="G227" s="13"/>
      <c r="H227" s="13"/>
      <c r="I227" s="13"/>
    </row>
    <row r="228" ht="15.75">
      <c r="A228" s="14" t="s">
        <v>33</v>
      </c>
      <c r="B228" s="15"/>
      <c r="C228" s="15"/>
      <c r="D228" s="16"/>
      <c r="E228" s="17">
        <v>9132.9500000000007</v>
      </c>
      <c r="F228" s="13"/>
      <c r="G228" s="13"/>
      <c r="H228" s="13"/>
      <c r="I228" s="13"/>
    </row>
    <row r="229" ht="15.75">
      <c r="A229" s="14" t="s">
        <v>34</v>
      </c>
      <c r="B229" s="15"/>
      <c r="C229" s="15"/>
      <c r="D229" s="16"/>
      <c r="E229" s="17">
        <v>3343.2399999999998</v>
      </c>
      <c r="F229" s="13"/>
      <c r="G229" s="13"/>
      <c r="H229" s="13"/>
      <c r="I229" s="13"/>
    </row>
    <row r="230" ht="15.75">
      <c r="A230" s="13"/>
      <c r="B230" s="13"/>
      <c r="C230" s="13"/>
      <c r="D230" s="13"/>
      <c r="E230" s="13"/>
      <c r="F230" s="13"/>
      <c r="G230" s="13"/>
      <c r="H230" s="13"/>
      <c r="I230" s="13"/>
    </row>
    <row r="231" ht="22.5">
      <c r="A231" s="87" t="s">
        <v>6</v>
      </c>
      <c r="B231" s="87" t="s">
        <v>7</v>
      </c>
      <c r="C231" s="87" t="s">
        <v>8</v>
      </c>
      <c r="D231" s="87" t="s">
        <v>9</v>
      </c>
      <c r="E231" s="88" t="s">
        <v>10</v>
      </c>
      <c r="F231" s="87" t="s">
        <v>11</v>
      </c>
      <c r="G231" s="87" t="s">
        <v>12</v>
      </c>
      <c r="H231" s="89" t="s">
        <v>13</v>
      </c>
      <c r="I231" s="87" t="s">
        <v>14</v>
      </c>
      <c r="J231" s="87" t="s">
        <v>15</v>
      </c>
      <c r="K231" s="87" t="s">
        <v>16</v>
      </c>
    </row>
    <row r="232" ht="15.75">
      <c r="A232" s="22"/>
      <c r="B232" s="23" t="s">
        <v>25</v>
      </c>
      <c r="C232" s="24"/>
      <c r="D232" s="25"/>
      <c r="E232" s="26"/>
      <c r="F232" s="23"/>
      <c r="G232" s="23"/>
      <c r="H232" s="23"/>
      <c r="I232" s="23"/>
      <c r="J232" s="23"/>
      <c r="K232" s="27"/>
    </row>
    <row r="233">
      <c r="A233" s="68">
        <v>1</v>
      </c>
      <c r="B233" s="106"/>
      <c r="C233" s="106"/>
      <c r="D233" s="107"/>
      <c r="E233" s="92"/>
      <c r="F233" s="107"/>
      <c r="G233" s="42"/>
      <c r="H233" s="42"/>
      <c r="I233" s="42" t="s">
        <v>35</v>
      </c>
      <c r="J233" s="57"/>
      <c r="K233" s="58"/>
    </row>
    <row r="234">
      <c r="A234" s="68">
        <v>2</v>
      </c>
      <c r="B234" s="106"/>
      <c r="C234" s="106"/>
      <c r="D234" s="107"/>
      <c r="E234" s="93"/>
      <c r="F234" s="107"/>
      <c r="G234" s="59"/>
      <c r="H234" s="59"/>
      <c r="I234" s="42"/>
      <c r="J234" s="57"/>
      <c r="K234" s="58"/>
    </row>
    <row r="235">
      <c r="A235" s="68">
        <v>3</v>
      </c>
      <c r="B235" s="108"/>
      <c r="C235" s="109"/>
      <c r="D235" s="110"/>
      <c r="E235" s="111"/>
      <c r="F235" s="110"/>
      <c r="G235" s="112"/>
      <c r="H235" s="113"/>
      <c r="I235" s="35"/>
      <c r="J235" s="114"/>
      <c r="K235" s="115"/>
    </row>
    <row r="236">
      <c r="A236" s="68">
        <v>4</v>
      </c>
      <c r="B236" s="108"/>
      <c r="C236" s="109"/>
      <c r="D236" s="110"/>
      <c r="E236" s="111"/>
      <c r="F236" s="110"/>
      <c r="G236" s="112"/>
      <c r="H236" s="113"/>
      <c r="I236" s="35"/>
      <c r="J236" s="114"/>
      <c r="K236" s="116"/>
    </row>
    <row r="237">
      <c r="A237" s="68">
        <v>5</v>
      </c>
      <c r="B237" s="42"/>
      <c r="C237" s="42"/>
      <c r="D237" s="42"/>
      <c r="E237" s="93"/>
      <c r="F237" s="94"/>
      <c r="G237" s="42"/>
      <c r="H237" s="42"/>
      <c r="I237" s="42"/>
      <c r="J237" s="43"/>
      <c r="K237" s="44"/>
    </row>
    <row r="238">
      <c r="A238" s="68">
        <v>6</v>
      </c>
      <c r="B238" s="43"/>
      <c r="C238" s="43"/>
      <c r="D238" s="43"/>
      <c r="E238" s="43"/>
      <c r="F238" s="43"/>
      <c r="G238" s="43"/>
      <c r="H238" s="42"/>
      <c r="I238" s="42"/>
      <c r="J238" s="43"/>
      <c r="K238" s="44"/>
    </row>
    <row r="239">
      <c r="A239" s="68">
        <v>7</v>
      </c>
      <c r="B239" s="43"/>
      <c r="C239" s="43"/>
      <c r="D239" s="43"/>
      <c r="E239" s="43"/>
      <c r="F239" s="43"/>
      <c r="G239" s="43"/>
      <c r="H239" s="42"/>
      <c r="I239" s="42"/>
      <c r="J239" s="43"/>
      <c r="K239" s="44"/>
    </row>
    <row r="240">
      <c r="A240" s="68">
        <v>8</v>
      </c>
      <c r="B240" s="42"/>
      <c r="C240" s="94"/>
      <c r="D240" s="94"/>
      <c r="E240" s="93"/>
      <c r="F240" s="94"/>
      <c r="G240" s="42"/>
      <c r="H240" s="42"/>
      <c r="I240" s="42"/>
      <c r="J240" s="43"/>
      <c r="K240" s="44"/>
    </row>
    <row r="241">
      <c r="A241" s="68">
        <v>9</v>
      </c>
      <c r="B241" s="42"/>
      <c r="C241" s="94"/>
      <c r="D241" s="94"/>
      <c r="E241" s="93"/>
      <c r="F241" s="94"/>
      <c r="G241" s="42"/>
      <c r="H241" s="42"/>
      <c r="I241" s="42"/>
      <c r="J241" s="43"/>
      <c r="K241" s="44"/>
    </row>
    <row r="242">
      <c r="A242" s="68">
        <v>10</v>
      </c>
      <c r="B242" s="42"/>
      <c r="C242" s="94"/>
      <c r="D242" s="94"/>
      <c r="E242" s="93"/>
      <c r="F242" s="94"/>
      <c r="G242" s="42"/>
      <c r="H242" s="42"/>
      <c r="I242" s="42"/>
      <c r="J242" s="43"/>
      <c r="K242" s="44"/>
    </row>
    <row r="243">
      <c r="A243" s="68">
        <v>11</v>
      </c>
      <c r="B243" s="42"/>
      <c r="C243" s="94"/>
      <c r="D243" s="94"/>
      <c r="E243" s="93"/>
      <c r="F243" s="94"/>
      <c r="G243" s="42"/>
      <c r="H243" s="42"/>
      <c r="I243" s="42"/>
      <c r="J243" s="43"/>
      <c r="K243" s="44"/>
    </row>
    <row r="244">
      <c r="A244" s="68">
        <v>12</v>
      </c>
      <c r="B244" s="59"/>
      <c r="C244" s="61"/>
      <c r="D244" s="61"/>
      <c r="E244" s="93"/>
      <c r="F244" s="61"/>
      <c r="G244" s="59"/>
      <c r="H244" s="59"/>
      <c r="I244" s="42"/>
      <c r="J244" s="57"/>
      <c r="K244" s="58"/>
    </row>
    <row r="245">
      <c r="A245" s="68">
        <v>13</v>
      </c>
      <c r="B245" s="59"/>
      <c r="C245" s="61"/>
      <c r="D245" s="61"/>
      <c r="E245" s="93"/>
      <c r="F245" s="61"/>
      <c r="G245" s="59"/>
      <c r="H245" s="59"/>
      <c r="I245" s="42"/>
      <c r="J245" s="57"/>
      <c r="K245" s="58"/>
    </row>
    <row r="246">
      <c r="A246" s="68">
        <v>14</v>
      </c>
      <c r="B246" s="59"/>
      <c r="C246" s="61"/>
      <c r="D246" s="61"/>
      <c r="E246" s="93"/>
      <c r="F246" s="61"/>
      <c r="G246" s="59"/>
      <c r="H246" s="59"/>
      <c r="I246" s="42"/>
      <c r="J246" s="57"/>
      <c r="K246" s="58"/>
    </row>
    <row r="247" ht="15.75">
      <c r="A247" s="68">
        <v>15</v>
      </c>
      <c r="B247" s="59"/>
      <c r="C247" s="61"/>
      <c r="D247" s="61"/>
      <c r="E247" s="93"/>
      <c r="F247" s="61"/>
      <c r="G247" s="59"/>
      <c r="H247" s="59"/>
      <c r="I247" s="42"/>
      <c r="J247" s="57"/>
      <c r="K247" s="58"/>
    </row>
    <row r="248" ht="15.75">
      <c r="A248" s="22"/>
      <c r="B248" s="23" t="s">
        <v>26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2">
        <v>1</v>
      </c>
      <c r="B249" s="63"/>
      <c r="C249" s="63"/>
      <c r="D249" s="63"/>
      <c r="E249" s="64"/>
      <c r="F249" s="65"/>
      <c r="G249" s="63"/>
      <c r="H249" s="63"/>
      <c r="I249" s="63"/>
      <c r="J249" s="66"/>
      <c r="K249" s="67"/>
    </row>
    <row r="250">
      <c r="A250" s="68">
        <v>2</v>
      </c>
      <c r="B250" s="59"/>
      <c r="C250" s="59"/>
      <c r="D250" s="59"/>
      <c r="E250" s="60"/>
      <c r="F250" s="61"/>
      <c r="G250" s="59"/>
      <c r="H250" s="59"/>
      <c r="I250" s="59"/>
      <c r="J250" s="57"/>
      <c r="K250" s="58"/>
    </row>
    <row r="251">
      <c r="A251" s="68">
        <v>3</v>
      </c>
      <c r="B251" s="59"/>
      <c r="C251" s="59"/>
      <c r="D251" s="59"/>
      <c r="E251" s="60"/>
      <c r="F251" s="61"/>
      <c r="G251" s="59"/>
      <c r="H251" s="59"/>
      <c r="I251" s="59"/>
      <c r="J251" s="57"/>
      <c r="K251" s="58"/>
    </row>
    <row r="252">
      <c r="A252" s="68">
        <v>4</v>
      </c>
      <c r="B252" s="59"/>
      <c r="C252" s="59"/>
      <c r="D252" s="59"/>
      <c r="E252" s="60"/>
      <c r="F252" s="61"/>
      <c r="G252" s="59"/>
      <c r="H252" s="59"/>
      <c r="I252" s="59"/>
      <c r="J252" s="57"/>
      <c r="K252" s="58"/>
    </row>
    <row r="253" ht="15.75">
      <c r="A253" s="69">
        <v>5</v>
      </c>
      <c r="B253" s="70"/>
      <c r="C253" s="70"/>
      <c r="D253" s="70"/>
      <c r="E253" s="71"/>
      <c r="F253" s="72"/>
      <c r="G253" s="70"/>
      <c r="H253" s="70"/>
      <c r="I253" s="70"/>
      <c r="J253" s="73"/>
      <c r="K253" s="74"/>
    </row>
    <row r="254" ht="15.75">
      <c r="A254" s="22"/>
      <c r="B254" s="23" t="s">
        <v>19</v>
      </c>
      <c r="C254" s="24"/>
      <c r="D254" s="25"/>
      <c r="E254" s="26"/>
      <c r="F254" s="23"/>
      <c r="G254" s="23"/>
      <c r="H254" s="23"/>
      <c r="I254" s="23"/>
      <c r="J254" s="23"/>
      <c r="K254" s="27"/>
    </row>
    <row r="255">
      <c r="A255" s="62">
        <v>1</v>
      </c>
      <c r="B255" s="39"/>
      <c r="C255" s="56"/>
      <c r="D255" s="59"/>
      <c r="E255" s="60"/>
      <c r="F255" s="101"/>
      <c r="G255" s="63"/>
      <c r="H255" s="63"/>
      <c r="I255" s="63"/>
      <c r="J255" s="66"/>
      <c r="K255" s="67"/>
    </row>
    <row r="256">
      <c r="A256" s="68">
        <v>2</v>
      </c>
      <c r="B256" s="117"/>
      <c r="C256" s="117"/>
      <c r="D256" s="118"/>
      <c r="E256" s="60"/>
      <c r="F256" s="119"/>
      <c r="G256" s="59"/>
      <c r="H256" s="59"/>
      <c r="I256" s="59"/>
      <c r="J256" s="57"/>
      <c r="K256" s="58"/>
    </row>
    <row r="257">
      <c r="A257" s="68">
        <v>3</v>
      </c>
      <c r="B257" s="59"/>
      <c r="C257" s="59"/>
      <c r="D257" s="59"/>
      <c r="E257" s="60"/>
      <c r="F257" s="61"/>
      <c r="G257" s="59"/>
      <c r="H257" s="59"/>
      <c r="I257" s="59"/>
      <c r="J257" s="57"/>
      <c r="K257" s="58"/>
    </row>
    <row r="258">
      <c r="A258" s="68">
        <v>4</v>
      </c>
      <c r="B258" s="59"/>
      <c r="C258" s="59"/>
      <c r="D258" s="59"/>
      <c r="E258" s="60"/>
      <c r="F258" s="61"/>
      <c r="G258" s="59"/>
      <c r="H258" s="59"/>
      <c r="I258" s="59"/>
      <c r="J258" s="57"/>
      <c r="K258" s="58"/>
    </row>
    <row r="259" ht="15.75">
      <c r="A259" s="69">
        <v>5</v>
      </c>
      <c r="B259" s="70"/>
      <c r="C259" s="70"/>
      <c r="D259" s="70"/>
      <c r="E259" s="71"/>
      <c r="F259" s="72"/>
      <c r="G259" s="70"/>
      <c r="H259" s="70"/>
      <c r="I259" s="70"/>
      <c r="J259" s="73"/>
      <c r="K259" s="74"/>
    </row>
    <row r="260" s="21" customFormat="1" ht="26.25" customHeight="1">
      <c r="A260" s="82" t="s">
        <v>36</v>
      </c>
      <c r="B260" s="83"/>
      <c r="C260" s="83"/>
      <c r="D260" s="103"/>
      <c r="E260" s="104">
        <f>SUM(E233:E259)</f>
        <v>0</v>
      </c>
    </row>
    <row r="261" s="21" customFormat="1" ht="27" customHeight="1">
      <c r="A261" s="82" t="s">
        <v>22</v>
      </c>
      <c r="B261" s="83"/>
      <c r="C261" s="83"/>
      <c r="D261" s="103"/>
      <c r="E261" s="104">
        <f>E227-E260</f>
        <v>12476.190000000001</v>
      </c>
      <c r="F261" s="86"/>
    </row>
    <row r="263" ht="15.75"/>
    <row r="264" ht="36" customHeight="1">
      <c r="A264" s="120" t="s">
        <v>37</v>
      </c>
      <c r="B264" s="120"/>
      <c r="C264" s="120"/>
      <c r="D264" s="120"/>
      <c r="E264" s="121">
        <f>E265+E266</f>
        <v>12080.969999999999</v>
      </c>
      <c r="F264" s="163" t="s">
        <v>44</v>
      </c>
      <c r="G264" s="123"/>
      <c r="H264" s="123"/>
      <c r="I264" s="123"/>
      <c r="J264" s="124"/>
      <c r="K264" s="124"/>
    </row>
    <row r="265" ht="15.75" customHeight="1">
      <c r="A265" s="125" t="s">
        <v>38</v>
      </c>
      <c r="B265" s="125"/>
      <c r="C265" s="125"/>
      <c r="D265" s="125"/>
      <c r="E265" s="126">
        <v>9365.9699999999993</v>
      </c>
      <c r="F265" s="123"/>
      <c r="G265" s="123"/>
      <c r="H265" s="123"/>
      <c r="I265" s="123"/>
      <c r="J265" s="124"/>
      <c r="K265" s="124"/>
    </row>
    <row r="266" ht="15.75" customHeight="1">
      <c r="A266" s="125" t="s">
        <v>39</v>
      </c>
      <c r="B266" s="125"/>
      <c r="C266" s="125"/>
      <c r="D266" s="125"/>
      <c r="E266" s="126">
        <v>2715</v>
      </c>
      <c r="F266" s="123"/>
      <c r="G266" s="123"/>
      <c r="H266" s="123"/>
      <c r="I266" s="123"/>
      <c r="J266" s="124"/>
      <c r="K266" s="124"/>
    </row>
    <row r="267" ht="15.75">
      <c r="A267" s="123"/>
      <c r="B267" s="123"/>
      <c r="C267" s="123"/>
      <c r="D267" s="123"/>
      <c r="E267" s="123"/>
      <c r="F267" s="123"/>
      <c r="G267" s="123"/>
      <c r="H267" s="123"/>
      <c r="I267" s="123"/>
      <c r="J267" s="124"/>
      <c r="K267" s="124"/>
    </row>
    <row r="268" ht="24.75">
      <c r="A268" s="127" t="s">
        <v>6</v>
      </c>
      <c r="B268" s="127" t="s">
        <v>7</v>
      </c>
      <c r="C268" s="127" t="s">
        <v>8</v>
      </c>
      <c r="D268" s="127" t="s">
        <v>9</v>
      </c>
      <c r="E268" s="127" t="s">
        <v>40</v>
      </c>
      <c r="F268" s="127" t="s">
        <v>11</v>
      </c>
      <c r="G268" s="127" t="s">
        <v>12</v>
      </c>
      <c r="H268" s="128" t="s">
        <v>13</v>
      </c>
      <c r="I268" s="127" t="s">
        <v>14</v>
      </c>
      <c r="J268" s="127" t="s">
        <v>15</v>
      </c>
      <c r="K268" s="127" t="s">
        <v>16</v>
      </c>
    </row>
    <row r="269" ht="15.75">
      <c r="A269" s="129" t="s">
        <v>41</v>
      </c>
      <c r="B269" s="130"/>
      <c r="C269" s="130"/>
      <c r="D269" s="130"/>
      <c r="E269" s="130"/>
      <c r="F269" s="130"/>
      <c r="G269" s="130"/>
      <c r="H269" s="130"/>
      <c r="I269" s="130"/>
      <c r="J269" s="130"/>
      <c r="K269" s="131"/>
    </row>
    <row r="270">
      <c r="A270" s="132">
        <v>1</v>
      </c>
      <c r="B270" s="133"/>
      <c r="C270" s="133"/>
      <c r="D270" s="134"/>
      <c r="E270" s="135"/>
      <c r="F270" s="134"/>
      <c r="G270" s="136"/>
      <c r="H270" s="136"/>
      <c r="I270" s="136"/>
      <c r="J270" s="137"/>
      <c r="K270" s="138"/>
    </row>
    <row r="271">
      <c r="A271" s="139">
        <v>2</v>
      </c>
      <c r="B271" s="140"/>
      <c r="C271" s="140"/>
      <c r="D271" s="141"/>
      <c r="E271" s="142"/>
      <c r="F271" s="141"/>
      <c r="G271" s="143"/>
      <c r="H271" s="143"/>
      <c r="I271" s="142"/>
      <c r="J271" s="144"/>
      <c r="K271" s="145"/>
    </row>
    <row r="272">
      <c r="A272" s="139">
        <v>3</v>
      </c>
      <c r="B272" s="143"/>
      <c r="C272" s="143"/>
      <c r="D272" s="143"/>
      <c r="E272" s="142"/>
      <c r="F272" s="146"/>
      <c r="G272" s="143"/>
      <c r="H272" s="143"/>
      <c r="I272" s="142"/>
      <c r="J272" s="144"/>
      <c r="K272" s="145"/>
    </row>
    <row r="273">
      <c r="A273" s="139">
        <v>4</v>
      </c>
      <c r="B273" s="143"/>
      <c r="C273" s="146"/>
      <c r="D273" s="146"/>
      <c r="E273" s="142"/>
      <c r="F273" s="146"/>
      <c r="G273" s="143"/>
      <c r="H273" s="143"/>
      <c r="I273" s="142"/>
      <c r="J273" s="144"/>
      <c r="K273" s="145"/>
    </row>
    <row r="274">
      <c r="A274" s="139">
        <v>5</v>
      </c>
      <c r="B274" s="143"/>
      <c r="C274" s="143"/>
      <c r="D274" s="143"/>
      <c r="E274" s="143"/>
      <c r="F274" s="146"/>
      <c r="G274" s="143"/>
      <c r="H274" s="143"/>
      <c r="I274" s="142"/>
      <c r="J274" s="144"/>
      <c r="K274" s="145"/>
    </row>
    <row r="275">
      <c r="A275" s="139">
        <v>6</v>
      </c>
      <c r="B275" s="144"/>
      <c r="C275" s="144"/>
      <c r="D275" s="144"/>
      <c r="E275" s="144"/>
      <c r="F275" s="144"/>
      <c r="G275" s="144"/>
      <c r="H275" s="143"/>
      <c r="I275" s="142"/>
      <c r="J275" s="144"/>
      <c r="K275" s="145"/>
    </row>
    <row r="276">
      <c r="A276" s="139">
        <v>7</v>
      </c>
      <c r="B276" s="144"/>
      <c r="C276" s="144"/>
      <c r="D276" s="144"/>
      <c r="E276" s="144"/>
      <c r="F276" s="144"/>
      <c r="G276" s="144"/>
      <c r="H276" s="143"/>
      <c r="I276" s="143"/>
      <c r="J276" s="144"/>
      <c r="K276" s="145"/>
    </row>
    <row r="277">
      <c r="A277" s="139">
        <v>8</v>
      </c>
      <c r="B277" s="143"/>
      <c r="C277" s="146"/>
      <c r="D277" s="146"/>
      <c r="E277" s="142"/>
      <c r="F277" s="146"/>
      <c r="G277" s="143"/>
      <c r="H277" s="143"/>
      <c r="I277" s="142"/>
      <c r="J277" s="144"/>
      <c r="K277" s="145"/>
    </row>
    <row r="278">
      <c r="A278" s="139">
        <v>9</v>
      </c>
      <c r="B278" s="143"/>
      <c r="C278" s="146"/>
      <c r="D278" s="146"/>
      <c r="E278" s="142"/>
      <c r="F278" s="146"/>
      <c r="G278" s="143"/>
      <c r="H278" s="143"/>
      <c r="I278" s="142"/>
      <c r="J278" s="144"/>
      <c r="K278" s="145"/>
    </row>
    <row r="279">
      <c r="A279" s="139">
        <v>10</v>
      </c>
      <c r="B279" s="143"/>
      <c r="C279" s="146"/>
      <c r="D279" s="146"/>
      <c r="E279" s="142"/>
      <c r="F279" s="146"/>
      <c r="G279" s="143"/>
      <c r="H279" s="143"/>
      <c r="I279" s="142"/>
      <c r="J279" s="144"/>
      <c r="K279" s="145"/>
    </row>
    <row r="280">
      <c r="A280" s="139">
        <v>11</v>
      </c>
      <c r="B280" s="143"/>
      <c r="C280" s="146"/>
      <c r="D280" s="146"/>
      <c r="E280" s="142"/>
      <c r="F280" s="146"/>
      <c r="G280" s="143"/>
      <c r="H280" s="143"/>
      <c r="I280" s="142"/>
      <c r="J280" s="144"/>
      <c r="K280" s="145"/>
    </row>
    <row r="281">
      <c r="A281" s="139">
        <v>12</v>
      </c>
      <c r="B281" s="143"/>
      <c r="C281" s="146"/>
      <c r="D281" s="146"/>
      <c r="E281" s="142"/>
      <c r="F281" s="146"/>
      <c r="G281" s="143"/>
      <c r="H281" s="143"/>
      <c r="I281" s="142"/>
      <c r="J281" s="144"/>
      <c r="K281" s="145"/>
    </row>
    <row r="282">
      <c r="A282" s="139">
        <v>13</v>
      </c>
      <c r="B282" s="143"/>
      <c r="C282" s="146"/>
      <c r="D282" s="146"/>
      <c r="E282" s="142"/>
      <c r="F282" s="146"/>
      <c r="G282" s="143"/>
      <c r="H282" s="143"/>
      <c r="I282" s="142"/>
      <c r="J282" s="144"/>
      <c r="K282" s="145"/>
    </row>
    <row r="283">
      <c r="A283" s="139">
        <v>14</v>
      </c>
      <c r="B283" s="143"/>
      <c r="C283" s="146"/>
      <c r="D283" s="146"/>
      <c r="E283" s="142"/>
      <c r="F283" s="146"/>
      <c r="G283" s="143"/>
      <c r="H283" s="143"/>
      <c r="I283" s="142"/>
      <c r="J283" s="144"/>
      <c r="K283" s="145"/>
    </row>
    <row r="284" ht="15.75">
      <c r="A284" s="147">
        <v>15</v>
      </c>
      <c r="B284" s="148"/>
      <c r="C284" s="149"/>
      <c r="D284" s="149"/>
      <c r="E284" s="150"/>
      <c r="F284" s="149"/>
      <c r="G284" s="148"/>
      <c r="H284" s="148"/>
      <c r="I284" s="150"/>
      <c r="J284" s="151"/>
      <c r="K284" s="152"/>
    </row>
    <row r="285" ht="15.75">
      <c r="A285" s="22"/>
      <c r="B285" s="23" t="s">
        <v>26</v>
      </c>
      <c r="C285" s="24"/>
      <c r="D285" s="25"/>
      <c r="E285" s="26"/>
      <c r="F285" s="23"/>
      <c r="G285" s="23"/>
      <c r="H285" s="23"/>
      <c r="I285" s="23"/>
      <c r="J285" s="23"/>
      <c r="K285" s="27"/>
    </row>
    <row r="286">
      <c r="A286" s="132">
        <v>1</v>
      </c>
      <c r="B286" s="153"/>
      <c r="C286" s="153"/>
      <c r="D286" s="153"/>
      <c r="E286" s="153"/>
      <c r="F286" s="154"/>
      <c r="G286" s="153"/>
      <c r="H286" s="153"/>
      <c r="I286" s="153"/>
      <c r="J286" s="137"/>
      <c r="K286" s="138"/>
    </row>
    <row r="287">
      <c r="A287" s="139">
        <v>2</v>
      </c>
      <c r="B287" s="143"/>
      <c r="C287" s="143"/>
      <c r="D287" s="143"/>
      <c r="E287" s="143"/>
      <c r="F287" s="146"/>
      <c r="G287" s="143"/>
      <c r="H287" s="143"/>
      <c r="I287" s="143"/>
      <c r="J287" s="144"/>
      <c r="K287" s="145"/>
    </row>
    <row r="288">
      <c r="A288" s="139">
        <v>3</v>
      </c>
      <c r="B288" s="143"/>
      <c r="C288" s="143"/>
      <c r="D288" s="143"/>
      <c r="E288" s="143"/>
      <c r="F288" s="146"/>
      <c r="G288" s="143"/>
      <c r="H288" s="143"/>
      <c r="I288" s="143"/>
      <c r="J288" s="144"/>
      <c r="K288" s="145"/>
    </row>
    <row r="289">
      <c r="A289" s="139">
        <v>4</v>
      </c>
      <c r="B289" s="143"/>
      <c r="C289" s="143"/>
      <c r="D289" s="143"/>
      <c r="E289" s="143"/>
      <c r="F289" s="146"/>
      <c r="G289" s="143"/>
      <c r="H289" s="143"/>
      <c r="I289" s="143"/>
      <c r="J289" s="144"/>
      <c r="K289" s="145"/>
    </row>
    <row r="290" ht="15.75">
      <c r="A290" s="147">
        <v>5</v>
      </c>
      <c r="B290" s="148"/>
      <c r="C290" s="148"/>
      <c r="D290" s="148"/>
      <c r="E290" s="148"/>
      <c r="F290" s="149"/>
      <c r="G290" s="148"/>
      <c r="H290" s="148"/>
      <c r="I290" s="148"/>
      <c r="J290" s="151"/>
      <c r="K290" s="152"/>
    </row>
    <row r="291" ht="15.75">
      <c r="A291" s="22"/>
      <c r="B291" s="23" t="s">
        <v>19</v>
      </c>
      <c r="C291" s="24"/>
      <c r="D291" s="25"/>
      <c r="E291" s="26"/>
      <c r="F291" s="23"/>
      <c r="G291" s="23"/>
      <c r="H291" s="23"/>
      <c r="I291" s="23"/>
      <c r="J291" s="23"/>
      <c r="K291" s="27"/>
    </row>
    <row r="292">
      <c r="A292" s="132">
        <v>1</v>
      </c>
      <c r="B292" s="136"/>
      <c r="C292" s="153"/>
      <c r="D292" s="153"/>
      <c r="E292" s="153"/>
      <c r="F292" s="154"/>
      <c r="G292" s="153"/>
      <c r="H292" s="153"/>
      <c r="I292" s="153"/>
      <c r="J292" s="137"/>
      <c r="K292" s="138"/>
    </row>
    <row r="293">
      <c r="A293" s="139">
        <v>2</v>
      </c>
      <c r="B293" s="155"/>
      <c r="C293" s="155"/>
      <c r="D293" s="156"/>
      <c r="E293" s="143"/>
      <c r="F293" s="157"/>
      <c r="G293" s="143"/>
      <c r="H293" s="143"/>
      <c r="I293" s="143"/>
      <c r="J293" s="144"/>
      <c r="K293" s="145"/>
    </row>
    <row r="294">
      <c r="A294" s="139">
        <v>3</v>
      </c>
      <c r="B294" s="143"/>
      <c r="C294" s="143"/>
      <c r="D294" s="143"/>
      <c r="E294" s="143"/>
      <c r="F294" s="146"/>
      <c r="G294" s="143"/>
      <c r="H294" s="143"/>
      <c r="I294" s="143"/>
      <c r="J294" s="144"/>
      <c r="K294" s="145"/>
    </row>
    <row r="295">
      <c r="A295" s="139">
        <v>4</v>
      </c>
      <c r="B295" s="143"/>
      <c r="C295" s="143"/>
      <c r="D295" s="143"/>
      <c r="E295" s="143"/>
      <c r="F295" s="146"/>
      <c r="G295" s="143"/>
      <c r="H295" s="143"/>
      <c r="I295" s="143"/>
      <c r="J295" s="144"/>
      <c r="K295" s="145"/>
    </row>
    <row r="296" ht="15.75">
      <c r="A296" s="147">
        <v>5</v>
      </c>
      <c r="B296" s="148"/>
      <c r="C296" s="148"/>
      <c r="D296" s="148"/>
      <c r="E296" s="148"/>
      <c r="F296" s="149"/>
      <c r="G296" s="148"/>
      <c r="H296" s="148"/>
      <c r="I296" s="148"/>
      <c r="J296" s="151"/>
      <c r="K296" s="152"/>
    </row>
    <row r="297" ht="27.75" customHeight="1">
      <c r="A297" s="158" t="s">
        <v>42</v>
      </c>
      <c r="B297" s="158"/>
      <c r="C297" s="158"/>
      <c r="D297" s="158"/>
      <c r="E297" s="159">
        <f>SUM(E270:E296)</f>
        <v>0</v>
      </c>
      <c r="F297" s="160"/>
      <c r="G297" s="160"/>
      <c r="H297" s="160"/>
      <c r="I297" s="160"/>
      <c r="J297" s="160"/>
      <c r="K297" s="160"/>
    </row>
    <row r="298" ht="27.75" customHeight="1">
      <c r="A298" s="158" t="s">
        <v>43</v>
      </c>
      <c r="B298" s="158"/>
      <c r="C298" s="158"/>
      <c r="D298" s="158"/>
      <c r="E298" s="161">
        <f>E264-E297</f>
        <v>12080.969999999999</v>
      </c>
      <c r="F298" s="162"/>
      <c r="G298" s="160"/>
      <c r="H298" s="160"/>
      <c r="I298" s="160"/>
      <c r="J298" s="160"/>
      <c r="K298" s="160"/>
    </row>
  </sheetData>
  <mergeCells count="26">
    <mergeCell ref="E1:F1"/>
    <mergeCell ref="A4:D4"/>
    <mergeCell ref="A5:D5"/>
    <mergeCell ref="A7:D7"/>
    <mergeCell ref="A155:D155"/>
    <mergeCell ref="A156:D156"/>
    <mergeCell ref="A158:D158"/>
    <mergeCell ref="A159:D159"/>
    <mergeCell ref="A160:D160"/>
    <mergeCell ref="A201:D201"/>
    <mergeCell ref="A202:D202"/>
    <mergeCell ref="A204:D204"/>
    <mergeCell ref="A205:D205"/>
    <mergeCell ref="A224:D224"/>
    <mergeCell ref="A225:D225"/>
    <mergeCell ref="A227:D227"/>
    <mergeCell ref="A228:D228"/>
    <mergeCell ref="A229:D229"/>
    <mergeCell ref="A260:D260"/>
    <mergeCell ref="A261:D261"/>
    <mergeCell ref="A264:D264"/>
    <mergeCell ref="A265:D265"/>
    <mergeCell ref="A266:D266"/>
    <mergeCell ref="A269:K269"/>
    <mergeCell ref="A297:D297"/>
    <mergeCell ref="A298:D29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100AB-0062-40C3-8BE9-004B001400EE}" type="list" allowBlank="1" errorStyle="stop" imeMode="noControl" operator="between" showDropDown="0" showErrorMessage="1" showInputMessage="1">
          <x14:formula1>
            <xm:f>ДаНет</xm:f>
          </x14:formula1>
          <xm:sqref>H122:H141 H143:H147 H149:H154 H209:H223 H196:H200 H249:H253 H190:H194 H164:H188 H109:H120 H255:H259 H12:H80 H233:H234 H237:H247</xm:sqref>
        </x14:dataValidation>
        <x14:dataValidation xr:uid="{0099005E-0048-47B1-85E2-0071007800A1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H11 H81:H108 H235:H236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181" zoomScale="85" workbookViewId="0">
      <selection activeCell="G45" activeCellId="0" sqref="G45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9.140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 t="s">
        <v>0</v>
      </c>
      <c r="F1" s="3"/>
      <c r="G1" s="2"/>
      <c r="H1" s="2"/>
      <c r="I1" s="2"/>
    </row>
    <row r="2" ht="23.25" customHeight="1">
      <c r="A2" s="4"/>
      <c r="B2" s="4"/>
      <c r="C2" s="5">
        <f>'30'!C2+1</f>
        <v>46112</v>
      </c>
      <c r="D2" s="4"/>
      <c r="F2" s="6" t="s">
        <v>1</v>
      </c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25.5" customHeight="1">
      <c r="A4" s="9" t="s">
        <v>2</v>
      </c>
      <c r="B4" s="10"/>
      <c r="C4" s="10"/>
      <c r="D4" s="11"/>
      <c r="E4" s="12">
        <f>SUM(E5:E7)</f>
        <v>592377.25</v>
      </c>
      <c r="F4" s="163" t="s">
        <v>44</v>
      </c>
      <c r="G4" s="13"/>
      <c r="H4" s="13"/>
      <c r="I4" s="13"/>
    </row>
    <row r="5" ht="15.75">
      <c r="A5" s="14" t="s">
        <v>3</v>
      </c>
      <c r="B5" s="15"/>
      <c r="C5" s="15"/>
      <c r="D5" s="16"/>
      <c r="E5" s="17">
        <v>515707.25</v>
      </c>
      <c r="F5" s="13"/>
      <c r="G5" s="13"/>
      <c r="H5" s="13"/>
      <c r="I5" s="13"/>
    </row>
    <row r="6" ht="15.75">
      <c r="A6" s="14"/>
      <c r="B6" s="15"/>
      <c r="C6" s="15"/>
      <c r="D6" s="16" t="s">
        <v>4</v>
      </c>
      <c r="E6" s="17">
        <v>10197.24</v>
      </c>
      <c r="F6" s="13"/>
      <c r="G6" s="13"/>
      <c r="H6" s="13"/>
      <c r="I6" s="13"/>
    </row>
    <row r="7" ht="15.75">
      <c r="A7" s="14" t="s">
        <v>5</v>
      </c>
      <c r="B7" s="15"/>
      <c r="C7" s="15"/>
      <c r="D7" s="16"/>
      <c r="E7" s="17">
        <v>66472.759999999995</v>
      </c>
      <c r="F7" s="13"/>
      <c r="G7" s="13"/>
      <c r="H7" s="13"/>
      <c r="I7" s="13"/>
    </row>
    <row r="8" ht="6" customHeight="1">
      <c r="A8" s="13"/>
      <c r="B8" s="13"/>
      <c r="C8" s="13"/>
      <c r="D8" s="13"/>
      <c r="E8" s="13"/>
      <c r="F8" s="13"/>
      <c r="G8" s="13"/>
      <c r="H8" s="13"/>
      <c r="I8" s="13"/>
    </row>
    <row r="9" ht="27.75" customHeight="1" outlineLevel="1">
      <c r="A9" s="18" t="s">
        <v>6</v>
      </c>
      <c r="B9" s="18" t="s">
        <v>7</v>
      </c>
      <c r="C9" s="18" t="s">
        <v>8</v>
      </c>
      <c r="D9" s="18" t="s">
        <v>9</v>
      </c>
      <c r="E9" s="19" t="s">
        <v>10</v>
      </c>
      <c r="F9" s="18" t="s">
        <v>11</v>
      </c>
      <c r="G9" s="18" t="s">
        <v>12</v>
      </c>
      <c r="H9" s="20" t="s">
        <v>13</v>
      </c>
      <c r="I9" s="18" t="s">
        <v>14</v>
      </c>
      <c r="J9" s="18" t="s">
        <v>15</v>
      </c>
      <c r="K9" s="18" t="s">
        <v>16</v>
      </c>
    </row>
    <row r="10" s="21" customFormat="1" ht="18.75" customHeight="1" outlineLevel="1">
      <c r="A10" s="22"/>
      <c r="B10" s="23" t="s">
        <v>17</v>
      </c>
      <c r="C10" s="24"/>
      <c r="D10" s="25"/>
      <c r="E10" s="26"/>
      <c r="F10" s="172"/>
      <c r="G10" s="172"/>
      <c r="H10" s="23"/>
      <c r="I10" s="23"/>
      <c r="J10" s="23"/>
      <c r="K10" s="27"/>
    </row>
    <row r="11" ht="28.5" outlineLevel="1">
      <c r="A11" s="28">
        <v>1</v>
      </c>
      <c r="B11" s="847" t="s">
        <v>57</v>
      </c>
      <c r="C11" s="847" t="s">
        <v>58</v>
      </c>
      <c r="D11" s="847" t="s">
        <v>59</v>
      </c>
      <c r="E11" s="516" t="s">
        <v>60</v>
      </c>
      <c r="F11" s="848" t="s">
        <v>61</v>
      </c>
      <c r="G11" s="849" t="s">
        <v>62</v>
      </c>
      <c r="H11" s="179"/>
      <c r="I11" s="515"/>
      <c r="J11" s="680"/>
      <c r="K11" s="37"/>
    </row>
    <row r="12" ht="14.25" customHeight="1" outlineLevel="1">
      <c r="A12" s="385">
        <v>2</v>
      </c>
      <c r="B12" s="487" t="s">
        <v>57</v>
      </c>
      <c r="C12" s="323" t="s">
        <v>63</v>
      </c>
      <c r="D12" s="323" t="s">
        <v>64</v>
      </c>
      <c r="E12" s="488" t="s">
        <v>65</v>
      </c>
      <c r="F12" s="489" t="s">
        <v>66</v>
      </c>
      <c r="G12" s="182" t="s">
        <v>62</v>
      </c>
      <c r="H12" s="490"/>
      <c r="I12" s="94"/>
      <c r="J12" s="655"/>
      <c r="K12" s="44"/>
    </row>
    <row r="13" ht="14.25" customHeight="1" outlineLevel="1">
      <c r="A13" s="385">
        <v>3</v>
      </c>
      <c r="B13" s="190" t="s">
        <v>57</v>
      </c>
      <c r="C13" s="190" t="s">
        <v>68</v>
      </c>
      <c r="D13" s="190" t="s">
        <v>69</v>
      </c>
      <c r="E13" s="492" t="s">
        <v>70</v>
      </c>
      <c r="F13" s="190" t="s">
        <v>71</v>
      </c>
      <c r="G13" s="182" t="s">
        <v>62</v>
      </c>
      <c r="H13" s="193"/>
      <c r="I13" s="202"/>
      <c r="J13" s="655"/>
      <c r="K13" s="44"/>
    </row>
    <row r="14" ht="14.25" customHeight="1" outlineLevel="1">
      <c r="A14" s="385">
        <v>4</v>
      </c>
      <c r="B14" s="190" t="s">
        <v>57</v>
      </c>
      <c r="C14" s="190" t="s">
        <v>72</v>
      </c>
      <c r="D14" s="190" t="s">
        <v>73</v>
      </c>
      <c r="E14" s="492" t="s">
        <v>74</v>
      </c>
      <c r="F14" s="190" t="s">
        <v>75</v>
      </c>
      <c r="G14" s="182"/>
      <c r="H14" s="193"/>
      <c r="I14" s="202"/>
      <c r="J14" s="655"/>
      <c r="K14" s="44"/>
    </row>
    <row r="15" ht="14.25" customHeight="1" outlineLevel="1">
      <c r="A15" s="385">
        <v>5</v>
      </c>
      <c r="B15" s="190" t="s">
        <v>57</v>
      </c>
      <c r="C15" s="190" t="s">
        <v>72</v>
      </c>
      <c r="D15" s="190" t="s">
        <v>76</v>
      </c>
      <c r="E15" s="881" t="s">
        <v>77</v>
      </c>
      <c r="F15" s="190" t="s">
        <v>78</v>
      </c>
      <c r="G15" s="182"/>
      <c r="H15" s="193"/>
      <c r="I15" s="202"/>
      <c r="J15" s="655"/>
      <c r="K15" s="44"/>
    </row>
    <row r="16" ht="14.25" customHeight="1" outlineLevel="1">
      <c r="A16" s="385">
        <v>6</v>
      </c>
      <c r="B16" s="190" t="s">
        <v>57</v>
      </c>
      <c r="C16" s="190" t="s">
        <v>79</v>
      </c>
      <c r="D16" s="272" t="s">
        <v>80</v>
      </c>
      <c r="E16" s="882" t="s">
        <v>81</v>
      </c>
      <c r="F16" s="190" t="s">
        <v>82</v>
      </c>
      <c r="G16" s="182" t="s">
        <v>62</v>
      </c>
      <c r="H16" s="193"/>
      <c r="I16" s="202"/>
      <c r="J16" s="655"/>
      <c r="K16" s="44"/>
    </row>
    <row r="17" ht="14.25" customHeight="1" outlineLevel="1">
      <c r="A17" s="385">
        <v>7</v>
      </c>
      <c r="B17" s="190" t="s">
        <v>57</v>
      </c>
      <c r="C17" s="190" t="s">
        <v>79</v>
      </c>
      <c r="D17" s="287" t="s">
        <v>370</v>
      </c>
      <c r="E17" s="497" t="s">
        <v>371</v>
      </c>
      <c r="F17" s="190" t="s">
        <v>372</v>
      </c>
      <c r="G17" s="182"/>
      <c r="H17" s="193"/>
      <c r="I17" s="202"/>
      <c r="J17" s="655"/>
      <c r="K17" s="44"/>
    </row>
    <row r="18" ht="14.25" customHeight="1" outlineLevel="1">
      <c r="A18" s="385">
        <v>8</v>
      </c>
      <c r="B18" s="190" t="s">
        <v>57</v>
      </c>
      <c r="C18" s="190" t="s">
        <v>171</v>
      </c>
      <c r="D18" s="337" t="s">
        <v>538</v>
      </c>
      <c r="E18" s="733" t="s">
        <v>539</v>
      </c>
      <c r="F18" s="628" t="s">
        <v>540</v>
      </c>
      <c r="G18" s="182"/>
      <c r="H18" s="193"/>
      <c r="I18" s="202" t="s">
        <v>541</v>
      </c>
      <c r="J18" s="655"/>
      <c r="K18" s="44"/>
    </row>
    <row r="19" ht="14.25" customHeight="1" outlineLevel="1">
      <c r="A19" s="385">
        <v>9</v>
      </c>
      <c r="B19" s="190" t="s">
        <v>57</v>
      </c>
      <c r="C19" s="883" t="s">
        <v>542</v>
      </c>
      <c r="D19" s="337" t="s">
        <v>543</v>
      </c>
      <c r="E19" s="499" t="s">
        <v>544</v>
      </c>
      <c r="F19" s="190" t="s">
        <v>545</v>
      </c>
      <c r="G19" s="182"/>
      <c r="H19" s="193"/>
      <c r="I19" s="202"/>
      <c r="J19" s="655"/>
      <c r="K19" s="44"/>
    </row>
    <row r="20" ht="14.25" customHeight="1" outlineLevel="1">
      <c r="A20" s="385">
        <v>10</v>
      </c>
      <c r="B20" s="190" t="s">
        <v>57</v>
      </c>
      <c r="C20" s="190" t="s">
        <v>373</v>
      </c>
      <c r="D20" s="337" t="s">
        <v>374</v>
      </c>
      <c r="E20" s="499" t="s">
        <v>375</v>
      </c>
      <c r="F20" s="190" t="s">
        <v>376</v>
      </c>
      <c r="G20" s="182"/>
      <c r="H20" s="193"/>
      <c r="I20" s="202"/>
      <c r="J20" s="655"/>
      <c r="K20" s="44"/>
    </row>
    <row r="21" ht="14.25" customHeight="1" outlineLevel="1">
      <c r="A21" s="385">
        <v>11</v>
      </c>
      <c r="B21" s="190" t="s">
        <v>57</v>
      </c>
      <c r="C21" s="190" t="s">
        <v>546</v>
      </c>
      <c r="D21" s="337" t="s">
        <v>547</v>
      </c>
      <c r="E21" s="499" t="s">
        <v>559</v>
      </c>
      <c r="F21" s="190" t="s">
        <v>549</v>
      </c>
      <c r="G21" s="182"/>
      <c r="H21" s="193"/>
      <c r="I21" s="202" t="s">
        <v>501</v>
      </c>
      <c r="J21" s="655"/>
      <c r="K21" s="44"/>
    </row>
    <row r="22" ht="14.25" customHeight="1" outlineLevel="1">
      <c r="A22" s="385">
        <v>12</v>
      </c>
      <c r="B22" s="209" t="s">
        <v>83</v>
      </c>
      <c r="C22" s="209" t="s">
        <v>84</v>
      </c>
      <c r="D22" s="500" t="s">
        <v>85</v>
      </c>
      <c r="E22" s="501" t="s">
        <v>86</v>
      </c>
      <c r="F22" s="182" t="s">
        <v>87</v>
      </c>
      <c r="G22" s="182" t="s">
        <v>62</v>
      </c>
      <c r="H22" s="193"/>
      <c r="I22" s="202"/>
      <c r="J22" s="655"/>
      <c r="K22" s="44"/>
    </row>
    <row r="23" ht="14.25" customHeight="1" outlineLevel="1">
      <c r="A23" s="385">
        <v>13</v>
      </c>
      <c r="B23" s="209" t="s">
        <v>83</v>
      </c>
      <c r="C23" s="209" t="s">
        <v>84</v>
      </c>
      <c r="D23" s="500" t="s">
        <v>88</v>
      </c>
      <c r="E23" s="501" t="s">
        <v>89</v>
      </c>
      <c r="F23" s="182" t="s">
        <v>90</v>
      </c>
      <c r="G23" s="182" t="s">
        <v>62</v>
      </c>
      <c r="H23" s="193"/>
      <c r="I23" s="202"/>
      <c r="J23" s="655"/>
      <c r="K23" s="44"/>
    </row>
    <row r="24" ht="14.25" customHeight="1" outlineLevel="1">
      <c r="A24" s="385">
        <v>14</v>
      </c>
      <c r="B24" s="209" t="s">
        <v>83</v>
      </c>
      <c r="C24" s="209" t="s">
        <v>84</v>
      </c>
      <c r="D24" s="500" t="s">
        <v>404</v>
      </c>
      <c r="E24" s="501" t="s">
        <v>89</v>
      </c>
      <c r="F24" s="182" t="s">
        <v>405</v>
      </c>
      <c r="G24" s="182"/>
      <c r="H24" s="193"/>
      <c r="I24" s="202"/>
      <c r="J24" s="655"/>
      <c r="K24" s="44"/>
    </row>
    <row r="25" ht="14.25" customHeight="1" outlineLevel="1">
      <c r="A25" s="385">
        <v>15</v>
      </c>
      <c r="B25" s="209" t="s">
        <v>83</v>
      </c>
      <c r="C25" s="209" t="s">
        <v>84</v>
      </c>
      <c r="D25" s="500" t="s">
        <v>648</v>
      </c>
      <c r="E25" s="501" t="s">
        <v>649</v>
      </c>
      <c r="F25" s="182" t="s">
        <v>650</v>
      </c>
      <c r="G25" s="182"/>
      <c r="H25" s="193"/>
      <c r="I25" s="202"/>
      <c r="J25" s="655"/>
      <c r="K25" s="44"/>
    </row>
    <row r="26" ht="14.25" customHeight="1" outlineLevel="1">
      <c r="A26" s="385">
        <v>16</v>
      </c>
      <c r="B26" s="209" t="s">
        <v>83</v>
      </c>
      <c r="C26" s="182" t="s">
        <v>91</v>
      </c>
      <c r="D26" s="503" t="s">
        <v>92</v>
      </c>
      <c r="E26" s="659" t="s">
        <v>93</v>
      </c>
      <c r="F26" s="182" t="s">
        <v>94</v>
      </c>
      <c r="G26" s="182" t="s">
        <v>62</v>
      </c>
      <c r="H26" s="193"/>
      <c r="I26" s="202"/>
      <c r="J26" s="655"/>
      <c r="K26" s="44"/>
    </row>
    <row r="27" ht="14.25" customHeight="1" outlineLevel="1">
      <c r="A27" s="385">
        <v>17</v>
      </c>
      <c r="B27" s="198" t="s">
        <v>83</v>
      </c>
      <c r="C27" s="204" t="s">
        <v>91</v>
      </c>
      <c r="D27" s="503" t="s">
        <v>95</v>
      </c>
      <c r="E27" s="505" t="s">
        <v>96</v>
      </c>
      <c r="F27" s="884" t="s">
        <v>94</v>
      </c>
      <c r="G27" s="182" t="s">
        <v>62</v>
      </c>
      <c r="H27" s="400"/>
      <c r="I27" s="94"/>
      <c r="J27" s="655"/>
      <c r="K27" s="44"/>
    </row>
    <row r="28" ht="14.25" customHeight="1" outlineLevel="1">
      <c r="A28" s="385">
        <v>18</v>
      </c>
      <c r="B28" s="198" t="s">
        <v>83</v>
      </c>
      <c r="C28" s="204" t="s">
        <v>91</v>
      </c>
      <c r="D28" s="658" t="s">
        <v>97</v>
      </c>
      <c r="E28" s="505" t="s">
        <v>98</v>
      </c>
      <c r="F28" s="885" t="s">
        <v>94</v>
      </c>
      <c r="G28" s="182" t="s">
        <v>62</v>
      </c>
      <c r="H28" s="202"/>
      <c r="I28" s="94"/>
      <c r="J28" s="655"/>
      <c r="K28" s="44"/>
    </row>
    <row r="29" ht="14.25" customHeight="1" outlineLevel="1">
      <c r="A29" s="385">
        <v>19</v>
      </c>
      <c r="B29" s="198" t="s">
        <v>83</v>
      </c>
      <c r="C29" s="204" t="s">
        <v>91</v>
      </c>
      <c r="D29" s="658" t="s">
        <v>99</v>
      </c>
      <c r="E29" s="505" t="s">
        <v>100</v>
      </c>
      <c r="F29" s="885" t="s">
        <v>94</v>
      </c>
      <c r="G29" s="182" t="s">
        <v>62</v>
      </c>
      <c r="H29" s="202"/>
      <c r="I29" s="94"/>
      <c r="J29" s="655"/>
      <c r="K29" s="44"/>
    </row>
    <row r="30" ht="14.25" customHeight="1" outlineLevel="1">
      <c r="A30" s="385">
        <v>20</v>
      </c>
      <c r="B30" s="198" t="s">
        <v>83</v>
      </c>
      <c r="C30" s="204" t="s">
        <v>91</v>
      </c>
      <c r="D30" s="658" t="s">
        <v>101</v>
      </c>
      <c r="E30" s="505" t="s">
        <v>102</v>
      </c>
      <c r="F30" s="885" t="s">
        <v>94</v>
      </c>
      <c r="G30" s="182" t="s">
        <v>62</v>
      </c>
      <c r="H30" s="202"/>
      <c r="I30" s="94"/>
      <c r="J30" s="655"/>
      <c r="K30" s="44"/>
    </row>
    <row r="31" ht="14.25" customHeight="1" outlineLevel="1">
      <c r="A31" s="385">
        <v>21</v>
      </c>
      <c r="B31" s="198" t="s">
        <v>83</v>
      </c>
      <c r="C31" s="204" t="s">
        <v>91</v>
      </c>
      <c r="D31" s="658" t="s">
        <v>103</v>
      </c>
      <c r="E31" s="505" t="s">
        <v>104</v>
      </c>
      <c r="F31" s="885" t="s">
        <v>94</v>
      </c>
      <c r="G31" s="182" t="s">
        <v>62</v>
      </c>
      <c r="H31" s="202"/>
      <c r="I31" s="94"/>
      <c r="J31" s="655"/>
      <c r="K31" s="44"/>
    </row>
    <row r="32" ht="14.25" customHeight="1" outlineLevel="1">
      <c r="A32" s="385">
        <v>22</v>
      </c>
      <c r="B32" s="198" t="s">
        <v>83</v>
      </c>
      <c r="C32" s="204" t="s">
        <v>91</v>
      </c>
      <c r="D32" s="658" t="s">
        <v>105</v>
      </c>
      <c r="E32" s="505" t="s">
        <v>106</v>
      </c>
      <c r="F32" s="401" t="s">
        <v>94</v>
      </c>
      <c r="G32" s="182" t="s">
        <v>62</v>
      </c>
      <c r="H32" s="202"/>
      <c r="I32" s="94"/>
      <c r="J32" s="655"/>
      <c r="K32" s="44"/>
    </row>
    <row r="33" ht="14.25" customHeight="1" outlineLevel="1">
      <c r="A33" s="385">
        <v>23</v>
      </c>
      <c r="B33" s="198" t="s">
        <v>83</v>
      </c>
      <c r="C33" s="204" t="s">
        <v>91</v>
      </c>
      <c r="D33" s="658" t="s">
        <v>107</v>
      </c>
      <c r="E33" s="505" t="s">
        <v>108</v>
      </c>
      <c r="F33" s="401" t="s">
        <v>94</v>
      </c>
      <c r="G33" s="182" t="s">
        <v>62</v>
      </c>
      <c r="H33" s="202"/>
      <c r="I33" s="42"/>
      <c r="J33" s="43"/>
      <c r="K33" s="44"/>
    </row>
    <row r="34" ht="14.25" customHeight="1" outlineLevel="1">
      <c r="A34" s="385">
        <v>24</v>
      </c>
      <c r="B34" s="198" t="s">
        <v>83</v>
      </c>
      <c r="C34" s="204" t="s">
        <v>91</v>
      </c>
      <c r="D34" s="658" t="s">
        <v>560</v>
      </c>
      <c r="E34" s="505" t="s">
        <v>561</v>
      </c>
      <c r="F34" s="886" t="s">
        <v>94</v>
      </c>
      <c r="G34" s="182"/>
      <c r="H34" s="202"/>
      <c r="I34" s="42"/>
      <c r="J34" s="43"/>
      <c r="K34" s="44"/>
    </row>
    <row r="35" ht="14.25" customHeight="1" outlineLevel="1">
      <c r="A35" s="385">
        <v>25</v>
      </c>
      <c r="B35" s="198" t="s">
        <v>83</v>
      </c>
      <c r="C35" s="204" t="s">
        <v>91</v>
      </c>
      <c r="D35" s="658" t="s">
        <v>562</v>
      </c>
      <c r="E35" s="505" t="s">
        <v>563</v>
      </c>
      <c r="F35" s="401" t="s">
        <v>94</v>
      </c>
      <c r="G35" s="182"/>
      <c r="H35" s="202"/>
      <c r="I35" s="42"/>
      <c r="J35" s="43"/>
      <c r="K35" s="44"/>
    </row>
    <row r="36" ht="14.25" customHeight="1" outlineLevel="1">
      <c r="A36" s="385">
        <v>26</v>
      </c>
      <c r="B36" s="198" t="s">
        <v>83</v>
      </c>
      <c r="C36" s="204" t="s">
        <v>91</v>
      </c>
      <c r="D36" s="658" t="s">
        <v>564</v>
      </c>
      <c r="E36" s="505" t="s">
        <v>565</v>
      </c>
      <c r="F36" s="401" t="s">
        <v>94</v>
      </c>
      <c r="G36" s="182"/>
      <c r="H36" s="202"/>
      <c r="I36" s="42"/>
      <c r="J36" s="43"/>
      <c r="K36" s="44"/>
    </row>
    <row r="37" ht="14.25" customHeight="1" outlineLevel="1">
      <c r="A37" s="385">
        <v>27</v>
      </c>
      <c r="B37" s="198" t="s">
        <v>83</v>
      </c>
      <c r="C37" s="198" t="s">
        <v>109</v>
      </c>
      <c r="D37" s="657" t="s">
        <v>110</v>
      </c>
      <c r="E37" s="507" t="s">
        <v>111</v>
      </c>
      <c r="F37" s="886" t="s">
        <v>112</v>
      </c>
      <c r="G37" s="182" t="s">
        <v>62</v>
      </c>
      <c r="H37" s="202"/>
      <c r="I37" s="42"/>
      <c r="J37" s="43"/>
      <c r="K37" s="44"/>
    </row>
    <row r="38" ht="14.25" customHeight="1" outlineLevel="1">
      <c r="A38" s="385">
        <v>28</v>
      </c>
      <c r="B38" s="198" t="s">
        <v>83</v>
      </c>
      <c r="C38" s="209" t="s">
        <v>109</v>
      </c>
      <c r="D38" s="500" t="s">
        <v>113</v>
      </c>
      <c r="E38" s="507" t="s">
        <v>114</v>
      </c>
      <c r="F38" s="401" t="s">
        <v>115</v>
      </c>
      <c r="G38" s="182" t="s">
        <v>62</v>
      </c>
      <c r="H38" s="202"/>
      <c r="I38" s="42"/>
      <c r="J38" s="43"/>
      <c r="K38" s="44"/>
    </row>
    <row r="39" ht="14.25" customHeight="1" outlineLevel="1">
      <c r="A39" s="385">
        <v>29</v>
      </c>
      <c r="B39" s="209" t="s">
        <v>83</v>
      </c>
      <c r="C39" s="209" t="s">
        <v>109</v>
      </c>
      <c r="D39" s="500" t="s">
        <v>116</v>
      </c>
      <c r="E39" s="507" t="s">
        <v>117</v>
      </c>
      <c r="F39" s="886" t="s">
        <v>118</v>
      </c>
      <c r="G39" s="182" t="s">
        <v>62</v>
      </c>
      <c r="H39" s="202"/>
      <c r="I39" s="42"/>
      <c r="J39" s="43"/>
      <c r="K39" s="44"/>
    </row>
    <row r="40" ht="14.25" customHeight="1" outlineLevel="1">
      <c r="A40" s="385">
        <v>30</v>
      </c>
      <c r="B40" s="182" t="s">
        <v>83</v>
      </c>
      <c r="C40" s="182" t="s">
        <v>119</v>
      </c>
      <c r="D40" s="658" t="s">
        <v>120</v>
      </c>
      <c r="E40" s="508" t="s">
        <v>377</v>
      </c>
      <c r="F40" s="401" t="s">
        <v>122</v>
      </c>
      <c r="G40" s="182" t="s">
        <v>62</v>
      </c>
      <c r="H40" s="202"/>
      <c r="I40" s="42"/>
      <c r="J40" s="43"/>
      <c r="K40" s="44"/>
    </row>
    <row r="41" ht="14.25" customHeight="1" outlineLevel="1">
      <c r="A41" s="385">
        <v>31</v>
      </c>
      <c r="B41" s="209" t="s">
        <v>123</v>
      </c>
      <c r="C41" s="182" t="s">
        <v>124</v>
      </c>
      <c r="D41" s="658" t="s">
        <v>125</v>
      </c>
      <c r="E41" s="507" t="s">
        <v>126</v>
      </c>
      <c r="F41" s="401" t="s">
        <v>127</v>
      </c>
      <c r="G41" s="182" t="s">
        <v>62</v>
      </c>
      <c r="H41" s="202"/>
      <c r="I41" s="42"/>
      <c r="J41" s="43"/>
      <c r="K41" s="44"/>
    </row>
    <row r="42" ht="14.25" customHeight="1" outlineLevel="1">
      <c r="A42" s="385">
        <v>32</v>
      </c>
      <c r="B42" s="209" t="s">
        <v>128</v>
      </c>
      <c r="C42" s="182" t="s">
        <v>37</v>
      </c>
      <c r="D42" s="658" t="s">
        <v>129</v>
      </c>
      <c r="E42" s="507" t="s">
        <v>130</v>
      </c>
      <c r="F42" s="401" t="s">
        <v>131</v>
      </c>
      <c r="G42" s="182" t="s">
        <v>62</v>
      </c>
      <c r="H42" s="202"/>
      <c r="I42" s="42"/>
      <c r="J42" s="43"/>
      <c r="K42" s="44"/>
    </row>
    <row r="43" ht="14.25" customHeight="1" outlineLevel="1">
      <c r="A43" s="385">
        <v>33</v>
      </c>
      <c r="B43" s="182" t="s">
        <v>83</v>
      </c>
      <c r="C43" s="210" t="s">
        <v>132</v>
      </c>
      <c r="D43" s="487" t="s">
        <v>133</v>
      </c>
      <c r="E43" s="488" t="s">
        <v>134</v>
      </c>
      <c r="F43" s="489" t="s">
        <v>135</v>
      </c>
      <c r="G43" s="182" t="s">
        <v>62</v>
      </c>
      <c r="H43" s="202"/>
      <c r="I43" s="42"/>
      <c r="J43" s="43"/>
      <c r="K43" s="44"/>
    </row>
    <row r="44" ht="14.25" customHeight="1" outlineLevel="1">
      <c r="A44" s="385">
        <v>34</v>
      </c>
      <c r="B44" s="182" t="s">
        <v>83</v>
      </c>
      <c r="C44" s="190" t="s">
        <v>136</v>
      </c>
      <c r="D44" s="267" t="s">
        <v>137</v>
      </c>
      <c r="E44" s="887" t="s">
        <v>378</v>
      </c>
      <c r="F44" s="888" t="s">
        <v>139</v>
      </c>
      <c r="G44" s="182" t="s">
        <v>62</v>
      </c>
      <c r="H44" s="202"/>
      <c r="I44" s="42"/>
      <c r="J44" s="43"/>
      <c r="K44" s="44"/>
    </row>
    <row r="45" ht="14.25" customHeight="1" outlineLevel="1">
      <c r="A45" s="385">
        <v>35</v>
      </c>
      <c r="B45" s="182" t="s">
        <v>83</v>
      </c>
      <c r="C45" s="190" t="s">
        <v>136</v>
      </c>
      <c r="D45" s="287" t="s">
        <v>566</v>
      </c>
      <c r="E45" s="516" t="s">
        <v>567</v>
      </c>
      <c r="F45" s="850" t="s">
        <v>568</v>
      </c>
      <c r="G45" s="514"/>
      <c r="H45" s="94"/>
      <c r="I45" s="42"/>
      <c r="J45" s="43"/>
      <c r="K45" s="44"/>
    </row>
    <row r="46" ht="14.25" customHeight="1" outlineLevel="1">
      <c r="A46" s="385">
        <v>36</v>
      </c>
      <c r="B46" s="182" t="s">
        <v>83</v>
      </c>
      <c r="C46" s="762" t="s">
        <v>143</v>
      </c>
      <c r="D46" s="41" t="s">
        <v>144</v>
      </c>
      <c r="E46" s="516" t="s">
        <v>145</v>
      </c>
      <c r="F46" s="410" t="s">
        <v>146</v>
      </c>
      <c r="G46" s="514" t="s">
        <v>62</v>
      </c>
      <c r="H46" s="94"/>
      <c r="I46" s="42"/>
      <c r="J46" s="43"/>
      <c r="K46" s="44"/>
    </row>
    <row r="47" ht="14.25" customHeight="1" outlineLevel="1">
      <c r="A47" s="385">
        <v>37</v>
      </c>
      <c r="B47" s="182" t="s">
        <v>83</v>
      </c>
      <c r="C47" s="518" t="s">
        <v>147</v>
      </c>
      <c r="D47" s="41" t="s">
        <v>148</v>
      </c>
      <c r="E47" s="516" t="s">
        <v>379</v>
      </c>
      <c r="F47" s="410" t="s">
        <v>150</v>
      </c>
      <c r="G47" s="514" t="s">
        <v>62</v>
      </c>
      <c r="H47" s="94"/>
      <c r="I47" s="42"/>
      <c r="J47" s="43"/>
      <c r="K47" s="44"/>
    </row>
    <row r="48" ht="14.25" customHeight="1" outlineLevel="1">
      <c r="A48" s="385">
        <v>38</v>
      </c>
      <c r="B48" s="204" t="s">
        <v>83</v>
      </c>
      <c r="C48" s="518" t="s">
        <v>147</v>
      </c>
      <c r="D48" s="41" t="s">
        <v>461</v>
      </c>
      <c r="E48" s="516" t="s">
        <v>462</v>
      </c>
      <c r="F48" s="410" t="s">
        <v>463</v>
      </c>
      <c r="G48" s="514" t="s">
        <v>62</v>
      </c>
      <c r="H48" s="94"/>
      <c r="I48" s="42"/>
      <c r="J48" s="43"/>
      <c r="K48" s="44"/>
    </row>
    <row r="49" ht="14.25" customHeight="1" outlineLevel="1">
      <c r="A49" s="385">
        <v>39</v>
      </c>
      <c r="B49" s="182" t="s">
        <v>83</v>
      </c>
      <c r="C49" s="518" t="s">
        <v>147</v>
      </c>
      <c r="D49" s="41" t="s">
        <v>464</v>
      </c>
      <c r="E49" s="516" t="s">
        <v>465</v>
      </c>
      <c r="F49" s="410" t="s">
        <v>466</v>
      </c>
      <c r="G49" s="514" t="s">
        <v>62</v>
      </c>
      <c r="H49" s="94"/>
      <c r="I49" s="42"/>
      <c r="J49" s="43"/>
      <c r="K49" s="44"/>
    </row>
    <row r="50" ht="14.25" customHeight="1" outlineLevel="1">
      <c r="A50" s="385">
        <v>40</v>
      </c>
      <c r="B50" s="182" t="s">
        <v>83</v>
      </c>
      <c r="C50" s="518" t="s">
        <v>569</v>
      </c>
      <c r="D50" s="39" t="s">
        <v>570</v>
      </c>
      <c r="E50" s="516" t="s">
        <v>571</v>
      </c>
      <c r="F50" s="41" t="s">
        <v>572</v>
      </c>
      <c r="G50" s="594"/>
      <c r="H50" s="42"/>
      <c r="I50" s="42"/>
      <c r="J50" s="43"/>
      <c r="K50" s="44"/>
    </row>
    <row r="51" ht="14.25" customHeight="1" outlineLevel="1">
      <c r="A51" s="38">
        <v>41</v>
      </c>
      <c r="B51" s="551"/>
      <c r="C51" s="39"/>
      <c r="D51" s="39"/>
      <c r="E51" s="40"/>
      <c r="F51" s="41"/>
      <c r="G51" s="39"/>
      <c r="H51" s="42"/>
      <c r="I51" s="42"/>
      <c r="J51" s="43"/>
      <c r="K51" s="44"/>
    </row>
    <row r="52" ht="14.25" customHeight="1" outlineLevel="1">
      <c r="A52" s="38">
        <v>42</v>
      </c>
      <c r="B52" s="39"/>
      <c r="C52" s="39"/>
      <c r="D52" s="39"/>
      <c r="E52" s="40"/>
      <c r="F52" s="41"/>
      <c r="G52" s="39"/>
      <c r="H52" s="42"/>
      <c r="I52" s="42"/>
      <c r="J52" s="43"/>
      <c r="K52" s="44"/>
    </row>
    <row r="53" ht="14.25" hidden="1" customHeight="1" outlineLevel="1">
      <c r="A53" s="38">
        <v>43</v>
      </c>
      <c r="B53" s="39"/>
      <c r="C53" s="39"/>
      <c r="D53" s="39"/>
      <c r="E53" s="40"/>
      <c r="F53" s="41"/>
      <c r="G53" s="39"/>
      <c r="H53" s="42"/>
      <c r="I53" s="42"/>
      <c r="J53" s="43"/>
      <c r="K53" s="44"/>
    </row>
    <row r="54" ht="14.25" hidden="1" customHeight="1" outlineLevel="1">
      <c r="A54" s="38">
        <v>44</v>
      </c>
      <c r="B54" s="39"/>
      <c r="C54" s="39"/>
      <c r="D54" s="39"/>
      <c r="E54" s="40"/>
      <c r="F54" s="41"/>
      <c r="G54" s="39"/>
      <c r="H54" s="42"/>
      <c r="I54" s="42"/>
      <c r="J54" s="43"/>
      <c r="K54" s="44"/>
    </row>
    <row r="55" ht="14.25" hidden="1" customHeight="1" outlineLevel="1">
      <c r="A55" s="38">
        <v>45</v>
      </c>
      <c r="B55" s="39"/>
      <c r="C55" s="39"/>
      <c r="D55" s="39"/>
      <c r="E55" s="40"/>
      <c r="F55" s="41"/>
      <c r="G55" s="39"/>
      <c r="H55" s="42"/>
      <c r="I55" s="42"/>
      <c r="J55" s="43"/>
      <c r="K55" s="44"/>
    </row>
    <row r="56" ht="14.25" hidden="1" customHeight="1" outlineLevel="1">
      <c r="A56" s="38">
        <v>46</v>
      </c>
      <c r="B56" s="39"/>
      <c r="C56" s="39"/>
      <c r="D56" s="39"/>
      <c r="E56" s="40"/>
      <c r="F56" s="41"/>
      <c r="G56" s="39"/>
      <c r="H56" s="42"/>
      <c r="I56" s="42"/>
      <c r="J56" s="43"/>
      <c r="K56" s="44"/>
    </row>
    <row r="57" ht="14.25" hidden="1" customHeight="1" outlineLevel="1">
      <c r="A57" s="38">
        <v>47</v>
      </c>
      <c r="B57" s="39"/>
      <c r="C57" s="39"/>
      <c r="D57" s="39"/>
      <c r="E57" s="40"/>
      <c r="F57" s="41"/>
      <c r="G57" s="39"/>
      <c r="H57" s="42"/>
      <c r="I57" s="42"/>
      <c r="J57" s="43"/>
      <c r="K57" s="44"/>
    </row>
    <row r="58" ht="14.25" hidden="1" customHeight="1" outlineLevel="1">
      <c r="A58" s="38">
        <v>48</v>
      </c>
      <c r="B58" s="39"/>
      <c r="C58" s="39"/>
      <c r="D58" s="39"/>
      <c r="E58" s="40"/>
      <c r="F58" s="41"/>
      <c r="G58" s="39"/>
      <c r="H58" s="42"/>
      <c r="I58" s="42"/>
      <c r="J58" s="43"/>
      <c r="K58" s="44"/>
    </row>
    <row r="59" ht="14.25" hidden="1" customHeight="1" outlineLevel="1">
      <c r="A59" s="38">
        <v>49</v>
      </c>
      <c r="B59" s="39"/>
      <c r="C59" s="39"/>
      <c r="D59" s="39"/>
      <c r="E59" s="40"/>
      <c r="F59" s="41"/>
      <c r="G59" s="39"/>
      <c r="H59" s="42"/>
      <c r="I59" s="42"/>
      <c r="J59" s="43"/>
      <c r="K59" s="44"/>
    </row>
    <row r="60" ht="14.25" hidden="1" customHeight="1" outlineLevel="1">
      <c r="A60" s="38">
        <v>50</v>
      </c>
      <c r="B60" s="39"/>
      <c r="C60" s="39"/>
      <c r="D60" s="39"/>
      <c r="E60" s="40"/>
      <c r="F60" s="41"/>
      <c r="G60" s="39"/>
      <c r="H60" s="42"/>
      <c r="I60" s="42"/>
      <c r="J60" s="43"/>
      <c r="K60" s="44"/>
    </row>
    <row r="61" ht="14.25" hidden="1" customHeight="1" outlineLevel="1">
      <c r="A61" s="38">
        <v>51</v>
      </c>
      <c r="B61" s="39"/>
      <c r="C61" s="39"/>
      <c r="D61" s="39"/>
      <c r="E61" s="40"/>
      <c r="F61" s="41"/>
      <c r="G61" s="39"/>
      <c r="H61" s="42"/>
      <c r="I61" s="42"/>
      <c r="J61" s="43"/>
      <c r="K61" s="44"/>
    </row>
    <row r="62" ht="14.25" hidden="1" customHeight="1" outlineLevel="1">
      <c r="A62" s="38">
        <v>52</v>
      </c>
      <c r="B62" s="39"/>
      <c r="C62" s="39"/>
      <c r="D62" s="39"/>
      <c r="E62" s="40"/>
      <c r="F62" s="41"/>
      <c r="G62" s="39"/>
      <c r="H62" s="42"/>
      <c r="I62" s="42"/>
      <c r="J62" s="43"/>
      <c r="K62" s="44"/>
    </row>
    <row r="63" ht="14.25" hidden="1" customHeight="1" outlineLevel="1">
      <c r="A63" s="38">
        <v>53</v>
      </c>
      <c r="B63" s="39"/>
      <c r="C63" s="39"/>
      <c r="D63" s="39"/>
      <c r="E63" s="40"/>
      <c r="F63" s="41"/>
      <c r="G63" s="39"/>
      <c r="H63" s="42"/>
      <c r="I63" s="42"/>
      <c r="J63" s="43"/>
      <c r="K63" s="44"/>
    </row>
    <row r="64" ht="14.25" hidden="1" customHeight="1" outlineLevel="1">
      <c r="A64" s="38">
        <v>54</v>
      </c>
      <c r="B64" s="39"/>
      <c r="C64" s="39"/>
      <c r="D64" s="39"/>
      <c r="E64" s="40"/>
      <c r="F64" s="41"/>
      <c r="G64" s="39"/>
      <c r="H64" s="42"/>
      <c r="I64" s="42"/>
      <c r="J64" s="43"/>
      <c r="K64" s="44"/>
    </row>
    <row r="65" ht="14.25" hidden="1" customHeight="1" outlineLevel="1">
      <c r="A65" s="38">
        <v>55</v>
      </c>
      <c r="B65" s="39"/>
      <c r="C65" s="39"/>
      <c r="D65" s="39"/>
      <c r="E65" s="40"/>
      <c r="F65" s="41"/>
      <c r="G65" s="39"/>
      <c r="H65" s="42"/>
      <c r="I65" s="42"/>
      <c r="J65" s="43"/>
      <c r="K65" s="44"/>
    </row>
    <row r="66" ht="14.25" hidden="1" customHeight="1" outlineLevel="1">
      <c r="A66" s="38">
        <v>56</v>
      </c>
      <c r="B66" s="39"/>
      <c r="C66" s="39"/>
      <c r="D66" s="39"/>
      <c r="E66" s="40"/>
      <c r="F66" s="41"/>
      <c r="G66" s="39"/>
      <c r="H66" s="42"/>
      <c r="I66" s="42"/>
      <c r="J66" s="43"/>
      <c r="K66" s="44"/>
    </row>
    <row r="67" ht="14.25" hidden="1" customHeight="1" outlineLevel="1">
      <c r="A67" s="38">
        <v>57</v>
      </c>
      <c r="B67" s="39"/>
      <c r="C67" s="39"/>
      <c r="D67" s="39"/>
      <c r="E67" s="40"/>
      <c r="F67" s="41"/>
      <c r="G67" s="39"/>
      <c r="H67" s="42"/>
      <c r="I67" s="42"/>
      <c r="J67" s="43"/>
      <c r="K67" s="44"/>
    </row>
    <row r="68" ht="14.25" hidden="1" customHeight="1" outlineLevel="1">
      <c r="A68" s="38">
        <v>58</v>
      </c>
      <c r="B68" s="39"/>
      <c r="C68" s="39"/>
      <c r="D68" s="39"/>
      <c r="E68" s="40"/>
      <c r="F68" s="41"/>
      <c r="G68" s="39"/>
      <c r="H68" s="42"/>
      <c r="I68" s="42"/>
      <c r="J68" s="43"/>
      <c r="K68" s="44"/>
    </row>
    <row r="69" ht="14.25" hidden="1" customHeight="1" outlineLevel="1">
      <c r="A69" s="38">
        <v>59</v>
      </c>
      <c r="B69" s="39"/>
      <c r="C69" s="39"/>
      <c r="D69" s="39"/>
      <c r="E69" s="40"/>
      <c r="F69" s="41"/>
      <c r="G69" s="39"/>
      <c r="H69" s="42"/>
      <c r="I69" s="42"/>
      <c r="J69" s="43"/>
      <c r="K69" s="44"/>
    </row>
    <row r="70" ht="14.25" hidden="1" customHeight="1" outlineLevel="1">
      <c r="A70" s="38">
        <v>60</v>
      </c>
      <c r="B70" s="39"/>
      <c r="C70" s="39"/>
      <c r="D70" s="39"/>
      <c r="E70" s="40"/>
      <c r="F70" s="41"/>
      <c r="G70" s="39"/>
      <c r="H70" s="42"/>
      <c r="I70" s="42"/>
      <c r="J70" s="43"/>
      <c r="K70" s="44"/>
    </row>
    <row r="71" ht="14.25" hidden="1" customHeight="1" outlineLevel="1">
      <c r="A71" s="38">
        <v>61</v>
      </c>
      <c r="B71" s="39"/>
      <c r="C71" s="39"/>
      <c r="D71" s="39"/>
      <c r="E71" s="40"/>
      <c r="F71" s="41"/>
      <c r="G71" s="39"/>
      <c r="H71" s="42"/>
      <c r="I71" s="42"/>
      <c r="J71" s="43"/>
      <c r="K71" s="44"/>
    </row>
    <row r="72" ht="14.25" hidden="1" customHeight="1" outlineLevel="1">
      <c r="A72" s="38">
        <v>62</v>
      </c>
      <c r="B72" s="39"/>
      <c r="C72" s="39"/>
      <c r="D72" s="39"/>
      <c r="E72" s="40"/>
      <c r="F72" s="41"/>
      <c r="G72" s="39"/>
      <c r="H72" s="42"/>
      <c r="I72" s="42"/>
      <c r="J72" s="43"/>
      <c r="K72" s="44"/>
    </row>
    <row r="73" ht="14.25" hidden="1" customHeight="1" outlineLevel="1">
      <c r="A73" s="38">
        <v>63</v>
      </c>
      <c r="B73" s="39"/>
      <c r="C73" s="39"/>
      <c r="D73" s="39"/>
      <c r="E73" s="40"/>
      <c r="F73" s="41"/>
      <c r="G73" s="39"/>
      <c r="H73" s="42"/>
      <c r="I73" s="42"/>
      <c r="J73" s="43"/>
      <c r="K73" s="44"/>
    </row>
    <row r="74" ht="14.25" hidden="1" customHeight="1" outlineLevel="1">
      <c r="A74" s="38">
        <v>64</v>
      </c>
      <c r="B74" s="39"/>
      <c r="C74" s="39"/>
      <c r="D74" s="39"/>
      <c r="E74" s="40"/>
      <c r="F74" s="41"/>
      <c r="G74" s="39"/>
      <c r="H74" s="42"/>
      <c r="I74" s="42"/>
      <c r="J74" s="43"/>
      <c r="K74" s="44"/>
    </row>
    <row r="75" ht="14.25" hidden="1" customHeight="1" outlineLevel="1">
      <c r="A75" s="38">
        <v>65</v>
      </c>
      <c r="B75" s="39"/>
      <c r="C75" s="39"/>
      <c r="D75" s="39"/>
      <c r="E75" s="40"/>
      <c r="F75" s="41"/>
      <c r="G75" s="39"/>
      <c r="H75" s="42"/>
      <c r="I75" s="42"/>
      <c r="J75" s="43"/>
      <c r="K75" s="44"/>
    </row>
    <row r="76" ht="14.25" hidden="1" customHeight="1" outlineLevel="1">
      <c r="A76" s="38">
        <v>66</v>
      </c>
      <c r="B76" s="39"/>
      <c r="C76" s="39"/>
      <c r="D76" s="39"/>
      <c r="E76" s="40"/>
      <c r="F76" s="41"/>
      <c r="G76" s="39"/>
      <c r="H76" s="42"/>
      <c r="I76" s="42"/>
      <c r="J76" s="43"/>
      <c r="K76" s="44"/>
    </row>
    <row r="77" ht="14.25" hidden="1" customHeight="1" outlineLevel="1">
      <c r="A77" s="38">
        <v>67</v>
      </c>
      <c r="B77" s="39"/>
      <c r="C77" s="39"/>
      <c r="D77" s="39"/>
      <c r="E77" s="40"/>
      <c r="F77" s="41"/>
      <c r="G77" s="39"/>
      <c r="H77" s="42"/>
      <c r="I77" s="42"/>
      <c r="J77" s="43"/>
      <c r="K77" s="44"/>
    </row>
    <row r="78" ht="14.25" hidden="1" customHeight="1" outlineLevel="1">
      <c r="A78" s="38">
        <v>68</v>
      </c>
      <c r="B78" s="39"/>
      <c r="C78" s="39"/>
      <c r="D78" s="39"/>
      <c r="E78" s="40"/>
      <c r="F78" s="41"/>
      <c r="G78" s="39"/>
      <c r="H78" s="42"/>
      <c r="I78" s="42"/>
      <c r="J78" s="43"/>
      <c r="K78" s="44"/>
    </row>
    <row r="79" ht="14.25" hidden="1" customHeight="1" outlineLevel="1">
      <c r="A79" s="38">
        <v>69</v>
      </c>
      <c r="B79" s="39"/>
      <c r="C79" s="39"/>
      <c r="D79" s="39"/>
      <c r="E79" s="40"/>
      <c r="F79" s="41"/>
      <c r="G79" s="39"/>
      <c r="H79" s="42"/>
      <c r="I79" s="42"/>
      <c r="J79" s="43"/>
      <c r="K79" s="44"/>
    </row>
    <row r="80" ht="14.25" hidden="1" customHeight="1" outlineLevel="1">
      <c r="A80" s="38">
        <v>70</v>
      </c>
      <c r="B80" s="39"/>
      <c r="C80" s="39"/>
      <c r="D80" s="39"/>
      <c r="E80" s="40"/>
      <c r="F80" s="41"/>
      <c r="G80" s="39"/>
      <c r="H80" s="42"/>
      <c r="I80" s="42"/>
      <c r="J80" s="43"/>
      <c r="K80" s="44"/>
    </row>
    <row r="81" ht="14.25" hidden="1" customHeight="1" outlineLevel="1">
      <c r="A81" s="38">
        <v>71</v>
      </c>
      <c r="B81" s="39"/>
      <c r="C81" s="39"/>
      <c r="D81" s="39"/>
      <c r="E81" s="40"/>
      <c r="F81" s="41"/>
      <c r="G81" s="41"/>
      <c r="H81" s="39"/>
      <c r="I81" s="43"/>
      <c r="J81" s="43"/>
      <c r="K81" s="44"/>
    </row>
    <row r="82" ht="14.25" hidden="1" customHeight="1" outlineLevel="1">
      <c r="A82" s="38">
        <v>72</v>
      </c>
      <c r="B82" s="39"/>
      <c r="C82" s="39"/>
      <c r="D82" s="39"/>
      <c r="E82" s="40"/>
      <c r="F82" s="41"/>
      <c r="G82" s="39"/>
      <c r="H82" s="39"/>
      <c r="I82" s="39"/>
      <c r="J82" s="43"/>
      <c r="K82" s="44"/>
    </row>
    <row r="83" ht="14.25" hidden="1" customHeight="1" outlineLevel="1">
      <c r="A83" s="38">
        <v>73</v>
      </c>
      <c r="B83" s="39"/>
      <c r="C83" s="39"/>
      <c r="D83" s="39"/>
      <c r="E83" s="40"/>
      <c r="F83" s="41"/>
      <c r="G83" s="39"/>
      <c r="H83" s="39"/>
      <c r="I83" s="39"/>
      <c r="J83" s="43"/>
      <c r="K83" s="44"/>
    </row>
    <row r="84" ht="14.25" hidden="1" customHeight="1" outlineLevel="1">
      <c r="A84" s="38">
        <v>74</v>
      </c>
      <c r="B84" s="39"/>
      <c r="C84" s="39"/>
      <c r="D84" s="39"/>
      <c r="E84" s="40"/>
      <c r="F84" s="41"/>
      <c r="G84" s="39"/>
      <c r="H84" s="39"/>
      <c r="I84" s="39"/>
      <c r="J84" s="43"/>
      <c r="K84" s="44"/>
    </row>
    <row r="85" ht="14.25" hidden="1" customHeight="1" outlineLevel="1">
      <c r="A85" s="38">
        <v>75</v>
      </c>
      <c r="B85" s="39"/>
      <c r="C85" s="39"/>
      <c r="D85" s="39"/>
      <c r="E85" s="40"/>
      <c r="F85" s="41"/>
      <c r="G85" s="39"/>
      <c r="H85" s="39"/>
      <c r="I85" s="39"/>
      <c r="J85" s="43"/>
      <c r="K85" s="44"/>
    </row>
    <row r="86" ht="14.25" hidden="1" customHeight="1" outlineLevel="1">
      <c r="A86" s="38">
        <v>76</v>
      </c>
      <c r="B86" s="39"/>
      <c r="C86" s="39"/>
      <c r="D86" s="39"/>
      <c r="E86" s="40"/>
      <c r="F86" s="41"/>
      <c r="G86" s="39"/>
      <c r="H86" s="39"/>
      <c r="I86" s="39"/>
      <c r="J86" s="43"/>
      <c r="K86" s="44"/>
    </row>
    <row r="87" ht="14.25" hidden="1" customHeight="1" outlineLevel="1">
      <c r="A87" s="38">
        <v>77</v>
      </c>
      <c r="B87" s="39"/>
      <c r="C87" s="39"/>
      <c r="D87" s="39"/>
      <c r="E87" s="40"/>
      <c r="F87" s="41"/>
      <c r="G87" s="39"/>
      <c r="H87" s="39"/>
      <c r="I87" s="39"/>
      <c r="J87" s="43"/>
      <c r="K87" s="44"/>
    </row>
    <row r="88" ht="14.25" hidden="1" customHeight="1" outlineLevel="1">
      <c r="A88" s="38">
        <v>78</v>
      </c>
      <c r="B88" s="39"/>
      <c r="C88" s="39"/>
      <c r="D88" s="39"/>
      <c r="E88" s="40"/>
      <c r="F88" s="41"/>
      <c r="G88" s="39"/>
      <c r="H88" s="39"/>
      <c r="I88" s="39"/>
      <c r="J88" s="43"/>
      <c r="K88" s="44"/>
    </row>
    <row r="89" ht="14.25" hidden="1" customHeight="1" outlineLevel="1">
      <c r="A89" s="38">
        <v>79</v>
      </c>
      <c r="B89" s="39"/>
      <c r="C89" s="39"/>
      <c r="D89" s="39"/>
      <c r="E89" s="40"/>
      <c r="F89" s="41"/>
      <c r="G89" s="39"/>
      <c r="H89" s="39"/>
      <c r="I89" s="39"/>
      <c r="J89" s="43"/>
      <c r="K89" s="44"/>
    </row>
    <row r="90" ht="14.25" hidden="1" customHeight="1" outlineLevel="1">
      <c r="A90" s="38">
        <v>80</v>
      </c>
      <c r="B90" s="39"/>
      <c r="C90" s="39"/>
      <c r="D90" s="39"/>
      <c r="E90" s="40"/>
      <c r="F90" s="41"/>
      <c r="G90" s="39"/>
      <c r="H90" s="39"/>
      <c r="I90" s="39"/>
      <c r="J90" s="43"/>
      <c r="K90" s="44"/>
    </row>
    <row r="91" ht="14.25" hidden="1" customHeight="1" outlineLevel="1">
      <c r="A91" s="38">
        <v>81</v>
      </c>
      <c r="B91" s="39"/>
      <c r="C91" s="39"/>
      <c r="D91" s="41"/>
      <c r="E91" s="40"/>
      <c r="F91" s="41"/>
      <c r="G91" s="39"/>
      <c r="H91" s="39"/>
      <c r="I91" s="39"/>
      <c r="J91" s="43"/>
      <c r="K91" s="44"/>
    </row>
    <row r="92" ht="14.25" hidden="1" customHeight="1" outlineLevel="1">
      <c r="A92" s="38">
        <v>82</v>
      </c>
      <c r="B92" s="39"/>
      <c r="C92" s="39"/>
      <c r="D92" s="39"/>
      <c r="E92" s="40"/>
      <c r="F92" s="41"/>
      <c r="G92" s="41"/>
      <c r="H92" s="39"/>
      <c r="I92" s="39"/>
      <c r="J92" s="43"/>
      <c r="K92" s="44"/>
    </row>
    <row r="93" ht="14.25" hidden="1" customHeight="1" outlineLevel="1">
      <c r="A93" s="38">
        <v>83</v>
      </c>
      <c r="B93" s="39"/>
      <c r="C93" s="39"/>
      <c r="D93" s="39"/>
      <c r="E93" s="40"/>
      <c r="F93" s="41"/>
      <c r="G93" s="39"/>
      <c r="H93" s="39"/>
      <c r="I93" s="39"/>
      <c r="J93" s="43"/>
      <c r="K93" s="44"/>
    </row>
    <row r="94" ht="14.25" hidden="1" customHeight="1" outlineLevel="1">
      <c r="A94" s="38">
        <v>84</v>
      </c>
      <c r="B94" s="39"/>
      <c r="C94" s="39"/>
      <c r="D94" s="39"/>
      <c r="E94" s="40"/>
      <c r="F94" s="41"/>
      <c r="G94" s="39"/>
      <c r="H94" s="39"/>
      <c r="I94" s="39"/>
      <c r="J94" s="43"/>
      <c r="K94" s="44"/>
    </row>
    <row r="95" ht="14.25" hidden="1" customHeight="1" outlineLevel="1">
      <c r="A95" s="38">
        <v>85</v>
      </c>
      <c r="B95" s="39"/>
      <c r="C95" s="39"/>
      <c r="D95" s="39"/>
      <c r="E95" s="40"/>
      <c r="F95" s="41"/>
      <c r="G95" s="39"/>
      <c r="H95" s="39"/>
      <c r="I95" s="39"/>
      <c r="J95" s="43"/>
      <c r="K95" s="44"/>
    </row>
    <row r="96" ht="14.25" hidden="1" customHeight="1" outlineLevel="1">
      <c r="A96" s="38">
        <v>86</v>
      </c>
      <c r="B96" s="39"/>
      <c r="C96" s="39"/>
      <c r="D96" s="39"/>
      <c r="E96" s="40"/>
      <c r="F96" s="41"/>
      <c r="G96" s="39"/>
      <c r="H96" s="39"/>
      <c r="I96" s="39"/>
      <c r="J96" s="43"/>
      <c r="K96" s="44"/>
    </row>
    <row r="97" ht="14.25" hidden="1" customHeight="1" outlineLevel="1">
      <c r="A97" s="38">
        <v>87</v>
      </c>
      <c r="B97" s="39"/>
      <c r="C97" s="39"/>
      <c r="D97" s="39"/>
      <c r="E97" s="45"/>
      <c r="F97" s="41"/>
      <c r="G97" s="39"/>
      <c r="H97" s="39"/>
      <c r="I97" s="39"/>
      <c r="J97" s="43"/>
      <c r="K97" s="44"/>
    </row>
    <row r="98" ht="14.25" hidden="1" customHeight="1" outlineLevel="1">
      <c r="A98" s="38">
        <v>88</v>
      </c>
      <c r="B98" s="39"/>
      <c r="C98" s="39"/>
      <c r="D98" s="39"/>
      <c r="E98" s="40"/>
      <c r="F98" s="41"/>
      <c r="G98" s="39"/>
      <c r="H98" s="39"/>
      <c r="I98" s="39"/>
      <c r="J98" s="43"/>
      <c r="K98" s="44"/>
    </row>
    <row r="99" ht="14.25" hidden="1" customHeight="1" outlineLevel="1">
      <c r="A99" s="38">
        <v>89</v>
      </c>
      <c r="B99" s="39"/>
      <c r="C99" s="39"/>
      <c r="D99" s="39"/>
      <c r="E99" s="40"/>
      <c r="F99" s="41"/>
      <c r="G99" s="39"/>
      <c r="H99" s="39"/>
      <c r="I99" s="39"/>
      <c r="J99" s="43"/>
      <c r="K99" s="44"/>
    </row>
    <row r="100" ht="14.25" hidden="1" customHeight="1" outlineLevel="1">
      <c r="A100" s="38">
        <v>90</v>
      </c>
      <c r="B100" s="39"/>
      <c r="C100" s="39"/>
      <c r="D100" s="39"/>
      <c r="E100" s="40"/>
      <c r="F100" s="39"/>
      <c r="G100" s="39"/>
      <c r="H100" s="39"/>
      <c r="I100" s="39"/>
      <c r="J100" s="43"/>
      <c r="K100" s="44"/>
    </row>
    <row r="101" ht="14.25" hidden="1" customHeight="1" outlineLevel="1">
      <c r="A101" s="38">
        <v>91</v>
      </c>
      <c r="B101" s="46"/>
      <c r="C101" s="46"/>
      <c r="D101" s="46"/>
      <c r="E101" s="47"/>
      <c r="F101" s="48"/>
      <c r="G101" s="46"/>
      <c r="H101" s="46"/>
      <c r="I101" s="39"/>
      <c r="J101" s="43"/>
      <c r="K101" s="44"/>
    </row>
    <row r="102" ht="14.25" hidden="1" customHeight="1" outlineLevel="1">
      <c r="A102" s="38">
        <v>92</v>
      </c>
      <c r="B102" s="39"/>
      <c r="C102" s="39"/>
      <c r="D102" s="41"/>
      <c r="E102" s="40"/>
      <c r="F102" s="41"/>
      <c r="G102" s="39"/>
      <c r="H102" s="39"/>
      <c r="I102" s="39"/>
      <c r="J102" s="43"/>
      <c r="K102" s="44"/>
    </row>
    <row r="103" ht="14.25" hidden="1" customHeight="1" outlineLevel="1">
      <c r="A103" s="38">
        <v>93</v>
      </c>
      <c r="B103" s="39"/>
      <c r="C103" s="39"/>
      <c r="D103" s="41"/>
      <c r="E103" s="40"/>
      <c r="F103" s="41"/>
      <c r="G103" s="39"/>
      <c r="H103" s="39"/>
      <c r="I103" s="39"/>
      <c r="J103" s="43"/>
      <c r="K103" s="44"/>
    </row>
    <row r="104" ht="14.25" hidden="1" customHeight="1" outlineLevel="1">
      <c r="A104" s="38">
        <v>94</v>
      </c>
      <c r="B104" s="39"/>
      <c r="C104" s="39"/>
      <c r="D104" s="39"/>
      <c r="E104" s="45"/>
      <c r="F104" s="41"/>
      <c r="G104" s="39"/>
      <c r="H104" s="39"/>
      <c r="I104" s="39"/>
      <c r="J104" s="43"/>
      <c r="K104" s="44"/>
    </row>
    <row r="105" ht="14.25" hidden="1" customHeight="1" outlineLevel="1">
      <c r="A105" s="38">
        <v>95</v>
      </c>
      <c r="B105" s="49"/>
      <c r="C105" s="49"/>
      <c r="D105" s="49"/>
      <c r="E105" s="45"/>
      <c r="F105" s="50"/>
      <c r="G105" s="49"/>
      <c r="H105" s="49"/>
      <c r="I105" s="49"/>
      <c r="J105" s="43"/>
      <c r="K105" s="44"/>
    </row>
    <row r="106" ht="14.25" hidden="1" customHeight="1" outlineLevel="1">
      <c r="A106" s="38">
        <v>96</v>
      </c>
      <c r="B106" s="39"/>
      <c r="C106" s="39"/>
      <c r="D106" s="39"/>
      <c r="E106" s="45"/>
      <c r="F106" s="41"/>
      <c r="G106" s="51"/>
      <c r="H106" s="51"/>
      <c r="I106" s="52"/>
      <c r="J106" s="43"/>
      <c r="K106" s="44"/>
    </row>
    <row r="107" ht="14.25" hidden="1" customHeight="1" outlineLevel="1">
      <c r="A107" s="38">
        <v>97</v>
      </c>
      <c r="B107" s="39"/>
      <c r="C107" s="39"/>
      <c r="D107" s="39"/>
      <c r="E107" s="45"/>
      <c r="F107" s="41"/>
      <c r="G107" s="41"/>
      <c r="H107" s="39"/>
      <c r="I107" s="39"/>
      <c r="J107" s="43"/>
      <c r="K107" s="44"/>
    </row>
    <row r="108" ht="14.25" hidden="1" customHeight="1" outlineLevel="1">
      <c r="A108" s="38">
        <v>98</v>
      </c>
      <c r="B108" s="39"/>
      <c r="C108" s="39"/>
      <c r="D108" s="39"/>
      <c r="E108" s="45"/>
      <c r="F108" s="41"/>
      <c r="G108" s="41"/>
      <c r="H108" s="39"/>
      <c r="I108" s="39"/>
      <c r="J108" s="43"/>
      <c r="K108" s="44"/>
    </row>
    <row r="109" ht="14.25" hidden="1" customHeight="1" outlineLevel="1">
      <c r="A109" s="38">
        <v>99</v>
      </c>
      <c r="B109" s="53"/>
      <c r="C109" s="53"/>
      <c r="D109" s="53"/>
      <c r="E109" s="54"/>
      <c r="F109" s="55"/>
      <c r="G109" s="53"/>
      <c r="H109" s="53"/>
      <c r="I109" s="42"/>
      <c r="J109" s="43"/>
      <c r="K109" s="44"/>
    </row>
    <row r="110" ht="14.25" hidden="1" customHeight="1" outlineLevel="1">
      <c r="A110" s="38">
        <v>100</v>
      </c>
      <c r="B110" s="56"/>
      <c r="C110" s="56"/>
      <c r="D110" s="56"/>
      <c r="E110" s="54"/>
      <c r="F110" s="55"/>
      <c r="G110" s="53"/>
      <c r="H110" s="53"/>
      <c r="I110" s="42"/>
      <c r="J110" s="57"/>
      <c r="K110" s="58"/>
    </row>
    <row r="111" ht="14.25" hidden="1" customHeight="1" outlineLevel="1">
      <c r="A111" s="38">
        <v>101</v>
      </c>
      <c r="B111" s="56"/>
      <c r="C111" s="56"/>
      <c r="D111" s="56"/>
      <c r="E111" s="54"/>
      <c r="F111" s="55"/>
      <c r="G111" s="53"/>
      <c r="H111" s="53"/>
      <c r="I111" s="42"/>
      <c r="J111" s="57"/>
      <c r="K111" s="58"/>
    </row>
    <row r="112" ht="14.25" hidden="1" customHeight="1" outlineLevel="1">
      <c r="A112" s="38">
        <v>102</v>
      </c>
      <c r="B112" s="56"/>
      <c r="C112" s="56"/>
      <c r="D112" s="56"/>
      <c r="E112" s="54"/>
      <c r="F112" s="55"/>
      <c r="G112" s="53"/>
      <c r="H112" s="53"/>
      <c r="I112" s="42"/>
      <c r="J112" s="57"/>
      <c r="K112" s="58"/>
    </row>
    <row r="113" ht="14.25" hidden="1" customHeight="1" outlineLevel="1">
      <c r="A113" s="38">
        <v>103</v>
      </c>
      <c r="B113" s="56"/>
      <c r="C113" s="56"/>
      <c r="D113" s="56"/>
      <c r="E113" s="54"/>
      <c r="F113" s="55"/>
      <c r="G113" s="53"/>
      <c r="H113" s="53"/>
      <c r="I113" s="42"/>
      <c r="J113" s="57"/>
      <c r="K113" s="58"/>
    </row>
    <row r="114" ht="14.25" hidden="1" customHeight="1" outlineLevel="1">
      <c r="A114" s="38">
        <v>104</v>
      </c>
      <c r="B114" s="59"/>
      <c r="C114" s="59"/>
      <c r="D114" s="59"/>
      <c r="E114" s="60"/>
      <c r="F114" s="61"/>
      <c r="G114" s="59"/>
      <c r="H114" s="59"/>
      <c r="I114" s="59"/>
      <c r="J114" s="57"/>
      <c r="K114" s="58"/>
    </row>
    <row r="115" ht="14.25" hidden="1" customHeight="1" outlineLevel="1">
      <c r="A115" s="38">
        <v>105</v>
      </c>
      <c r="B115" s="59"/>
      <c r="C115" s="59"/>
      <c r="D115" s="59"/>
      <c r="E115" s="60"/>
      <c r="F115" s="61"/>
      <c r="G115" s="59"/>
      <c r="H115" s="59"/>
      <c r="I115" s="59"/>
      <c r="J115" s="57"/>
      <c r="K115" s="58"/>
    </row>
    <row r="116" ht="14.25" hidden="1" customHeight="1" outlineLevel="1">
      <c r="A116" s="38">
        <v>106</v>
      </c>
      <c r="B116" s="59"/>
      <c r="C116" s="59"/>
      <c r="D116" s="59"/>
      <c r="E116" s="60"/>
      <c r="F116" s="61"/>
      <c r="G116" s="61"/>
      <c r="H116" s="59"/>
      <c r="I116" s="59"/>
      <c r="J116" s="57"/>
      <c r="K116" s="58"/>
    </row>
    <row r="117" ht="14.25" hidden="1" customHeight="1" outlineLevel="1">
      <c r="A117" s="38">
        <v>107</v>
      </c>
      <c r="B117" s="59"/>
      <c r="C117" s="59"/>
      <c r="D117" s="59"/>
      <c r="E117" s="60"/>
      <c r="F117" s="61"/>
      <c r="G117" s="61"/>
      <c r="H117" s="59"/>
      <c r="I117" s="59"/>
      <c r="J117" s="57"/>
      <c r="K117" s="58"/>
    </row>
    <row r="118" ht="14.25" hidden="1" customHeight="1" outlineLevel="1">
      <c r="A118" s="38">
        <v>108</v>
      </c>
      <c r="B118" s="59"/>
      <c r="C118" s="59"/>
      <c r="D118" s="59"/>
      <c r="E118" s="60"/>
      <c r="F118" s="61"/>
      <c r="G118" s="61"/>
      <c r="H118" s="59"/>
      <c r="I118" s="59"/>
      <c r="J118" s="57"/>
      <c r="K118" s="58"/>
    </row>
    <row r="119" ht="14.25" hidden="1" customHeight="1" outlineLevel="1">
      <c r="A119" s="38">
        <v>109</v>
      </c>
      <c r="B119" s="59"/>
      <c r="C119" s="59"/>
      <c r="D119" s="59"/>
      <c r="E119" s="60"/>
      <c r="F119" s="61"/>
      <c r="G119" s="61"/>
      <c r="H119" s="59"/>
      <c r="I119" s="59"/>
      <c r="J119" s="57"/>
      <c r="K119" s="58"/>
    </row>
    <row r="120" ht="14.25" hidden="1" customHeight="1" outlineLevel="1">
      <c r="A120" s="419">
        <v>110</v>
      </c>
      <c r="B120" s="56"/>
      <c r="C120" s="56"/>
      <c r="D120" s="56"/>
      <c r="E120" s="78"/>
      <c r="F120" s="79"/>
      <c r="G120" s="79"/>
      <c r="H120" s="56"/>
      <c r="I120" s="56"/>
      <c r="J120" s="80"/>
      <c r="K120" s="81"/>
    </row>
    <row r="121" s="21" customFormat="1" ht="18.75" customHeight="1" outlineLevel="1">
      <c r="A121" s="445"/>
      <c r="B121" s="446" t="s">
        <v>18</v>
      </c>
      <c r="C121" s="447"/>
      <c r="D121" s="448"/>
      <c r="E121" s="449"/>
      <c r="F121" s="446"/>
      <c r="G121" s="446"/>
      <c r="H121" s="446"/>
      <c r="I121" s="446"/>
      <c r="J121" s="446"/>
      <c r="K121" s="450"/>
    </row>
    <row r="122" ht="14.25" customHeight="1" outlineLevel="1">
      <c r="A122" s="420">
        <v>1</v>
      </c>
      <c r="B122" s="249" t="s">
        <v>199</v>
      </c>
      <c r="C122" s="249" t="s">
        <v>200</v>
      </c>
      <c r="D122" s="249" t="s">
        <v>201</v>
      </c>
      <c r="E122" s="250" t="s">
        <v>202</v>
      </c>
      <c r="F122" s="330" t="s">
        <v>203</v>
      </c>
      <c r="G122" s="182" t="s">
        <v>62</v>
      </c>
      <c r="H122" s="424"/>
      <c r="I122" s="99"/>
      <c r="J122" s="302"/>
      <c r="K122" s="303"/>
    </row>
    <row r="123" ht="14.25" customHeight="1" outlineLevel="1">
      <c r="A123" s="68">
        <v>2</v>
      </c>
      <c r="B123" s="846" t="s">
        <v>204</v>
      </c>
      <c r="C123" s="846" t="s">
        <v>205</v>
      </c>
      <c r="D123" s="253" t="s">
        <v>206</v>
      </c>
      <c r="E123" s="552" t="s">
        <v>207</v>
      </c>
      <c r="F123" s="255" t="s">
        <v>208</v>
      </c>
      <c r="G123" s="182" t="s">
        <v>62</v>
      </c>
      <c r="H123" s="245"/>
      <c r="I123" s="59"/>
      <c r="J123" s="57"/>
      <c r="K123" s="58"/>
    </row>
    <row r="124" ht="14.25" customHeight="1" outlineLevel="1">
      <c r="A124" s="68">
        <v>3</v>
      </c>
      <c r="B124" s="99"/>
      <c r="C124" s="99"/>
      <c r="D124" s="99"/>
      <c r="E124" s="100"/>
      <c r="F124" s="101"/>
      <c r="G124" s="99"/>
      <c r="H124" s="59"/>
      <c r="I124" s="59"/>
      <c r="J124" s="57"/>
      <c r="K124" s="58"/>
    </row>
    <row r="125" ht="14.25" customHeight="1" outlineLevel="1">
      <c r="A125" s="68">
        <v>4</v>
      </c>
      <c r="B125" s="59"/>
      <c r="C125" s="59"/>
      <c r="D125" s="59"/>
      <c r="E125" s="60"/>
      <c r="F125" s="61"/>
      <c r="G125" s="59"/>
      <c r="H125" s="59"/>
      <c r="I125" s="59"/>
      <c r="J125" s="57"/>
      <c r="K125" s="58"/>
    </row>
    <row r="126" ht="14.25" hidden="1" customHeight="1" outlineLevel="1">
      <c r="A126" s="68">
        <v>5</v>
      </c>
      <c r="B126" s="59"/>
      <c r="C126" s="59"/>
      <c r="D126" s="59"/>
      <c r="E126" s="60"/>
      <c r="F126" s="61"/>
      <c r="G126" s="59"/>
      <c r="H126" s="59"/>
      <c r="I126" s="59"/>
      <c r="J126" s="57"/>
      <c r="K126" s="58"/>
    </row>
    <row r="127" ht="14.25" hidden="1" customHeight="1" outlineLevel="1">
      <c r="A127" s="68">
        <v>6</v>
      </c>
      <c r="B127" s="59"/>
      <c r="C127" s="59"/>
      <c r="D127" s="59"/>
      <c r="E127" s="60"/>
      <c r="F127" s="61"/>
      <c r="G127" s="59"/>
      <c r="H127" s="59"/>
      <c r="I127" s="59"/>
      <c r="J127" s="57"/>
      <c r="K127" s="58"/>
    </row>
    <row r="128" ht="14.25" hidden="1" customHeight="1" outlineLevel="1">
      <c r="A128" s="68">
        <v>7</v>
      </c>
      <c r="B128" s="59"/>
      <c r="C128" s="59"/>
      <c r="D128" s="59"/>
      <c r="E128" s="60"/>
      <c r="F128" s="61"/>
      <c r="G128" s="59"/>
      <c r="H128" s="59"/>
      <c r="I128" s="59"/>
      <c r="J128" s="57"/>
      <c r="K128" s="58"/>
    </row>
    <row r="129" ht="14.25" hidden="1" customHeight="1" outlineLevel="1">
      <c r="A129" s="68">
        <v>8</v>
      </c>
      <c r="B129" s="59"/>
      <c r="C129" s="59"/>
      <c r="D129" s="59"/>
      <c r="E129" s="60"/>
      <c r="F129" s="61"/>
      <c r="G129" s="59"/>
      <c r="H129" s="59"/>
      <c r="I129" s="59"/>
      <c r="J129" s="57"/>
      <c r="K129" s="58"/>
    </row>
    <row r="130" ht="14.25" hidden="1" customHeight="1" outlineLevel="1">
      <c r="A130" s="68">
        <v>9</v>
      </c>
      <c r="B130" s="59"/>
      <c r="C130" s="59"/>
      <c r="D130" s="59"/>
      <c r="E130" s="60"/>
      <c r="F130" s="61"/>
      <c r="G130" s="59"/>
      <c r="H130" s="59"/>
      <c r="I130" s="59"/>
      <c r="J130" s="57"/>
      <c r="K130" s="58"/>
    </row>
    <row r="131" ht="14.25" hidden="1" customHeight="1" outlineLevel="1">
      <c r="A131" s="68">
        <v>10</v>
      </c>
      <c r="B131" s="59"/>
      <c r="C131" s="59"/>
      <c r="D131" s="59"/>
      <c r="E131" s="60"/>
      <c r="F131" s="61"/>
      <c r="G131" s="59"/>
      <c r="H131" s="59"/>
      <c r="I131" s="59"/>
      <c r="J131" s="57"/>
      <c r="K131" s="58"/>
    </row>
    <row r="132" ht="14.25" hidden="1" customHeight="1" outlineLevel="1">
      <c r="A132" s="68">
        <v>11</v>
      </c>
      <c r="B132" s="59"/>
      <c r="C132" s="59"/>
      <c r="D132" s="59"/>
      <c r="E132" s="60"/>
      <c r="F132" s="61"/>
      <c r="G132" s="59"/>
      <c r="H132" s="59"/>
      <c r="I132" s="59"/>
      <c r="J132" s="57"/>
      <c r="K132" s="58"/>
    </row>
    <row r="133" ht="14.25" hidden="1" customHeight="1" outlineLevel="1">
      <c r="A133" s="68">
        <v>12</v>
      </c>
      <c r="B133" s="59"/>
      <c r="C133" s="59"/>
      <c r="D133" s="59"/>
      <c r="E133" s="60"/>
      <c r="F133" s="61"/>
      <c r="G133" s="59"/>
      <c r="H133" s="59"/>
      <c r="I133" s="59"/>
      <c r="J133" s="57"/>
      <c r="K133" s="58"/>
    </row>
    <row r="134" ht="14.25" hidden="1" customHeight="1" outlineLevel="1">
      <c r="A134" s="68">
        <v>13</v>
      </c>
      <c r="B134" s="59"/>
      <c r="C134" s="59"/>
      <c r="D134" s="59"/>
      <c r="E134" s="60"/>
      <c r="F134" s="61"/>
      <c r="G134" s="59"/>
      <c r="H134" s="59"/>
      <c r="I134" s="59"/>
      <c r="J134" s="57"/>
      <c r="K134" s="58"/>
    </row>
    <row r="135" ht="14.25" hidden="1" customHeight="1" outlineLevel="1">
      <c r="A135" s="68">
        <v>14</v>
      </c>
      <c r="B135" s="59"/>
      <c r="C135" s="59"/>
      <c r="D135" s="59"/>
      <c r="E135" s="60"/>
      <c r="F135" s="61"/>
      <c r="G135" s="59"/>
      <c r="H135" s="59"/>
      <c r="I135" s="59"/>
      <c r="J135" s="57"/>
      <c r="K135" s="58"/>
    </row>
    <row r="136" ht="14.25" hidden="1" customHeight="1" outlineLevel="1">
      <c r="A136" s="68">
        <v>15</v>
      </c>
      <c r="B136" s="59"/>
      <c r="C136" s="59"/>
      <c r="D136" s="59"/>
      <c r="E136" s="60"/>
      <c r="F136" s="61"/>
      <c r="G136" s="59"/>
      <c r="H136" s="59"/>
      <c r="I136" s="59"/>
      <c r="J136" s="57"/>
      <c r="K136" s="58"/>
    </row>
    <row r="137" ht="14.25" hidden="1" customHeight="1" outlineLevel="1">
      <c r="A137" s="68">
        <v>16</v>
      </c>
      <c r="B137" s="59"/>
      <c r="C137" s="59"/>
      <c r="D137" s="59"/>
      <c r="E137" s="60"/>
      <c r="F137" s="61"/>
      <c r="G137" s="59"/>
      <c r="H137" s="59"/>
      <c r="I137" s="59"/>
      <c r="J137" s="57"/>
      <c r="K137" s="58"/>
    </row>
    <row r="138" ht="14.25" hidden="1" customHeight="1" outlineLevel="1">
      <c r="A138" s="68">
        <v>17</v>
      </c>
      <c r="B138" s="59"/>
      <c r="C138" s="59"/>
      <c r="D138" s="59"/>
      <c r="E138" s="60"/>
      <c r="F138" s="61"/>
      <c r="G138" s="59"/>
      <c r="H138" s="59"/>
      <c r="I138" s="59"/>
      <c r="J138" s="57"/>
      <c r="K138" s="58"/>
    </row>
    <row r="139" ht="14.25" hidden="1" customHeight="1" outlineLevel="1">
      <c r="A139" s="68">
        <v>18</v>
      </c>
      <c r="B139" s="59"/>
      <c r="C139" s="59"/>
      <c r="D139" s="59"/>
      <c r="E139" s="60"/>
      <c r="F139" s="61"/>
      <c r="G139" s="59"/>
      <c r="H139" s="59"/>
      <c r="I139" s="59"/>
      <c r="J139" s="57"/>
      <c r="K139" s="58"/>
    </row>
    <row r="140" ht="14.25" hidden="1" customHeight="1" outlineLevel="1">
      <c r="A140" s="68">
        <v>19</v>
      </c>
      <c r="B140" s="59"/>
      <c r="C140" s="59"/>
      <c r="D140" s="59"/>
      <c r="E140" s="60"/>
      <c r="F140" s="61"/>
      <c r="G140" s="59"/>
      <c r="H140" s="59"/>
      <c r="I140" s="59"/>
      <c r="J140" s="57"/>
      <c r="K140" s="58"/>
    </row>
    <row r="141" ht="14.25" hidden="1" customHeight="1" outlineLevel="1">
      <c r="A141" s="77">
        <v>20</v>
      </c>
      <c r="B141" s="56"/>
      <c r="C141" s="56"/>
      <c r="D141" s="56"/>
      <c r="E141" s="78"/>
      <c r="F141" s="79"/>
      <c r="G141" s="56"/>
      <c r="H141" s="56"/>
      <c r="I141" s="56"/>
      <c r="J141" s="80"/>
      <c r="K141" s="81"/>
    </row>
    <row r="142" s="21" customFormat="1" ht="18.75" customHeight="1" outlineLevel="1">
      <c r="A142" s="445"/>
      <c r="B142" s="446" t="s">
        <v>19</v>
      </c>
      <c r="C142" s="447"/>
      <c r="D142" s="448"/>
      <c r="E142" s="449"/>
      <c r="F142" s="446"/>
      <c r="G142" s="446"/>
      <c r="H142" s="446"/>
      <c r="I142" s="446"/>
      <c r="J142" s="446"/>
      <c r="K142" s="450"/>
    </row>
    <row r="143" ht="14.25" customHeight="1" outlineLevel="1">
      <c r="A143" s="430">
        <v>1</v>
      </c>
      <c r="B143" s="889" t="s">
        <v>222</v>
      </c>
      <c r="C143" s="890" t="s">
        <v>223</v>
      </c>
      <c r="D143" s="890" t="s">
        <v>227</v>
      </c>
      <c r="E143" s="891" t="s">
        <v>494</v>
      </c>
      <c r="F143" s="890" t="s">
        <v>460</v>
      </c>
      <c r="G143" s="99"/>
      <c r="H143" s="99"/>
      <c r="I143" s="99"/>
      <c r="J143" s="302"/>
      <c r="K143" s="303"/>
    </row>
    <row r="144" ht="14.25" customHeight="1" outlineLevel="1">
      <c r="A144" s="68">
        <v>2</v>
      </c>
      <c r="B144" s="572" t="s">
        <v>153</v>
      </c>
      <c r="C144" s="276" t="s">
        <v>223</v>
      </c>
      <c r="D144" s="735" t="s">
        <v>227</v>
      </c>
      <c r="E144" s="443" t="s">
        <v>242</v>
      </c>
      <c r="F144" s="572" t="s">
        <v>228</v>
      </c>
      <c r="G144" s="575"/>
      <c r="H144" s="575"/>
      <c r="I144" s="575" t="s">
        <v>231</v>
      </c>
      <c r="J144" s="576"/>
      <c r="K144" s="577" t="s">
        <v>230</v>
      </c>
    </row>
    <row r="145" ht="14.25" customHeight="1" outlineLevel="1">
      <c r="A145" s="68">
        <v>3</v>
      </c>
      <c r="B145" s="76" t="s">
        <v>153</v>
      </c>
      <c r="C145" s="300" t="s">
        <v>243</v>
      </c>
      <c r="D145" s="61" t="s">
        <v>244</v>
      </c>
      <c r="E145" s="443" t="s">
        <v>245</v>
      </c>
      <c r="F145" s="61" t="s">
        <v>246</v>
      </c>
      <c r="G145" s="99"/>
      <c r="H145" s="99" t="s">
        <v>141</v>
      </c>
      <c r="I145" s="99"/>
      <c r="J145" s="302"/>
      <c r="K145" s="303"/>
    </row>
    <row r="146" ht="14.25" customHeight="1" outlineLevel="1">
      <c r="A146" s="68">
        <v>4</v>
      </c>
      <c r="B146" s="892" t="s">
        <v>153</v>
      </c>
      <c r="C146" s="893" t="s">
        <v>233</v>
      </c>
      <c r="D146" s="59" t="s">
        <v>510</v>
      </c>
      <c r="E146" s="443" t="s">
        <v>511</v>
      </c>
      <c r="F146" s="61" t="s">
        <v>512</v>
      </c>
      <c r="G146" s="59"/>
      <c r="H146" s="59"/>
      <c r="I146" s="59"/>
      <c r="J146" s="57"/>
      <c r="K146" s="58"/>
    </row>
    <row r="147" ht="14.25" customHeight="1" outlineLevel="1">
      <c r="A147" s="68">
        <v>5</v>
      </c>
      <c r="B147" s="572" t="s">
        <v>153</v>
      </c>
      <c r="C147" s="276" t="s">
        <v>223</v>
      </c>
      <c r="D147" s="894" t="s">
        <v>227</v>
      </c>
      <c r="E147" s="706" t="s">
        <v>653</v>
      </c>
      <c r="F147" s="79" t="s">
        <v>228</v>
      </c>
      <c r="G147" s="56"/>
      <c r="H147" s="56"/>
      <c r="I147" s="56" t="s">
        <v>654</v>
      </c>
      <c r="J147" s="80"/>
      <c r="K147" s="81"/>
    </row>
    <row r="148" ht="14.25" customHeight="1" outlineLevel="1">
      <c r="A148" s="68">
        <v>6</v>
      </c>
      <c r="B148" s="56"/>
      <c r="C148" s="56"/>
      <c r="D148" s="56"/>
      <c r="E148" s="78"/>
      <c r="F148" s="79"/>
      <c r="G148" s="56"/>
      <c r="H148" s="56"/>
      <c r="I148" s="56"/>
      <c r="J148" s="80"/>
      <c r="K148" s="81"/>
    </row>
    <row r="149" ht="14.25" customHeight="1" outlineLevel="1">
      <c r="A149" s="68">
        <v>7</v>
      </c>
      <c r="B149" s="56"/>
      <c r="C149" s="56"/>
      <c r="D149" s="56"/>
      <c r="E149" s="78"/>
      <c r="F149" s="79"/>
      <c r="G149" s="56"/>
      <c r="H149" s="56"/>
      <c r="I149" s="56"/>
      <c r="J149" s="80"/>
      <c r="K149" s="81"/>
    </row>
    <row r="150" ht="14.25" customHeight="1" outlineLevel="1">
      <c r="A150" s="68">
        <v>8</v>
      </c>
      <c r="B150" s="56"/>
      <c r="C150" s="56"/>
      <c r="D150" s="56"/>
      <c r="E150" s="78"/>
      <c r="F150" s="79"/>
      <c r="G150" s="56"/>
      <c r="H150" s="56"/>
      <c r="I150" s="56"/>
      <c r="J150" s="80"/>
      <c r="K150" s="81"/>
    </row>
    <row r="151" s="21" customFormat="1" ht="18.75" customHeight="1" outlineLevel="1">
      <c r="A151" s="22"/>
      <c r="B151" s="23" t="s">
        <v>20</v>
      </c>
      <c r="C151" s="173"/>
      <c r="D151" s="174"/>
      <c r="E151" s="175"/>
      <c r="F151" s="172"/>
      <c r="G151" s="172"/>
      <c r="H151" s="23"/>
      <c r="I151" s="23"/>
      <c r="J151" s="23"/>
      <c r="K151" s="27"/>
    </row>
    <row r="152" ht="14.25" customHeight="1" outlineLevel="1">
      <c r="A152" s="68">
        <v>1</v>
      </c>
      <c r="B152" s="737" t="s">
        <v>45</v>
      </c>
      <c r="C152" s="589" t="s">
        <v>256</v>
      </c>
      <c r="D152" s="589"/>
      <c r="E152" s="443" t="s">
        <v>424</v>
      </c>
      <c r="F152" s="590" t="s">
        <v>257</v>
      </c>
      <c r="G152" s="589"/>
      <c r="H152" s="102"/>
      <c r="I152" s="102"/>
      <c r="J152" s="274"/>
      <c r="K152" s="275"/>
    </row>
    <row r="153" ht="14.25" customHeight="1" outlineLevel="1">
      <c r="A153" s="68">
        <v>2</v>
      </c>
      <c r="B153" s="588" t="s">
        <v>45</v>
      </c>
      <c r="C153" s="589" t="s">
        <v>256</v>
      </c>
      <c r="D153" s="589"/>
      <c r="E153" s="443" t="s">
        <v>424</v>
      </c>
      <c r="F153" s="590" t="s">
        <v>257</v>
      </c>
      <c r="G153" s="589"/>
      <c r="H153" s="63"/>
      <c r="I153" s="63"/>
      <c r="J153" s="66"/>
      <c r="K153" s="67"/>
    </row>
    <row r="154" ht="14.25" customHeight="1" outlineLevel="1">
      <c r="A154" s="68">
        <v>3</v>
      </c>
      <c r="B154" s="861" t="s">
        <v>45</v>
      </c>
      <c r="C154" s="861" t="s">
        <v>256</v>
      </c>
      <c r="D154" s="861"/>
      <c r="E154" s="862" t="s">
        <v>424</v>
      </c>
      <c r="F154" s="863" t="s">
        <v>257</v>
      </c>
      <c r="G154" s="310"/>
      <c r="H154" s="70"/>
      <c r="I154" s="70"/>
      <c r="J154" s="73"/>
      <c r="K154" s="74"/>
    </row>
    <row r="155" ht="14.25" customHeight="1" outlineLevel="1">
      <c r="A155" s="256">
        <v>4</v>
      </c>
      <c r="B155" s="707" t="s">
        <v>45</v>
      </c>
      <c r="C155" s="707" t="s">
        <v>256</v>
      </c>
      <c r="D155" s="707"/>
      <c r="E155" s="250" t="s">
        <v>424</v>
      </c>
      <c r="F155" s="708" t="s">
        <v>257</v>
      </c>
      <c r="G155" s="864"/>
      <c r="H155" s="772"/>
      <c r="I155" s="772"/>
      <c r="J155" s="773"/>
      <c r="K155" s="774"/>
    </row>
    <row r="156" ht="14.25" customHeight="1" outlineLevel="1">
      <c r="A156" s="256">
        <v>5</v>
      </c>
      <c r="B156" s="707" t="s">
        <v>45</v>
      </c>
      <c r="C156" s="707" t="s">
        <v>256</v>
      </c>
      <c r="D156" s="707"/>
      <c r="E156" s="250" t="s">
        <v>424</v>
      </c>
      <c r="F156" s="708" t="s">
        <v>257</v>
      </c>
      <c r="G156" s="707"/>
      <c r="H156" s="191"/>
      <c r="I156" s="191"/>
      <c r="J156" s="277"/>
      <c r="K156" s="277"/>
    </row>
    <row r="157" ht="14.25" customHeight="1" outlineLevel="1">
      <c r="A157" s="68">
        <v>6</v>
      </c>
      <c r="B157" s="870"/>
      <c r="C157" s="870"/>
      <c r="D157" s="870"/>
      <c r="E157" s="871"/>
      <c r="F157" s="872"/>
      <c r="G157" s="870"/>
      <c r="H157" s="870"/>
      <c r="I157" s="870"/>
      <c r="J157" s="895"/>
      <c r="K157" s="896"/>
    </row>
    <row r="158" s="21" customFormat="1" ht="23.25" customHeight="1">
      <c r="A158" s="82" t="s">
        <v>21</v>
      </c>
      <c r="B158" s="83"/>
      <c r="C158" s="83"/>
      <c r="D158" s="84"/>
      <c r="E158" s="85">
        <f>SUM(E10:E157)</f>
        <v>0</v>
      </c>
    </row>
    <row r="159" s="21" customFormat="1" ht="23.25" customHeight="1">
      <c r="A159" s="82" t="s">
        <v>22</v>
      </c>
      <c r="B159" s="83"/>
      <c r="C159" s="83"/>
      <c r="D159" s="84"/>
      <c r="E159" s="85">
        <f>E4-E158</f>
        <v>592377.25</v>
      </c>
      <c r="F159" s="86"/>
    </row>
    <row r="160" ht="27.75" customHeight="1"/>
    <row r="161" ht="29.25" customHeight="1">
      <c r="A161" s="9" t="s">
        <v>23</v>
      </c>
      <c r="B161" s="10"/>
      <c r="C161" s="10"/>
      <c r="D161" s="11"/>
      <c r="E161" s="12">
        <f>SUM(E162:E163)</f>
        <v>148397.56</v>
      </c>
      <c r="F161" s="163" t="s">
        <v>44</v>
      </c>
      <c r="G161" s="13"/>
      <c r="H161" s="13"/>
      <c r="I161" s="13"/>
    </row>
    <row r="162" ht="15" customHeight="1">
      <c r="A162" s="14"/>
      <c r="B162" s="15"/>
      <c r="C162" s="15"/>
      <c r="D162" s="16"/>
      <c r="E162" s="17">
        <v>148397.56</v>
      </c>
      <c r="F162" s="13"/>
      <c r="G162" s="13"/>
      <c r="H162" s="13"/>
      <c r="I162" s="13"/>
    </row>
    <row r="163" ht="15" customHeight="1">
      <c r="A163" s="14" t="s">
        <v>24</v>
      </c>
      <c r="B163" s="15"/>
      <c r="C163" s="15"/>
      <c r="D163" s="16"/>
      <c r="E163" s="17"/>
      <c r="F163" s="13"/>
      <c r="G163" s="13"/>
      <c r="H163" s="13"/>
      <c r="I163" s="13"/>
    </row>
    <row r="164" ht="6" customHeight="1">
      <c r="A164" s="13"/>
      <c r="B164" s="13"/>
      <c r="C164" s="13"/>
      <c r="D164" s="13"/>
      <c r="E164" s="13"/>
      <c r="F164" s="13"/>
      <c r="G164" s="13"/>
      <c r="H164" s="13"/>
      <c r="I164" s="13"/>
    </row>
    <row r="165" ht="26.25" customHeight="1" outlineLevel="1">
      <c r="A165" s="87" t="s">
        <v>6</v>
      </c>
      <c r="B165" s="87" t="s">
        <v>7</v>
      </c>
      <c r="C165" s="87" t="s">
        <v>8</v>
      </c>
      <c r="D165" s="87" t="s">
        <v>9</v>
      </c>
      <c r="E165" s="88" t="s">
        <v>10</v>
      </c>
      <c r="F165" s="87" t="s">
        <v>11</v>
      </c>
      <c r="G165" s="87" t="s">
        <v>12</v>
      </c>
      <c r="H165" s="89" t="s">
        <v>13</v>
      </c>
      <c r="I165" s="87" t="s">
        <v>14</v>
      </c>
      <c r="J165" s="87" t="s">
        <v>15</v>
      </c>
      <c r="K165" s="87" t="s">
        <v>16</v>
      </c>
    </row>
    <row r="166" s="21" customFormat="1" ht="20.25" customHeight="1" outlineLevel="1">
      <c r="A166" s="171"/>
      <c r="B166" s="23" t="s">
        <v>25</v>
      </c>
      <c r="C166" s="24"/>
      <c r="D166" s="25"/>
      <c r="E166" s="26"/>
      <c r="F166" s="23"/>
      <c r="G166" s="23"/>
      <c r="H166" s="23"/>
      <c r="I166" s="23"/>
      <c r="J166" s="23"/>
      <c r="K166" s="27"/>
    </row>
    <row r="167" ht="14.25" customHeight="1" outlineLevel="1">
      <c r="A167" s="191">
        <v>1</v>
      </c>
      <c r="B167" s="177" t="s">
        <v>430</v>
      </c>
      <c r="C167" s="39" t="s">
        <v>590</v>
      </c>
      <c r="D167" s="39" t="s">
        <v>594</v>
      </c>
      <c r="E167" s="211" t="s">
        <v>595</v>
      </c>
      <c r="F167" s="41" t="s">
        <v>596</v>
      </c>
      <c r="G167" s="39"/>
      <c r="H167" s="42"/>
      <c r="I167" s="59"/>
      <c r="J167" s="66"/>
      <c r="K167" s="67"/>
    </row>
    <row r="168" ht="14.25" customHeight="1" outlineLevel="1">
      <c r="A168" s="191">
        <v>2</v>
      </c>
      <c r="B168" s="177" t="s">
        <v>259</v>
      </c>
      <c r="C168" s="39" t="s">
        <v>260</v>
      </c>
      <c r="D168" s="39" t="s">
        <v>264</v>
      </c>
      <c r="E168" s="211" t="s">
        <v>475</v>
      </c>
      <c r="F168" s="323" t="s">
        <v>266</v>
      </c>
      <c r="G168" s="39"/>
      <c r="H168" s="42"/>
      <c r="I168" s="59"/>
      <c r="J168" s="57"/>
      <c r="K168" s="58"/>
    </row>
    <row r="169" ht="14.25" customHeight="1" outlineLevel="1">
      <c r="A169" s="191">
        <v>3</v>
      </c>
      <c r="B169" s="712" t="s">
        <v>259</v>
      </c>
      <c r="C169" s="185" t="s">
        <v>260</v>
      </c>
      <c r="D169" s="323" t="s">
        <v>484</v>
      </c>
      <c r="E169" s="738" t="s">
        <v>514</v>
      </c>
      <c r="F169" s="228" t="s">
        <v>486</v>
      </c>
      <c r="G169" s="177"/>
      <c r="H169" s="42"/>
      <c r="I169" s="59"/>
      <c r="J169" s="57"/>
      <c r="K169" s="58"/>
    </row>
    <row r="170" ht="14.25" customHeight="1" outlineLevel="1">
      <c r="A170" s="191">
        <v>4</v>
      </c>
      <c r="B170" s="897" t="s">
        <v>259</v>
      </c>
      <c r="C170" s="721" t="s">
        <v>267</v>
      </c>
      <c r="D170" s="671" t="s">
        <v>515</v>
      </c>
      <c r="E170" s="405" t="s">
        <v>516</v>
      </c>
      <c r="F170" s="671" t="s">
        <v>517</v>
      </c>
      <c r="G170" s="177"/>
      <c r="H170" s="42"/>
      <c r="I170" s="59"/>
      <c r="J170" s="57"/>
      <c r="K170" s="58"/>
    </row>
    <row r="171" ht="14.25" customHeight="1" outlineLevel="1">
      <c r="A171" s="191">
        <v>5</v>
      </c>
      <c r="B171" s="177" t="s">
        <v>259</v>
      </c>
      <c r="C171" s="39" t="s">
        <v>109</v>
      </c>
      <c r="D171" s="39" t="s">
        <v>271</v>
      </c>
      <c r="E171" s="314" t="s">
        <v>272</v>
      </c>
      <c r="F171" s="315" t="s">
        <v>273</v>
      </c>
      <c r="G171" s="177"/>
      <c r="H171" s="42"/>
      <c r="I171" s="59"/>
      <c r="J171" s="57"/>
      <c r="K171" s="58"/>
    </row>
    <row r="172" ht="14.25" customHeight="1" outlineLevel="1">
      <c r="A172" s="191">
        <v>6</v>
      </c>
      <c r="B172" s="712" t="s">
        <v>274</v>
      </c>
      <c r="C172" s="39" t="s">
        <v>275</v>
      </c>
      <c r="D172" s="185" t="s">
        <v>276</v>
      </c>
      <c r="E172" s="314" t="s">
        <v>277</v>
      </c>
      <c r="F172" s="316" t="s">
        <v>278</v>
      </c>
      <c r="G172" s="177"/>
      <c r="H172" s="42"/>
      <c r="I172" s="59"/>
      <c r="J172" s="57"/>
      <c r="K172" s="58"/>
    </row>
    <row r="173" ht="14.25" customHeight="1" outlineLevel="1">
      <c r="A173" s="191">
        <v>7</v>
      </c>
      <c r="B173" s="777" t="s">
        <v>279</v>
      </c>
      <c r="C173" s="866" t="s">
        <v>136</v>
      </c>
      <c r="D173" s="319" t="s">
        <v>280</v>
      </c>
      <c r="E173" s="867" t="s">
        <v>281</v>
      </c>
      <c r="F173" s="319" t="s">
        <v>282</v>
      </c>
      <c r="G173" s="177"/>
      <c r="H173" s="42"/>
      <c r="I173" s="59"/>
      <c r="J173" s="57"/>
      <c r="K173" s="58"/>
    </row>
    <row r="174" ht="14.25" customHeight="1" outlineLevel="1">
      <c r="A174" s="191">
        <v>8</v>
      </c>
      <c r="B174" s="777" t="s">
        <v>283</v>
      </c>
      <c r="C174" s="319" t="s">
        <v>284</v>
      </c>
      <c r="D174" s="319" t="s">
        <v>285</v>
      </c>
      <c r="E174" s="719" t="s">
        <v>286</v>
      </c>
      <c r="F174" s="319" t="s">
        <v>287</v>
      </c>
      <c r="G174" s="177"/>
      <c r="H174" s="42"/>
      <c r="I174" s="59"/>
      <c r="J174" s="57"/>
      <c r="K174" s="58"/>
    </row>
    <row r="175" ht="14.25" customHeight="1" outlineLevel="1">
      <c r="A175" s="191">
        <v>9</v>
      </c>
      <c r="B175" s="775" t="s">
        <v>259</v>
      </c>
      <c r="C175" s="228" t="s">
        <v>275</v>
      </c>
      <c r="D175" s="228" t="s">
        <v>520</v>
      </c>
      <c r="E175" s="720" t="s">
        <v>277</v>
      </c>
      <c r="F175" s="228" t="s">
        <v>521</v>
      </c>
      <c r="G175" s="177"/>
      <c r="H175" s="42"/>
      <c r="I175" s="59"/>
      <c r="J175" s="57"/>
      <c r="K175" s="58"/>
    </row>
    <row r="176" ht="14.25" customHeight="1" outlineLevel="1">
      <c r="A176" s="191">
        <v>10</v>
      </c>
      <c r="B176" s="775" t="s">
        <v>259</v>
      </c>
      <c r="C176" s="249" t="s">
        <v>275</v>
      </c>
      <c r="D176" s="210" t="s">
        <v>291</v>
      </c>
      <c r="E176" s="326" t="s">
        <v>277</v>
      </c>
      <c r="F176" s="228" t="s">
        <v>292</v>
      </c>
      <c r="G176" s="177"/>
      <c r="H176" s="42"/>
      <c r="I176" s="59"/>
      <c r="J176" s="57"/>
      <c r="K176" s="58"/>
    </row>
    <row r="177" ht="14.25" customHeight="1" outlineLevel="1">
      <c r="A177" s="191">
        <v>11</v>
      </c>
      <c r="B177" s="775" t="s">
        <v>259</v>
      </c>
      <c r="C177" s="249" t="s">
        <v>275</v>
      </c>
      <c r="D177" s="228" t="s">
        <v>293</v>
      </c>
      <c r="E177" s="326" t="s">
        <v>277</v>
      </c>
      <c r="F177" s="228" t="s">
        <v>294</v>
      </c>
      <c r="G177" s="177"/>
      <c r="H177" s="42"/>
      <c r="I177" s="59"/>
      <c r="J177" s="57"/>
      <c r="K177" s="58"/>
    </row>
    <row r="178" ht="14.25" customHeight="1" outlineLevel="1">
      <c r="A178" s="191">
        <v>12</v>
      </c>
      <c r="B178" s="775" t="s">
        <v>259</v>
      </c>
      <c r="C178" s="249" t="s">
        <v>275</v>
      </c>
      <c r="D178" s="228" t="s">
        <v>295</v>
      </c>
      <c r="E178" s="326" t="s">
        <v>277</v>
      </c>
      <c r="F178" s="228" t="s">
        <v>296</v>
      </c>
      <c r="G178" s="177"/>
      <c r="H178" s="42"/>
      <c r="I178" s="59"/>
      <c r="J178" s="57"/>
      <c r="K178" s="58"/>
    </row>
    <row r="179" ht="14.25" customHeight="1" outlineLevel="1">
      <c r="A179" s="191">
        <v>13</v>
      </c>
      <c r="B179" s="210" t="s">
        <v>259</v>
      </c>
      <c r="C179" s="249" t="s">
        <v>275</v>
      </c>
      <c r="D179" s="228" t="s">
        <v>297</v>
      </c>
      <c r="E179" s="326" t="s">
        <v>277</v>
      </c>
      <c r="F179" s="228" t="s">
        <v>298</v>
      </c>
      <c r="G179" s="177"/>
      <c r="H179" s="42"/>
      <c r="I179" s="59"/>
      <c r="J179" s="57"/>
      <c r="K179" s="58"/>
    </row>
    <row r="180" ht="14.25" customHeight="1" outlineLevel="1">
      <c r="A180" s="191">
        <v>14</v>
      </c>
      <c r="B180" s="775" t="s">
        <v>259</v>
      </c>
      <c r="C180" s="249" t="s">
        <v>275</v>
      </c>
      <c r="D180" s="228" t="s">
        <v>289</v>
      </c>
      <c r="E180" s="213" t="s">
        <v>277</v>
      </c>
      <c r="F180" s="228" t="s">
        <v>290</v>
      </c>
      <c r="G180" s="177"/>
      <c r="H180" s="42"/>
      <c r="I180" s="59"/>
      <c r="J180" s="57"/>
      <c r="K180" s="58"/>
    </row>
    <row r="181" ht="14.25" customHeight="1" outlineLevel="1">
      <c r="A181" s="191">
        <v>15</v>
      </c>
      <c r="B181" s="778" t="s">
        <v>259</v>
      </c>
      <c r="C181" s="329" t="s">
        <v>275</v>
      </c>
      <c r="D181" s="330" t="s">
        <v>299</v>
      </c>
      <c r="E181" s="331" t="s">
        <v>277</v>
      </c>
      <c r="F181" s="330" t="s">
        <v>300</v>
      </c>
      <c r="G181" s="177"/>
      <c r="H181" s="42"/>
      <c r="I181" s="59"/>
      <c r="J181" s="57"/>
      <c r="K181" s="58"/>
    </row>
    <row r="182" ht="14.25" customHeight="1" outlineLevel="1">
      <c r="A182" s="191">
        <v>16</v>
      </c>
      <c r="B182" s="177" t="s">
        <v>259</v>
      </c>
      <c r="C182" s="42" t="s">
        <v>275</v>
      </c>
      <c r="D182" s="94" t="s">
        <v>301</v>
      </c>
      <c r="E182" s="332" t="s">
        <v>277</v>
      </c>
      <c r="F182" s="333" t="s">
        <v>302</v>
      </c>
      <c r="G182" s="177"/>
      <c r="H182" s="42"/>
      <c r="I182" s="59"/>
      <c r="J182" s="57"/>
      <c r="K182" s="58"/>
    </row>
    <row r="183" ht="14.25" customHeight="1" outlineLevel="1">
      <c r="A183" s="191">
        <v>17</v>
      </c>
      <c r="B183" s="177" t="s">
        <v>259</v>
      </c>
      <c r="C183" s="39" t="s">
        <v>303</v>
      </c>
      <c r="D183" s="39" t="s">
        <v>304</v>
      </c>
      <c r="E183" s="314" t="s">
        <v>551</v>
      </c>
      <c r="F183" s="315" t="s">
        <v>306</v>
      </c>
      <c r="G183" s="177"/>
      <c r="H183" s="42"/>
      <c r="I183" s="59"/>
      <c r="J183" s="57"/>
      <c r="K183" s="58"/>
    </row>
    <row r="184" ht="14.25" customHeight="1" outlineLevel="1">
      <c r="A184" s="191">
        <v>18</v>
      </c>
      <c r="B184" s="177" t="s">
        <v>279</v>
      </c>
      <c r="C184" s="334" t="s">
        <v>136</v>
      </c>
      <c r="D184" s="335" t="s">
        <v>311</v>
      </c>
      <c r="E184" s="324" t="s">
        <v>312</v>
      </c>
      <c r="F184" s="336" t="s">
        <v>313</v>
      </c>
      <c r="G184" s="177"/>
      <c r="H184" s="42"/>
      <c r="I184" s="59"/>
      <c r="J184" s="57"/>
      <c r="K184" s="58"/>
    </row>
    <row r="185" ht="14.25" customHeight="1" outlineLevel="1">
      <c r="A185" s="191">
        <v>19</v>
      </c>
      <c r="B185" s="177" t="s">
        <v>259</v>
      </c>
      <c r="C185" s="42" t="s">
        <v>267</v>
      </c>
      <c r="D185" s="94" t="s">
        <v>317</v>
      </c>
      <c r="E185" s="332" t="s">
        <v>655</v>
      </c>
      <c r="F185" s="333" t="s">
        <v>319</v>
      </c>
      <c r="G185" s="177"/>
      <c r="H185" s="42"/>
      <c r="I185" s="59"/>
      <c r="J185" s="57"/>
      <c r="K185" s="58"/>
    </row>
    <row r="186" ht="14.25" customHeight="1" outlineLevel="1">
      <c r="A186" s="191">
        <v>20</v>
      </c>
      <c r="B186" s="177" t="s">
        <v>259</v>
      </c>
      <c r="C186" s="39" t="s">
        <v>329</v>
      </c>
      <c r="D186" s="41" t="s">
        <v>330</v>
      </c>
      <c r="E186" s="211" t="s">
        <v>331</v>
      </c>
      <c r="F186" s="323" t="s">
        <v>332</v>
      </c>
      <c r="G186" s="39"/>
      <c r="H186" s="42"/>
      <c r="I186" s="59"/>
      <c r="J186" s="57"/>
      <c r="K186" s="58"/>
    </row>
    <row r="187" ht="14.25" customHeight="1" outlineLevel="1">
      <c r="A187" s="191">
        <v>21</v>
      </c>
      <c r="B187" s="177" t="s">
        <v>259</v>
      </c>
      <c r="C187" s="39" t="s">
        <v>329</v>
      </c>
      <c r="D187" s="41" t="s">
        <v>333</v>
      </c>
      <c r="E187" s="314" t="s">
        <v>334</v>
      </c>
      <c r="F187" s="228" t="s">
        <v>335</v>
      </c>
      <c r="G187" s="177"/>
      <c r="H187" s="42"/>
      <c r="I187" s="59"/>
      <c r="J187" s="57"/>
      <c r="K187" s="58"/>
    </row>
    <row r="188" ht="14.25" customHeight="1" outlineLevel="1">
      <c r="A188" s="191">
        <v>22</v>
      </c>
      <c r="B188" s="177" t="s">
        <v>283</v>
      </c>
      <c r="C188" s="39" t="s">
        <v>336</v>
      </c>
      <c r="D188" s="41" t="s">
        <v>308</v>
      </c>
      <c r="E188" s="314" t="s">
        <v>337</v>
      </c>
      <c r="F188" s="727" t="s">
        <v>338</v>
      </c>
      <c r="G188" s="177"/>
      <c r="H188" s="42"/>
      <c r="I188" s="59"/>
      <c r="J188" s="57"/>
      <c r="K188" s="58"/>
    </row>
    <row r="189" ht="14.25" customHeight="1" outlineLevel="1">
      <c r="A189" s="191">
        <v>23</v>
      </c>
      <c r="B189" s="216" t="s">
        <v>283</v>
      </c>
      <c r="C189" s="42" t="s">
        <v>336</v>
      </c>
      <c r="D189" s="94" t="s">
        <v>339</v>
      </c>
      <c r="E189" s="332" t="s">
        <v>337</v>
      </c>
      <c r="F189" s="316" t="s">
        <v>341</v>
      </c>
      <c r="G189" s="177"/>
      <c r="H189" s="42"/>
      <c r="I189" s="59"/>
      <c r="J189" s="57"/>
      <c r="K189" s="58"/>
    </row>
    <row r="190" ht="14.25" customHeight="1" outlineLevel="1">
      <c r="A190" s="191">
        <v>24</v>
      </c>
      <c r="B190" s="177" t="s">
        <v>259</v>
      </c>
      <c r="C190" s="39" t="s">
        <v>329</v>
      </c>
      <c r="D190" s="41" t="s">
        <v>478</v>
      </c>
      <c r="E190" s="314" t="s">
        <v>479</v>
      </c>
      <c r="F190" s="228" t="s">
        <v>480</v>
      </c>
      <c r="G190" s="177"/>
      <c r="H190" s="42"/>
      <c r="I190" s="59"/>
      <c r="J190" s="57"/>
      <c r="K190" s="58"/>
    </row>
    <row r="191" ht="14.25" customHeight="1" outlineLevel="1">
      <c r="A191" s="191">
        <v>25</v>
      </c>
      <c r="B191" s="177" t="s">
        <v>259</v>
      </c>
      <c r="C191" s="39" t="s">
        <v>329</v>
      </c>
      <c r="D191" s="41" t="s">
        <v>481</v>
      </c>
      <c r="E191" s="314" t="s">
        <v>482</v>
      </c>
      <c r="F191" s="727" t="s">
        <v>483</v>
      </c>
      <c r="G191" s="177"/>
      <c r="H191" s="42"/>
      <c r="I191" s="59"/>
      <c r="J191" s="57"/>
      <c r="K191" s="58"/>
    </row>
    <row r="192" ht="14.25" customHeight="1" outlineLevel="1">
      <c r="A192" s="191">
        <v>26</v>
      </c>
      <c r="B192" s="898" t="s">
        <v>259</v>
      </c>
      <c r="C192" s="462" t="s">
        <v>325</v>
      </c>
      <c r="D192" s="462" t="s">
        <v>326</v>
      </c>
      <c r="E192" s="779" t="s">
        <v>519</v>
      </c>
      <c r="F192" s="780" t="s">
        <v>328</v>
      </c>
      <c r="G192" s="177"/>
      <c r="H192" s="42"/>
      <c r="I192" s="59"/>
      <c r="J192" s="57"/>
      <c r="K192" s="58"/>
    </row>
    <row r="193" ht="14.25" customHeight="1" outlineLevel="1">
      <c r="A193" s="191">
        <v>27</v>
      </c>
      <c r="B193" s="327" t="s">
        <v>259</v>
      </c>
      <c r="C193" s="330" t="s">
        <v>267</v>
      </c>
      <c r="D193" s="727" t="s">
        <v>523</v>
      </c>
      <c r="E193" s="510" t="s">
        <v>524</v>
      </c>
      <c r="F193" s="727" t="s">
        <v>525</v>
      </c>
      <c r="G193" s="177"/>
      <c r="H193" s="42"/>
      <c r="I193" s="59"/>
      <c r="J193" s="57"/>
      <c r="K193" s="58"/>
    </row>
    <row r="194" ht="14.25" customHeight="1" outlineLevel="1">
      <c r="A194" s="191">
        <v>30</v>
      </c>
      <c r="B194" s="177" t="s">
        <v>279</v>
      </c>
      <c r="C194" s="90" t="s">
        <v>603</v>
      </c>
      <c r="D194" s="91" t="s">
        <v>604</v>
      </c>
      <c r="E194" s="781" t="s">
        <v>605</v>
      </c>
      <c r="F194" s="91" t="s">
        <v>606</v>
      </c>
      <c r="G194" s="42"/>
      <c r="H194" s="42"/>
      <c r="I194" s="59"/>
      <c r="J194" s="57"/>
      <c r="K194" s="58"/>
    </row>
    <row r="195" ht="14.25" customHeight="1" outlineLevel="1">
      <c r="A195" s="191">
        <v>31</v>
      </c>
      <c r="B195" s="177" t="s">
        <v>279</v>
      </c>
      <c r="C195" s="42" t="s">
        <v>611</v>
      </c>
      <c r="D195" s="42" t="s">
        <v>612</v>
      </c>
      <c r="E195" s="443" t="s">
        <v>613</v>
      </c>
      <c r="F195" s="94" t="s">
        <v>614</v>
      </c>
      <c r="G195" s="42"/>
      <c r="H195" s="42"/>
      <c r="I195" s="59"/>
      <c r="J195" s="57"/>
      <c r="K195" s="58"/>
    </row>
    <row r="196" ht="14.25" customHeight="1" outlineLevel="1">
      <c r="A196" s="191">
        <v>32</v>
      </c>
      <c r="B196" s="681" t="s">
        <v>259</v>
      </c>
      <c r="C196" s="95" t="s">
        <v>267</v>
      </c>
      <c r="D196" s="97" t="s">
        <v>317</v>
      </c>
      <c r="E196" s="332" t="s">
        <v>657</v>
      </c>
      <c r="F196" s="333" t="s">
        <v>319</v>
      </c>
      <c r="G196" s="216"/>
      <c r="H196" s="95"/>
      <c r="I196" s="98"/>
      <c r="J196" s="57"/>
      <c r="K196" s="58"/>
    </row>
    <row r="197" ht="14.25" customHeight="1" outlineLevel="1">
      <c r="A197" s="191">
        <v>33</v>
      </c>
      <c r="B197" s="681" t="s">
        <v>57</v>
      </c>
      <c r="C197" s="99" t="s">
        <v>678</v>
      </c>
      <c r="D197" s="99" t="s">
        <v>679</v>
      </c>
      <c r="E197" s="782" t="s">
        <v>680</v>
      </c>
      <c r="F197" s="101" t="s">
        <v>681</v>
      </c>
      <c r="G197" s="59"/>
      <c r="H197" s="99"/>
      <c r="I197" s="98"/>
      <c r="J197" s="57"/>
      <c r="K197" s="58"/>
    </row>
    <row r="198" ht="14.25" customHeight="1" outlineLevel="1">
      <c r="A198" s="191">
        <v>34</v>
      </c>
      <c r="B198" s="681" t="s">
        <v>57</v>
      </c>
      <c r="C198" s="99" t="s">
        <v>682</v>
      </c>
      <c r="D198" s="101" t="s">
        <v>683</v>
      </c>
      <c r="E198" s="899" t="s">
        <v>684</v>
      </c>
      <c r="F198" s="101" t="s">
        <v>685</v>
      </c>
      <c r="G198" s="59"/>
      <c r="H198" s="99"/>
      <c r="I198" s="98"/>
      <c r="J198" s="57"/>
      <c r="K198" s="58"/>
    </row>
    <row r="199" ht="14.25" outlineLevel="1">
      <c r="A199" s="191">
        <v>35</v>
      </c>
      <c r="B199" s="344" t="s">
        <v>526</v>
      </c>
      <c r="C199" s="99" t="s">
        <v>600</v>
      </c>
      <c r="D199" s="101" t="s">
        <v>686</v>
      </c>
      <c r="E199" s="100">
        <v>12360</v>
      </c>
      <c r="F199" s="101" t="s">
        <v>687</v>
      </c>
      <c r="G199" s="59"/>
      <c r="H199" s="99" t="s">
        <v>141</v>
      </c>
      <c r="I199" s="98"/>
      <c r="J199" s="57" t="s">
        <v>47</v>
      </c>
      <c r="K199" s="58"/>
    </row>
    <row r="200" ht="14.25" outlineLevel="1">
      <c r="A200" s="191">
        <v>36</v>
      </c>
      <c r="B200" s="177" t="s">
        <v>430</v>
      </c>
      <c r="C200" s="39" t="s">
        <v>590</v>
      </c>
      <c r="D200" s="39" t="s">
        <v>597</v>
      </c>
      <c r="E200" s="268">
        <v>4725</v>
      </c>
      <c r="F200" s="41" t="s">
        <v>599</v>
      </c>
      <c r="G200" s="39"/>
      <c r="H200" s="42" t="s">
        <v>141</v>
      </c>
      <c r="I200" s="59"/>
      <c r="J200" s="57" t="s">
        <v>47</v>
      </c>
      <c r="K200" s="58"/>
    </row>
    <row r="201" ht="14.25" outlineLevel="1">
      <c r="A201" s="191">
        <v>37</v>
      </c>
      <c r="B201" s="177" t="s">
        <v>279</v>
      </c>
      <c r="C201" s="39" t="s">
        <v>600</v>
      </c>
      <c r="D201" s="41" t="s">
        <v>601</v>
      </c>
      <c r="E201" s="268">
        <v>15000</v>
      </c>
      <c r="F201" s="41" t="s">
        <v>602</v>
      </c>
      <c r="G201" s="42"/>
      <c r="H201" s="42" t="s">
        <v>141</v>
      </c>
      <c r="I201" s="59"/>
      <c r="J201" s="57" t="s">
        <v>47</v>
      </c>
      <c r="K201" s="58"/>
    </row>
    <row r="202" ht="14.25" outlineLevel="1">
      <c r="A202" s="191">
        <v>38</v>
      </c>
      <c r="B202" s="681" t="s">
        <v>279</v>
      </c>
      <c r="C202" s="95" t="s">
        <v>618</v>
      </c>
      <c r="D202" s="95" t="s">
        <v>619</v>
      </c>
      <c r="E202" s="900">
        <v>36659.68</v>
      </c>
      <c r="F202" s="97" t="s">
        <v>620</v>
      </c>
      <c r="G202" s="42"/>
      <c r="H202" s="95" t="s">
        <v>141</v>
      </c>
      <c r="I202" s="98"/>
      <c r="J202" s="57" t="s">
        <v>47</v>
      </c>
      <c r="K202" s="58"/>
    </row>
    <row r="203" ht="14.25" outlineLevel="1">
      <c r="A203" s="191">
        <v>39</v>
      </c>
      <c r="B203" s="681" t="s">
        <v>259</v>
      </c>
      <c r="C203" s="99" t="s">
        <v>688</v>
      </c>
      <c r="D203" s="99" t="s">
        <v>689</v>
      </c>
      <c r="E203" s="100">
        <v>53550</v>
      </c>
      <c r="F203" s="101" t="s">
        <v>690</v>
      </c>
      <c r="G203" s="59"/>
      <c r="H203" s="99" t="s">
        <v>141</v>
      </c>
      <c r="I203" s="98"/>
      <c r="J203" s="57" t="s">
        <v>47</v>
      </c>
      <c r="K203" s="58"/>
    </row>
    <row r="204" ht="14.25" outlineLevel="1">
      <c r="A204" s="191">
        <v>40</v>
      </c>
      <c r="B204" s="681" t="s">
        <v>259</v>
      </c>
      <c r="C204" s="99" t="s">
        <v>553</v>
      </c>
      <c r="D204" s="99" t="s">
        <v>691</v>
      </c>
      <c r="E204" s="900">
        <v>19011.259999999998</v>
      </c>
      <c r="F204" s="101" t="s">
        <v>692</v>
      </c>
      <c r="G204" s="59"/>
      <c r="H204" s="99" t="s">
        <v>141</v>
      </c>
      <c r="I204" s="98"/>
      <c r="J204" s="57" t="s">
        <v>47</v>
      </c>
      <c r="K204" s="58"/>
    </row>
    <row r="205" s="21" customFormat="1" ht="20.25" customHeight="1" outlineLevel="1">
      <c r="A205" s="246"/>
      <c r="B205" s="23" t="s">
        <v>26</v>
      </c>
      <c r="C205" s="24"/>
      <c r="D205" s="25"/>
      <c r="E205" s="26"/>
      <c r="F205" s="23"/>
      <c r="G205" s="23"/>
      <c r="H205" s="23"/>
      <c r="I205" s="23"/>
      <c r="J205" s="23"/>
      <c r="K205" s="27"/>
    </row>
    <row r="206" ht="14.25" customHeight="1" outlineLevel="1">
      <c r="A206" s="62">
        <v>1</v>
      </c>
      <c r="B206" s="63"/>
      <c r="C206" s="63"/>
      <c r="D206" s="63"/>
      <c r="E206" s="64"/>
      <c r="F206" s="65"/>
      <c r="G206" s="63"/>
      <c r="H206" s="63"/>
      <c r="I206" s="102"/>
      <c r="J206" s="66"/>
      <c r="K206" s="67"/>
    </row>
    <row r="207" ht="14.25" customHeight="1" outlineLevel="1">
      <c r="A207" s="68">
        <v>2</v>
      </c>
      <c r="B207" s="99"/>
      <c r="C207" s="99"/>
      <c r="D207" s="99"/>
      <c r="E207" s="60"/>
      <c r="F207" s="61"/>
      <c r="G207" s="59"/>
      <c r="H207" s="59"/>
      <c r="I207" s="59"/>
      <c r="J207" s="57"/>
      <c r="K207" s="58"/>
    </row>
    <row r="208" ht="14.25" customHeight="1" outlineLevel="1">
      <c r="A208" s="68">
        <v>3</v>
      </c>
      <c r="B208" s="56"/>
      <c r="C208" s="56"/>
      <c r="D208" s="56"/>
      <c r="E208" s="78"/>
      <c r="F208" s="79"/>
      <c r="G208" s="59"/>
      <c r="H208" s="59"/>
      <c r="I208" s="59"/>
      <c r="J208" s="57"/>
      <c r="K208" s="58"/>
    </row>
    <row r="209" ht="14.25" customHeight="1" outlineLevel="1">
      <c r="A209" s="68">
        <v>4</v>
      </c>
      <c r="B209" s="59"/>
      <c r="C209" s="59"/>
      <c r="D209" s="59"/>
      <c r="E209" s="60"/>
      <c r="F209" s="61"/>
      <c r="G209" s="59"/>
      <c r="H209" s="59"/>
      <c r="I209" s="59"/>
      <c r="J209" s="57"/>
      <c r="K209" s="58"/>
    </row>
    <row r="210" ht="14.25" customHeight="1" outlineLevel="1">
      <c r="A210" s="69">
        <v>5</v>
      </c>
      <c r="B210" s="70"/>
      <c r="C210" s="70"/>
      <c r="D210" s="70"/>
      <c r="E210" s="71"/>
      <c r="F210" s="72"/>
      <c r="G210" s="70"/>
      <c r="H210" s="70"/>
      <c r="I210" s="70"/>
      <c r="J210" s="73"/>
      <c r="K210" s="74"/>
    </row>
    <row r="211" s="21" customFormat="1" ht="20.25" customHeight="1" outlineLevel="1">
      <c r="A211" s="22"/>
      <c r="B211" s="23" t="s">
        <v>19</v>
      </c>
      <c r="C211" s="24"/>
      <c r="D211" s="25"/>
      <c r="E211" s="26"/>
      <c r="F211" s="23"/>
      <c r="G211" s="23"/>
      <c r="H211" s="23"/>
      <c r="I211" s="23"/>
      <c r="J211" s="23"/>
      <c r="K211" s="27"/>
    </row>
    <row r="212" ht="14.25" customHeight="1" outlineLevel="1">
      <c r="A212" s="62">
        <v>1</v>
      </c>
      <c r="B212" s="99"/>
      <c r="C212" s="99"/>
      <c r="D212" s="65"/>
      <c r="E212" s="64"/>
      <c r="F212" s="65"/>
      <c r="G212" s="63"/>
      <c r="H212" s="63"/>
      <c r="I212" s="59"/>
      <c r="J212" s="66"/>
      <c r="K212" s="67"/>
    </row>
    <row r="213" ht="14.25" customHeight="1" outlineLevel="1">
      <c r="A213" s="68">
        <v>2</v>
      </c>
      <c r="B213" s="99"/>
      <c r="C213" s="99"/>
      <c r="D213" s="99"/>
      <c r="E213" s="60"/>
      <c r="F213" s="61"/>
      <c r="G213" s="59"/>
      <c r="H213" s="59"/>
      <c r="I213" s="59"/>
      <c r="J213" s="57"/>
      <c r="K213" s="58"/>
    </row>
    <row r="214" ht="14.25" customHeight="1" outlineLevel="1">
      <c r="A214" s="68">
        <v>3</v>
      </c>
      <c r="B214" s="99"/>
      <c r="C214" s="99"/>
      <c r="D214" s="99"/>
      <c r="E214" s="60"/>
      <c r="F214" s="61"/>
      <c r="G214" s="59"/>
      <c r="H214" s="59"/>
      <c r="I214" s="59"/>
      <c r="J214" s="57"/>
      <c r="K214" s="58"/>
    </row>
    <row r="215" ht="14.25" customHeight="1" outlineLevel="1">
      <c r="A215" s="68">
        <v>4</v>
      </c>
      <c r="B215" s="59"/>
      <c r="C215" s="59"/>
      <c r="D215" s="59"/>
      <c r="E215" s="60"/>
      <c r="F215" s="61"/>
      <c r="G215" s="59"/>
      <c r="H215" s="59"/>
      <c r="I215" s="59"/>
      <c r="J215" s="57"/>
      <c r="K215" s="58"/>
    </row>
    <row r="216" ht="14.25" customHeight="1" outlineLevel="1">
      <c r="A216" s="69">
        <v>5</v>
      </c>
      <c r="B216" s="70"/>
      <c r="C216" s="70"/>
      <c r="D216" s="70"/>
      <c r="E216" s="71"/>
      <c r="F216" s="72"/>
      <c r="G216" s="70"/>
      <c r="H216" s="70"/>
      <c r="I216" s="70"/>
      <c r="J216" s="73"/>
      <c r="K216" s="74"/>
    </row>
    <row r="217" s="21" customFormat="1" ht="23.25" customHeight="1">
      <c r="A217" s="82" t="s">
        <v>27</v>
      </c>
      <c r="B217" s="83"/>
      <c r="C217" s="83"/>
      <c r="D217" s="103"/>
      <c r="E217" s="104">
        <f>SUM(E166:E216)</f>
        <v>141305.94</v>
      </c>
    </row>
    <row r="218" s="21" customFormat="1" ht="23.25" customHeight="1">
      <c r="A218" s="82" t="s">
        <v>22</v>
      </c>
      <c r="B218" s="83"/>
      <c r="C218" s="83"/>
      <c r="D218" s="103"/>
      <c r="E218" s="104">
        <f>E161-E217</f>
        <v>7091.6199999999953</v>
      </c>
      <c r="F218" s="86"/>
    </row>
    <row r="219" ht="28.5" customHeight="1">
      <c r="E219" s="1"/>
    </row>
    <row r="220" ht="30.75" customHeight="1">
      <c r="A220" s="9" t="s">
        <v>28</v>
      </c>
      <c r="B220" s="10"/>
      <c r="C220" s="10"/>
      <c r="D220" s="11"/>
      <c r="E220" s="12">
        <f>SUM(E221:E221)</f>
        <v>5242</v>
      </c>
      <c r="F220" s="163" t="s">
        <v>44</v>
      </c>
      <c r="G220" s="13"/>
      <c r="H220" s="13"/>
      <c r="I220" s="13"/>
    </row>
    <row r="221" ht="15" customHeight="1">
      <c r="A221" s="105" t="s">
        <v>29</v>
      </c>
      <c r="B221" s="15"/>
      <c r="C221" s="15"/>
      <c r="D221" s="16"/>
      <c r="E221" s="17">
        <v>5242</v>
      </c>
      <c r="F221" s="13"/>
      <c r="G221" s="13"/>
      <c r="H221" s="13"/>
      <c r="I221" s="13"/>
    </row>
    <row r="222" ht="5.25" customHeight="1">
      <c r="A222" s="13"/>
      <c r="B222" s="13"/>
      <c r="C222" s="13"/>
      <c r="D222" s="13"/>
      <c r="E222" s="13"/>
      <c r="F222" s="13"/>
      <c r="G222" s="13"/>
      <c r="H222" s="13"/>
      <c r="I222" s="13"/>
    </row>
    <row r="223" ht="25.5" customHeight="1" outlineLevel="1">
      <c r="A223" s="87" t="s">
        <v>6</v>
      </c>
      <c r="B223" s="87" t="s">
        <v>7</v>
      </c>
      <c r="C223" s="87" t="s">
        <v>8</v>
      </c>
      <c r="D223" s="87" t="s">
        <v>9</v>
      </c>
      <c r="E223" s="88" t="s">
        <v>10</v>
      </c>
      <c r="F223" s="87" t="s">
        <v>11</v>
      </c>
      <c r="G223" s="87" t="s">
        <v>12</v>
      </c>
      <c r="H223" s="89" t="s">
        <v>13</v>
      </c>
      <c r="I223" s="87" t="s">
        <v>14</v>
      </c>
      <c r="J223" s="87" t="s">
        <v>15</v>
      </c>
      <c r="K223" s="87" t="s">
        <v>16</v>
      </c>
    </row>
    <row r="224" s="21" customFormat="1" ht="18.75" customHeight="1" outlineLevel="1">
      <c r="A224" s="22"/>
      <c r="B224" s="23" t="s">
        <v>30</v>
      </c>
      <c r="C224" s="24"/>
      <c r="D224" s="25"/>
      <c r="E224" s="26"/>
      <c r="F224" s="23"/>
      <c r="G224" s="23"/>
      <c r="H224" s="23"/>
      <c r="I224" s="23"/>
      <c r="J224" s="23"/>
      <c r="K224" s="27"/>
    </row>
    <row r="225" ht="14.25" customHeight="1" outlineLevel="1">
      <c r="A225" s="62">
        <v>1</v>
      </c>
      <c r="B225" s="63"/>
      <c r="C225" s="63"/>
      <c r="D225" s="63"/>
      <c r="E225" s="64"/>
      <c r="F225" s="65"/>
      <c r="G225" s="63"/>
      <c r="H225" s="63"/>
      <c r="I225" s="63"/>
      <c r="J225" s="66"/>
      <c r="K225" s="67"/>
    </row>
    <row r="226" ht="14.25" customHeight="1" outlineLevel="1">
      <c r="A226" s="68">
        <v>2</v>
      </c>
      <c r="B226" s="59"/>
      <c r="C226" s="59"/>
      <c r="D226" s="59"/>
      <c r="E226" s="60"/>
      <c r="F226" s="61"/>
      <c r="G226" s="59"/>
      <c r="H226" s="59"/>
      <c r="I226" s="59"/>
      <c r="J226" s="57"/>
      <c r="K226" s="58"/>
    </row>
    <row r="227" ht="14.25" customHeight="1" outlineLevel="1">
      <c r="A227" s="68">
        <v>3</v>
      </c>
      <c r="B227" s="59"/>
      <c r="C227" s="59"/>
      <c r="D227" s="59"/>
      <c r="E227" s="60"/>
      <c r="F227" s="61"/>
      <c r="G227" s="59"/>
      <c r="H227" s="59"/>
      <c r="I227" s="59"/>
      <c r="J227" s="57"/>
      <c r="K227" s="58"/>
    </row>
    <row r="228" ht="14.25" customHeight="1" outlineLevel="1">
      <c r="A228" s="68">
        <v>4</v>
      </c>
      <c r="B228" s="59"/>
      <c r="C228" s="59"/>
      <c r="D228" s="59"/>
      <c r="E228" s="60"/>
      <c r="F228" s="61"/>
      <c r="G228" s="59"/>
      <c r="H228" s="59"/>
      <c r="I228" s="59"/>
      <c r="J228" s="57"/>
      <c r="K228" s="58"/>
    </row>
    <row r="229" ht="14.25" customHeight="1" outlineLevel="1">
      <c r="A229" s="68">
        <v>5</v>
      </c>
      <c r="B229" s="59"/>
      <c r="C229" s="59"/>
      <c r="D229" s="59"/>
      <c r="E229" s="60"/>
      <c r="F229" s="61"/>
      <c r="G229" s="59"/>
      <c r="H229" s="59"/>
      <c r="I229" s="59"/>
      <c r="J229" s="57"/>
      <c r="K229" s="58"/>
    </row>
    <row r="230" ht="14.25" customHeight="1" outlineLevel="1">
      <c r="A230" s="68">
        <v>6</v>
      </c>
      <c r="B230" s="59"/>
      <c r="C230" s="59"/>
      <c r="D230" s="59"/>
      <c r="E230" s="60"/>
      <c r="F230" s="61"/>
      <c r="G230" s="59"/>
      <c r="H230" s="59"/>
      <c r="I230" s="59"/>
      <c r="J230" s="57"/>
      <c r="K230" s="58"/>
    </row>
    <row r="231" ht="14.25" customHeight="1" outlineLevel="1">
      <c r="A231" s="68">
        <v>7</v>
      </c>
      <c r="B231" s="59"/>
      <c r="C231" s="59"/>
      <c r="D231" s="59"/>
      <c r="E231" s="60"/>
      <c r="F231" s="61"/>
      <c r="G231" s="59"/>
      <c r="H231" s="59"/>
      <c r="I231" s="59"/>
      <c r="J231" s="57"/>
      <c r="K231" s="58"/>
    </row>
    <row r="232" ht="15.75" customHeight="1" outlineLevel="1">
      <c r="A232" s="68">
        <v>8</v>
      </c>
      <c r="B232" s="59"/>
      <c r="C232" s="59"/>
      <c r="D232" s="59"/>
      <c r="E232" s="60"/>
      <c r="F232" s="61"/>
      <c r="G232" s="59"/>
      <c r="H232" s="59"/>
      <c r="I232" s="59"/>
      <c r="J232" s="57"/>
      <c r="K232" s="58"/>
    </row>
    <row r="233" ht="15.75" customHeight="1" outlineLevel="1">
      <c r="A233" s="68">
        <v>9</v>
      </c>
      <c r="B233" s="59"/>
      <c r="C233" s="59"/>
      <c r="D233" s="59"/>
      <c r="E233" s="60"/>
      <c r="F233" s="61"/>
      <c r="G233" s="59"/>
      <c r="H233" s="59"/>
      <c r="I233" s="59"/>
      <c r="J233" s="57"/>
      <c r="K233" s="58"/>
    </row>
    <row r="234" ht="15.75" customHeight="1" outlineLevel="1">
      <c r="A234" s="68">
        <v>10</v>
      </c>
      <c r="B234" s="59"/>
      <c r="C234" s="59"/>
      <c r="D234" s="59"/>
      <c r="E234" s="60"/>
      <c r="F234" s="61"/>
      <c r="G234" s="59"/>
      <c r="H234" s="59"/>
      <c r="I234" s="59"/>
      <c r="J234" s="57"/>
      <c r="K234" s="58"/>
    </row>
    <row r="235" ht="15.75" customHeight="1" outlineLevel="1">
      <c r="A235" s="68">
        <v>11</v>
      </c>
      <c r="B235" s="59"/>
      <c r="C235" s="59"/>
      <c r="D235" s="59"/>
      <c r="E235" s="60"/>
      <c r="F235" s="61"/>
      <c r="G235" s="59"/>
      <c r="H235" s="59"/>
      <c r="I235" s="59"/>
      <c r="J235" s="57"/>
      <c r="K235" s="58"/>
    </row>
    <row r="236" ht="15.75" customHeight="1" outlineLevel="1">
      <c r="A236" s="68">
        <v>12</v>
      </c>
      <c r="B236" s="59"/>
      <c r="C236" s="59"/>
      <c r="D236" s="59"/>
      <c r="E236" s="60"/>
      <c r="F236" s="61"/>
      <c r="G236" s="59"/>
      <c r="H236" s="59"/>
      <c r="I236" s="59"/>
      <c r="J236" s="57"/>
      <c r="K236" s="58"/>
    </row>
    <row r="237" ht="15.75" customHeight="1" outlineLevel="1">
      <c r="A237" s="68">
        <v>13</v>
      </c>
      <c r="B237" s="59"/>
      <c r="C237" s="59"/>
      <c r="D237" s="59"/>
      <c r="E237" s="60"/>
      <c r="F237" s="61"/>
      <c r="G237" s="59"/>
      <c r="H237" s="59"/>
      <c r="I237" s="59"/>
      <c r="J237" s="57"/>
      <c r="K237" s="58"/>
    </row>
    <row r="238" ht="15.75" customHeight="1" outlineLevel="1">
      <c r="A238" s="68">
        <v>14</v>
      </c>
      <c r="B238" s="59"/>
      <c r="C238" s="59"/>
      <c r="D238" s="59"/>
      <c r="E238" s="60"/>
      <c r="F238" s="61"/>
      <c r="G238" s="59"/>
      <c r="H238" s="59"/>
      <c r="I238" s="59"/>
      <c r="J238" s="57"/>
      <c r="K238" s="58"/>
    </row>
    <row r="239" ht="15.75" customHeight="1" outlineLevel="1">
      <c r="A239" s="69">
        <v>15</v>
      </c>
      <c r="B239" s="70"/>
      <c r="C239" s="70"/>
      <c r="D239" s="70"/>
      <c r="E239" s="71"/>
      <c r="F239" s="72"/>
      <c r="G239" s="70"/>
      <c r="H239" s="70"/>
      <c r="I239" s="70"/>
      <c r="J239" s="73"/>
      <c r="K239" s="74"/>
    </row>
    <row r="240" s="21" customFormat="1" ht="21.75" customHeight="1">
      <c r="A240" s="82" t="s">
        <v>31</v>
      </c>
      <c r="B240" s="83"/>
      <c r="C240" s="83"/>
      <c r="D240" s="103"/>
      <c r="E240" s="104">
        <f>SUM(E224:E239)</f>
        <v>0</v>
      </c>
    </row>
    <row r="241" s="21" customFormat="1" ht="21.75" customHeight="1">
      <c r="A241" s="82" t="s">
        <v>22</v>
      </c>
      <c r="B241" s="83"/>
      <c r="C241" s="83"/>
      <c r="D241" s="103"/>
      <c r="E241" s="104">
        <f>E220-E240</f>
        <v>5242</v>
      </c>
      <c r="F241" s="86"/>
    </row>
    <row r="242" ht="15.75">
      <c r="E242" s="1"/>
    </row>
    <row r="243" ht="25.5" customHeight="1">
      <c r="A243" s="9" t="s">
        <v>32</v>
      </c>
      <c r="B243" s="10"/>
      <c r="C243" s="10"/>
      <c r="D243" s="11"/>
      <c r="E243" s="12">
        <f>SUM(E244:E245)</f>
        <v>12476.190000000001</v>
      </c>
      <c r="F243" s="163" t="s">
        <v>44</v>
      </c>
      <c r="G243" s="13"/>
      <c r="H243" s="13"/>
      <c r="I243" s="13"/>
    </row>
    <row r="244" ht="15.75">
      <c r="A244" s="14" t="s">
        <v>33</v>
      </c>
      <c r="B244" s="15"/>
      <c r="C244" s="15"/>
      <c r="D244" s="16"/>
      <c r="E244" s="17">
        <v>9132.9500000000007</v>
      </c>
      <c r="F244" s="13"/>
      <c r="G244" s="13"/>
      <c r="H244" s="13"/>
      <c r="I244" s="13"/>
    </row>
    <row r="245" ht="15.75">
      <c r="A245" s="14" t="s">
        <v>34</v>
      </c>
      <c r="B245" s="15"/>
      <c r="C245" s="15"/>
      <c r="D245" s="16"/>
      <c r="E245" s="17">
        <v>3343.2399999999998</v>
      </c>
      <c r="F245" s="13"/>
      <c r="G245" s="13"/>
      <c r="H245" s="13"/>
      <c r="I245" s="13"/>
    </row>
    <row r="246" ht="15.75">
      <c r="A246" s="13"/>
      <c r="B246" s="13"/>
      <c r="C246" s="13"/>
      <c r="D246" s="13"/>
      <c r="E246" s="13"/>
      <c r="F246" s="13"/>
      <c r="G246" s="13"/>
      <c r="H246" s="13"/>
      <c r="I246" s="13"/>
    </row>
    <row r="247" ht="24.75">
      <c r="A247" s="87" t="s">
        <v>6</v>
      </c>
      <c r="B247" s="87" t="s">
        <v>7</v>
      </c>
      <c r="C247" s="87" t="s">
        <v>8</v>
      </c>
      <c r="D247" s="87" t="s">
        <v>9</v>
      </c>
      <c r="E247" s="88" t="s">
        <v>10</v>
      </c>
      <c r="F247" s="87" t="s">
        <v>11</v>
      </c>
      <c r="G247" s="87" t="s">
        <v>12</v>
      </c>
      <c r="H247" s="89" t="s">
        <v>13</v>
      </c>
      <c r="I247" s="87" t="s">
        <v>14</v>
      </c>
      <c r="J247" s="87" t="s">
        <v>15</v>
      </c>
      <c r="K247" s="87" t="s">
        <v>16</v>
      </c>
    </row>
    <row r="248" ht="15.75">
      <c r="A248" s="22"/>
      <c r="B248" s="23" t="s">
        <v>25</v>
      </c>
      <c r="C248" s="24"/>
      <c r="D248" s="25"/>
      <c r="E248" s="26"/>
      <c r="F248" s="23"/>
      <c r="G248" s="23"/>
      <c r="H248" s="23"/>
      <c r="I248" s="23"/>
      <c r="J248" s="23"/>
      <c r="K248" s="27"/>
    </row>
    <row r="249">
      <c r="A249" s="68">
        <v>1</v>
      </c>
      <c r="B249" s="106"/>
      <c r="C249" s="106"/>
      <c r="D249" s="107"/>
      <c r="E249" s="92"/>
      <c r="F249" s="107"/>
      <c r="G249" s="42"/>
      <c r="H249" s="42"/>
      <c r="I249" s="42" t="s">
        <v>35</v>
      </c>
      <c r="J249" s="57"/>
      <c r="K249" s="58"/>
    </row>
    <row r="250">
      <c r="A250" s="68">
        <v>2</v>
      </c>
      <c r="B250" s="106"/>
      <c r="C250" s="106"/>
      <c r="D250" s="107"/>
      <c r="E250" s="93"/>
      <c r="F250" s="107"/>
      <c r="G250" s="59"/>
      <c r="H250" s="59"/>
      <c r="I250" s="42"/>
      <c r="J250" s="57"/>
      <c r="K250" s="58"/>
    </row>
    <row r="251">
      <c r="A251" s="68">
        <v>3</v>
      </c>
      <c r="B251" s="108"/>
      <c r="C251" s="109"/>
      <c r="D251" s="110"/>
      <c r="E251" s="111"/>
      <c r="F251" s="110"/>
      <c r="G251" s="112"/>
      <c r="H251" s="113"/>
      <c r="I251" s="35"/>
      <c r="J251" s="114"/>
      <c r="K251" s="115"/>
    </row>
    <row r="252">
      <c r="A252" s="68">
        <v>4</v>
      </c>
      <c r="B252" s="108"/>
      <c r="C252" s="109"/>
      <c r="D252" s="110"/>
      <c r="E252" s="111"/>
      <c r="F252" s="110"/>
      <c r="G252" s="112"/>
      <c r="H252" s="113"/>
      <c r="I252" s="35"/>
      <c r="J252" s="114"/>
      <c r="K252" s="116"/>
    </row>
    <row r="253">
      <c r="A253" s="68">
        <v>5</v>
      </c>
      <c r="B253" s="42"/>
      <c r="C253" s="42"/>
      <c r="D253" s="42"/>
      <c r="E253" s="93"/>
      <c r="F253" s="94"/>
      <c r="G253" s="42"/>
      <c r="H253" s="42"/>
      <c r="I253" s="42"/>
      <c r="J253" s="43"/>
      <c r="K253" s="44"/>
    </row>
    <row r="254">
      <c r="A254" s="68">
        <v>6</v>
      </c>
      <c r="B254" s="43"/>
      <c r="C254" s="43"/>
      <c r="D254" s="43"/>
      <c r="E254" s="43"/>
      <c r="F254" s="43"/>
      <c r="G254" s="43"/>
      <c r="H254" s="42"/>
      <c r="I254" s="42"/>
      <c r="J254" s="43"/>
      <c r="K254" s="44"/>
    </row>
    <row r="255">
      <c r="A255" s="68">
        <v>7</v>
      </c>
      <c r="B255" s="43"/>
      <c r="C255" s="43"/>
      <c r="D255" s="43"/>
      <c r="E255" s="43"/>
      <c r="F255" s="43"/>
      <c r="G255" s="43"/>
      <c r="H255" s="42"/>
      <c r="I255" s="42"/>
      <c r="J255" s="43"/>
      <c r="K255" s="44"/>
    </row>
    <row r="256">
      <c r="A256" s="68">
        <v>8</v>
      </c>
      <c r="B256" s="42"/>
      <c r="C256" s="94"/>
      <c r="D256" s="94"/>
      <c r="E256" s="93"/>
      <c r="F256" s="94"/>
      <c r="G256" s="42"/>
      <c r="H256" s="42"/>
      <c r="I256" s="42"/>
      <c r="J256" s="43"/>
      <c r="K256" s="44"/>
    </row>
    <row r="257">
      <c r="A257" s="68">
        <v>9</v>
      </c>
      <c r="B257" s="42"/>
      <c r="C257" s="94"/>
      <c r="D257" s="94"/>
      <c r="E257" s="93"/>
      <c r="F257" s="94"/>
      <c r="G257" s="42"/>
      <c r="H257" s="42"/>
      <c r="I257" s="42"/>
      <c r="J257" s="43"/>
      <c r="K257" s="44"/>
    </row>
    <row r="258">
      <c r="A258" s="68">
        <v>10</v>
      </c>
      <c r="B258" s="42"/>
      <c r="C258" s="94"/>
      <c r="D258" s="94"/>
      <c r="E258" s="93"/>
      <c r="F258" s="94"/>
      <c r="G258" s="42"/>
      <c r="H258" s="42"/>
      <c r="I258" s="42"/>
      <c r="J258" s="43"/>
      <c r="K258" s="44"/>
    </row>
    <row r="259">
      <c r="A259" s="68">
        <v>11</v>
      </c>
      <c r="B259" s="42"/>
      <c r="C259" s="94"/>
      <c r="D259" s="94"/>
      <c r="E259" s="93"/>
      <c r="F259" s="94"/>
      <c r="G259" s="42"/>
      <c r="H259" s="42"/>
      <c r="I259" s="42"/>
      <c r="J259" s="43"/>
      <c r="K259" s="44"/>
    </row>
    <row r="260">
      <c r="A260" s="68">
        <v>12</v>
      </c>
      <c r="B260" s="59"/>
      <c r="C260" s="61"/>
      <c r="D260" s="61"/>
      <c r="E260" s="93"/>
      <c r="F260" s="61"/>
      <c r="G260" s="59"/>
      <c r="H260" s="59"/>
      <c r="I260" s="42"/>
      <c r="J260" s="57"/>
      <c r="K260" s="58"/>
    </row>
    <row r="261">
      <c r="A261" s="68">
        <v>13</v>
      </c>
      <c r="B261" s="59"/>
      <c r="C261" s="61"/>
      <c r="D261" s="61"/>
      <c r="E261" s="93"/>
      <c r="F261" s="61"/>
      <c r="G261" s="59"/>
      <c r="H261" s="59"/>
      <c r="I261" s="42"/>
      <c r="J261" s="57"/>
      <c r="K261" s="58"/>
    </row>
    <row r="262">
      <c r="A262" s="68">
        <v>14</v>
      </c>
      <c r="B262" s="59"/>
      <c r="C262" s="61"/>
      <c r="D262" s="61"/>
      <c r="E262" s="93"/>
      <c r="F262" s="61"/>
      <c r="G262" s="59"/>
      <c r="H262" s="59"/>
      <c r="I262" s="42"/>
      <c r="J262" s="57"/>
      <c r="K262" s="58"/>
    </row>
    <row r="263" ht="15.75">
      <c r="A263" s="68">
        <v>15</v>
      </c>
      <c r="B263" s="59"/>
      <c r="C263" s="61"/>
      <c r="D263" s="61"/>
      <c r="E263" s="93"/>
      <c r="F263" s="61"/>
      <c r="G263" s="59"/>
      <c r="H263" s="59"/>
      <c r="I263" s="42"/>
      <c r="J263" s="57"/>
      <c r="K263" s="58"/>
    </row>
    <row r="264" ht="15.75">
      <c r="A264" s="22"/>
      <c r="B264" s="23" t="s">
        <v>26</v>
      </c>
      <c r="C264" s="24"/>
      <c r="D264" s="25"/>
      <c r="E264" s="26"/>
      <c r="F264" s="23"/>
      <c r="G264" s="23"/>
      <c r="H264" s="23"/>
      <c r="I264" s="23"/>
      <c r="J264" s="23"/>
      <c r="K264" s="27"/>
    </row>
    <row r="265">
      <c r="A265" s="62">
        <v>1</v>
      </c>
      <c r="B265" s="63"/>
      <c r="C265" s="63"/>
      <c r="D265" s="63"/>
      <c r="E265" s="64"/>
      <c r="F265" s="65"/>
      <c r="G265" s="63"/>
      <c r="H265" s="63"/>
      <c r="I265" s="63"/>
      <c r="J265" s="66"/>
      <c r="K265" s="67"/>
    </row>
    <row r="266">
      <c r="A266" s="68">
        <v>2</v>
      </c>
      <c r="B266" s="59"/>
      <c r="C266" s="59"/>
      <c r="D266" s="59"/>
      <c r="E266" s="60"/>
      <c r="F266" s="61"/>
      <c r="G266" s="59"/>
      <c r="H266" s="59"/>
      <c r="I266" s="59"/>
      <c r="J266" s="57"/>
      <c r="K266" s="58"/>
    </row>
    <row r="267">
      <c r="A267" s="68">
        <v>3</v>
      </c>
      <c r="B267" s="59"/>
      <c r="C267" s="59"/>
      <c r="D267" s="59"/>
      <c r="E267" s="60"/>
      <c r="F267" s="61"/>
      <c r="G267" s="59"/>
      <c r="H267" s="59"/>
      <c r="I267" s="59"/>
      <c r="J267" s="57"/>
      <c r="K267" s="58"/>
    </row>
    <row r="268">
      <c r="A268" s="68">
        <v>4</v>
      </c>
      <c r="B268" s="59"/>
      <c r="C268" s="59"/>
      <c r="D268" s="59"/>
      <c r="E268" s="60"/>
      <c r="F268" s="61"/>
      <c r="G268" s="59"/>
      <c r="H268" s="59"/>
      <c r="I268" s="59"/>
      <c r="J268" s="57"/>
      <c r="K268" s="58"/>
    </row>
    <row r="269" ht="15.75">
      <c r="A269" s="69">
        <v>5</v>
      </c>
      <c r="B269" s="70"/>
      <c r="C269" s="70"/>
      <c r="D269" s="70"/>
      <c r="E269" s="71"/>
      <c r="F269" s="72"/>
      <c r="G269" s="70"/>
      <c r="H269" s="70"/>
      <c r="I269" s="70"/>
      <c r="J269" s="73"/>
      <c r="K269" s="74"/>
    </row>
    <row r="270" ht="15.75">
      <c r="A270" s="22"/>
      <c r="B270" s="23" t="s">
        <v>19</v>
      </c>
      <c r="C270" s="24"/>
      <c r="D270" s="25"/>
      <c r="E270" s="26"/>
      <c r="F270" s="23"/>
      <c r="G270" s="23"/>
      <c r="H270" s="23"/>
      <c r="I270" s="23"/>
      <c r="J270" s="23"/>
      <c r="K270" s="27"/>
    </row>
    <row r="271">
      <c r="A271" s="62">
        <v>1</v>
      </c>
      <c r="B271" s="39"/>
      <c r="C271" s="56"/>
      <c r="D271" s="59"/>
      <c r="E271" s="60"/>
      <c r="F271" s="101"/>
      <c r="G271" s="63"/>
      <c r="H271" s="63"/>
      <c r="I271" s="63"/>
      <c r="J271" s="66"/>
      <c r="K271" s="67"/>
    </row>
    <row r="272">
      <c r="A272" s="68">
        <v>2</v>
      </c>
      <c r="B272" s="117"/>
      <c r="C272" s="117"/>
      <c r="D272" s="118"/>
      <c r="E272" s="60"/>
      <c r="F272" s="119"/>
      <c r="G272" s="59"/>
      <c r="H272" s="59"/>
      <c r="I272" s="59"/>
      <c r="J272" s="57"/>
      <c r="K272" s="58"/>
    </row>
    <row r="273">
      <c r="A273" s="68">
        <v>3</v>
      </c>
      <c r="B273" s="59"/>
      <c r="C273" s="59"/>
      <c r="D273" s="59"/>
      <c r="E273" s="60"/>
      <c r="F273" s="61"/>
      <c r="G273" s="59"/>
      <c r="H273" s="59"/>
      <c r="I273" s="59"/>
      <c r="J273" s="57"/>
      <c r="K273" s="58"/>
    </row>
    <row r="274">
      <c r="A274" s="68">
        <v>4</v>
      </c>
      <c r="B274" s="59"/>
      <c r="C274" s="59"/>
      <c r="D274" s="59"/>
      <c r="E274" s="60"/>
      <c r="F274" s="61"/>
      <c r="G274" s="59"/>
      <c r="H274" s="59"/>
      <c r="I274" s="59"/>
      <c r="J274" s="57"/>
      <c r="K274" s="58"/>
    </row>
    <row r="275" ht="15.75">
      <c r="A275" s="69">
        <v>5</v>
      </c>
      <c r="B275" s="70"/>
      <c r="C275" s="70"/>
      <c r="D275" s="70"/>
      <c r="E275" s="71"/>
      <c r="F275" s="72"/>
      <c r="G275" s="70"/>
      <c r="H275" s="70"/>
      <c r="I275" s="70"/>
      <c r="J275" s="73"/>
      <c r="K275" s="74"/>
    </row>
    <row r="276" s="21" customFormat="1" ht="26.25" customHeight="1">
      <c r="A276" s="82" t="s">
        <v>36</v>
      </c>
      <c r="B276" s="83"/>
      <c r="C276" s="83"/>
      <c r="D276" s="103"/>
      <c r="E276" s="104">
        <f>SUM(E249:E275)</f>
        <v>0</v>
      </c>
    </row>
    <row r="277" s="21" customFormat="1" ht="27" customHeight="1">
      <c r="A277" s="82" t="s">
        <v>22</v>
      </c>
      <c r="B277" s="83"/>
      <c r="C277" s="83"/>
      <c r="D277" s="103"/>
      <c r="E277" s="104">
        <f>E243-E276</f>
        <v>12476.190000000001</v>
      </c>
      <c r="F277" s="86"/>
    </row>
    <row r="278" ht="14.25">
      <c r="E278" s="1"/>
    </row>
    <row r="279" ht="15.75">
      <c r="E279" s="1"/>
    </row>
    <row r="280" ht="36" customHeight="1">
      <c r="A280" s="120" t="s">
        <v>37</v>
      </c>
      <c r="B280" s="120"/>
      <c r="C280" s="120"/>
      <c r="D280" s="120"/>
      <c r="E280" s="121">
        <f>E281+E282</f>
        <v>12080.969999999999</v>
      </c>
      <c r="F280" s="163" t="s">
        <v>44</v>
      </c>
      <c r="G280" s="123"/>
      <c r="H280" s="123"/>
      <c r="I280" s="123"/>
      <c r="J280" s="124"/>
      <c r="K280" s="124"/>
    </row>
    <row r="281" ht="15.75" customHeight="1">
      <c r="A281" s="125" t="s">
        <v>38</v>
      </c>
      <c r="B281" s="125"/>
      <c r="C281" s="125"/>
      <c r="D281" s="125"/>
      <c r="E281" s="126">
        <v>9365.9699999999993</v>
      </c>
      <c r="F281" s="123"/>
      <c r="G281" s="123"/>
      <c r="H281" s="123"/>
      <c r="I281" s="123"/>
      <c r="J281" s="124"/>
      <c r="K281" s="124"/>
    </row>
    <row r="282" ht="15.75" customHeight="1">
      <c r="A282" s="125" t="s">
        <v>39</v>
      </c>
      <c r="B282" s="125"/>
      <c r="C282" s="125"/>
      <c r="D282" s="125"/>
      <c r="E282" s="126">
        <v>2715</v>
      </c>
      <c r="F282" s="123"/>
      <c r="G282" s="123"/>
      <c r="H282" s="123"/>
      <c r="I282" s="123"/>
      <c r="J282" s="124"/>
      <c r="K282" s="124"/>
    </row>
    <row r="283" ht="15.75">
      <c r="A283" s="123"/>
      <c r="B283" s="123"/>
      <c r="C283" s="123"/>
      <c r="D283" s="123"/>
      <c r="E283" s="123"/>
      <c r="F283" s="123"/>
      <c r="G283" s="123"/>
      <c r="H283" s="123"/>
      <c r="I283" s="123"/>
      <c r="J283" s="124"/>
      <c r="K283" s="124"/>
    </row>
    <row r="284" ht="24.75">
      <c r="A284" s="127" t="s">
        <v>6</v>
      </c>
      <c r="B284" s="127" t="s">
        <v>7</v>
      </c>
      <c r="C284" s="127" t="s">
        <v>8</v>
      </c>
      <c r="D284" s="127" t="s">
        <v>9</v>
      </c>
      <c r="E284" s="127" t="s">
        <v>40</v>
      </c>
      <c r="F284" s="127" t="s">
        <v>11</v>
      </c>
      <c r="G284" s="127" t="s">
        <v>12</v>
      </c>
      <c r="H284" s="128" t="s">
        <v>13</v>
      </c>
      <c r="I284" s="127" t="s">
        <v>14</v>
      </c>
      <c r="J284" s="127" t="s">
        <v>15</v>
      </c>
      <c r="K284" s="127" t="s">
        <v>16</v>
      </c>
    </row>
    <row r="285" ht="15.75">
      <c r="A285" s="129" t="s">
        <v>41</v>
      </c>
      <c r="B285" s="130"/>
      <c r="C285" s="130"/>
      <c r="D285" s="130"/>
      <c r="E285" s="130"/>
      <c r="F285" s="130"/>
      <c r="G285" s="130"/>
      <c r="H285" s="130"/>
      <c r="I285" s="130"/>
      <c r="J285" s="130"/>
      <c r="K285" s="131"/>
    </row>
    <row r="286">
      <c r="A286" s="132">
        <v>1</v>
      </c>
      <c r="B286" s="133"/>
      <c r="C286" s="133"/>
      <c r="D286" s="134"/>
      <c r="E286" s="135"/>
      <c r="F286" s="134"/>
      <c r="G286" s="136"/>
      <c r="H286" s="136"/>
      <c r="I286" s="136"/>
      <c r="J286" s="137"/>
      <c r="K286" s="138"/>
    </row>
    <row r="287">
      <c r="A287" s="139">
        <v>2</v>
      </c>
      <c r="B287" s="140"/>
      <c r="C287" s="140"/>
      <c r="D287" s="141"/>
      <c r="E287" s="142"/>
      <c r="F287" s="141"/>
      <c r="G287" s="143"/>
      <c r="H287" s="143"/>
      <c r="I287" s="142"/>
      <c r="J287" s="144"/>
      <c r="K287" s="145"/>
    </row>
    <row r="288">
      <c r="A288" s="139">
        <v>3</v>
      </c>
      <c r="B288" s="143"/>
      <c r="C288" s="143"/>
      <c r="D288" s="143"/>
      <c r="E288" s="142"/>
      <c r="F288" s="146"/>
      <c r="G288" s="143"/>
      <c r="H288" s="143"/>
      <c r="I288" s="142"/>
      <c r="J288" s="144"/>
      <c r="K288" s="145"/>
    </row>
    <row r="289">
      <c r="A289" s="139">
        <v>4</v>
      </c>
      <c r="B289" s="143"/>
      <c r="C289" s="146"/>
      <c r="D289" s="146"/>
      <c r="E289" s="142"/>
      <c r="F289" s="146"/>
      <c r="G289" s="143"/>
      <c r="H289" s="143"/>
      <c r="I289" s="142"/>
      <c r="J289" s="144"/>
      <c r="K289" s="145"/>
    </row>
    <row r="290">
      <c r="A290" s="139">
        <v>5</v>
      </c>
      <c r="B290" s="143"/>
      <c r="C290" s="143"/>
      <c r="D290" s="143"/>
      <c r="E290" s="143"/>
      <c r="F290" s="146"/>
      <c r="G290" s="143"/>
      <c r="H290" s="143"/>
      <c r="I290" s="142"/>
      <c r="J290" s="144"/>
      <c r="K290" s="145"/>
    </row>
    <row r="291">
      <c r="A291" s="139">
        <v>6</v>
      </c>
      <c r="B291" s="144"/>
      <c r="C291" s="144"/>
      <c r="D291" s="144"/>
      <c r="E291" s="144"/>
      <c r="F291" s="144"/>
      <c r="G291" s="144"/>
      <c r="H291" s="143"/>
      <c r="I291" s="142"/>
      <c r="J291" s="144"/>
      <c r="K291" s="145"/>
    </row>
    <row r="292">
      <c r="A292" s="139">
        <v>7</v>
      </c>
      <c r="B292" s="144"/>
      <c r="C292" s="144"/>
      <c r="D292" s="144"/>
      <c r="E292" s="144"/>
      <c r="F292" s="144"/>
      <c r="G292" s="144"/>
      <c r="H292" s="143"/>
      <c r="I292" s="143"/>
      <c r="J292" s="144"/>
      <c r="K292" s="145"/>
    </row>
    <row r="293">
      <c r="A293" s="139">
        <v>8</v>
      </c>
      <c r="B293" s="143"/>
      <c r="C293" s="146"/>
      <c r="D293" s="146"/>
      <c r="E293" s="142"/>
      <c r="F293" s="146"/>
      <c r="G293" s="143"/>
      <c r="H293" s="143"/>
      <c r="I293" s="142"/>
      <c r="J293" s="144"/>
      <c r="K293" s="145"/>
    </row>
    <row r="294">
      <c r="A294" s="139">
        <v>9</v>
      </c>
      <c r="B294" s="143"/>
      <c r="C294" s="146"/>
      <c r="D294" s="146"/>
      <c r="E294" s="142"/>
      <c r="F294" s="146"/>
      <c r="G294" s="143"/>
      <c r="H294" s="143"/>
      <c r="I294" s="142"/>
      <c r="J294" s="144"/>
      <c r="K294" s="145"/>
    </row>
    <row r="295">
      <c r="A295" s="139">
        <v>10</v>
      </c>
      <c r="B295" s="143"/>
      <c r="C295" s="146"/>
      <c r="D295" s="146"/>
      <c r="E295" s="142"/>
      <c r="F295" s="146"/>
      <c r="G295" s="143"/>
      <c r="H295" s="143"/>
      <c r="I295" s="142"/>
      <c r="J295" s="144"/>
      <c r="K295" s="145"/>
    </row>
    <row r="296">
      <c r="A296" s="139">
        <v>11</v>
      </c>
      <c r="B296" s="143"/>
      <c r="C296" s="146"/>
      <c r="D296" s="146"/>
      <c r="E296" s="142"/>
      <c r="F296" s="146"/>
      <c r="G296" s="143"/>
      <c r="H296" s="143"/>
      <c r="I296" s="142"/>
      <c r="J296" s="144"/>
      <c r="K296" s="145"/>
    </row>
    <row r="297">
      <c r="A297" s="139">
        <v>12</v>
      </c>
      <c r="B297" s="143"/>
      <c r="C297" s="146"/>
      <c r="D297" s="146"/>
      <c r="E297" s="142"/>
      <c r="F297" s="146"/>
      <c r="G297" s="143"/>
      <c r="H297" s="143"/>
      <c r="I297" s="142"/>
      <c r="J297" s="144"/>
      <c r="K297" s="145"/>
    </row>
    <row r="298">
      <c r="A298" s="139">
        <v>13</v>
      </c>
      <c r="B298" s="143"/>
      <c r="C298" s="146"/>
      <c r="D298" s="146"/>
      <c r="E298" s="142"/>
      <c r="F298" s="146"/>
      <c r="G298" s="143"/>
      <c r="H298" s="143"/>
      <c r="I298" s="142"/>
      <c r="J298" s="144"/>
      <c r="K298" s="145"/>
    </row>
    <row r="299">
      <c r="A299" s="139">
        <v>14</v>
      </c>
      <c r="B299" s="143"/>
      <c r="C299" s="146"/>
      <c r="D299" s="146"/>
      <c r="E299" s="142"/>
      <c r="F299" s="146"/>
      <c r="G299" s="143"/>
      <c r="H299" s="143"/>
      <c r="I299" s="142"/>
      <c r="J299" s="144"/>
      <c r="K299" s="145"/>
    </row>
    <row r="300" ht="15.75">
      <c r="A300" s="147">
        <v>15</v>
      </c>
      <c r="B300" s="148"/>
      <c r="C300" s="149"/>
      <c r="D300" s="149"/>
      <c r="E300" s="150"/>
      <c r="F300" s="149"/>
      <c r="G300" s="148"/>
      <c r="H300" s="148"/>
      <c r="I300" s="150"/>
      <c r="J300" s="151"/>
      <c r="K300" s="152"/>
    </row>
    <row r="301" ht="15.75">
      <c r="A301" s="22"/>
      <c r="B301" s="23" t="s">
        <v>26</v>
      </c>
      <c r="C301" s="24"/>
      <c r="D301" s="25"/>
      <c r="E301" s="26"/>
      <c r="F301" s="23"/>
      <c r="G301" s="23"/>
      <c r="H301" s="23"/>
      <c r="I301" s="23"/>
      <c r="J301" s="23"/>
      <c r="K301" s="27"/>
    </row>
    <row r="302">
      <c r="A302" s="132">
        <v>1</v>
      </c>
      <c r="B302" s="153"/>
      <c r="C302" s="153"/>
      <c r="D302" s="153"/>
      <c r="E302" s="153"/>
      <c r="F302" s="154"/>
      <c r="G302" s="153"/>
      <c r="H302" s="153"/>
      <c r="I302" s="153"/>
      <c r="J302" s="137"/>
      <c r="K302" s="138"/>
    </row>
    <row r="303">
      <c r="A303" s="139">
        <v>2</v>
      </c>
      <c r="B303" s="143"/>
      <c r="C303" s="143"/>
      <c r="D303" s="143"/>
      <c r="E303" s="143"/>
      <c r="F303" s="146"/>
      <c r="G303" s="143"/>
      <c r="H303" s="143"/>
      <c r="I303" s="143"/>
      <c r="J303" s="144"/>
      <c r="K303" s="145"/>
    </row>
    <row r="304">
      <c r="A304" s="139">
        <v>3</v>
      </c>
      <c r="B304" s="143"/>
      <c r="C304" s="143"/>
      <c r="D304" s="143"/>
      <c r="E304" s="143"/>
      <c r="F304" s="146"/>
      <c r="G304" s="143"/>
      <c r="H304" s="143"/>
      <c r="I304" s="143"/>
      <c r="J304" s="144"/>
      <c r="K304" s="145"/>
    </row>
    <row r="305">
      <c r="A305" s="139">
        <v>4</v>
      </c>
      <c r="B305" s="143"/>
      <c r="C305" s="143"/>
      <c r="D305" s="143"/>
      <c r="E305" s="143"/>
      <c r="F305" s="146"/>
      <c r="G305" s="143"/>
      <c r="H305" s="143"/>
      <c r="I305" s="143"/>
      <c r="J305" s="144"/>
      <c r="K305" s="145"/>
    </row>
    <row r="306" ht="15.75">
      <c r="A306" s="147">
        <v>5</v>
      </c>
      <c r="B306" s="148"/>
      <c r="C306" s="148"/>
      <c r="D306" s="148"/>
      <c r="E306" s="148"/>
      <c r="F306" s="149"/>
      <c r="G306" s="148"/>
      <c r="H306" s="148"/>
      <c r="I306" s="148"/>
      <c r="J306" s="151"/>
      <c r="K306" s="152"/>
    </row>
    <row r="307" ht="15.75">
      <c r="A307" s="22"/>
      <c r="B307" s="23" t="s">
        <v>19</v>
      </c>
      <c r="C307" s="24"/>
      <c r="D307" s="25"/>
      <c r="E307" s="26"/>
      <c r="F307" s="23"/>
      <c r="G307" s="23"/>
      <c r="H307" s="23"/>
      <c r="I307" s="23"/>
      <c r="J307" s="23"/>
      <c r="K307" s="27"/>
    </row>
    <row r="308">
      <c r="A308" s="132">
        <v>1</v>
      </c>
      <c r="B308" s="136"/>
      <c r="C308" s="153"/>
      <c r="D308" s="153"/>
      <c r="E308" s="153"/>
      <c r="F308" s="154"/>
      <c r="G308" s="153"/>
      <c r="H308" s="153"/>
      <c r="I308" s="153"/>
      <c r="J308" s="137"/>
      <c r="K308" s="138"/>
    </row>
    <row r="309">
      <c r="A309" s="139">
        <v>2</v>
      </c>
      <c r="B309" s="155"/>
      <c r="C309" s="155"/>
      <c r="D309" s="156"/>
      <c r="E309" s="143"/>
      <c r="F309" s="157"/>
      <c r="G309" s="143"/>
      <c r="H309" s="143"/>
      <c r="I309" s="143"/>
      <c r="J309" s="144"/>
      <c r="K309" s="145"/>
    </row>
    <row r="310">
      <c r="A310" s="139">
        <v>3</v>
      </c>
      <c r="B310" s="143"/>
      <c r="C310" s="143"/>
      <c r="D310" s="143"/>
      <c r="E310" s="143"/>
      <c r="F310" s="146"/>
      <c r="G310" s="143"/>
      <c r="H310" s="143"/>
      <c r="I310" s="143"/>
      <c r="J310" s="144"/>
      <c r="K310" s="145"/>
    </row>
    <row r="311">
      <c r="A311" s="139">
        <v>4</v>
      </c>
      <c r="B311" s="143"/>
      <c r="C311" s="143"/>
      <c r="D311" s="143"/>
      <c r="E311" s="143"/>
      <c r="F311" s="146"/>
      <c r="G311" s="143"/>
      <c r="H311" s="143"/>
      <c r="I311" s="143"/>
      <c r="J311" s="144"/>
      <c r="K311" s="145"/>
    </row>
    <row r="312" ht="15.75">
      <c r="A312" s="147">
        <v>5</v>
      </c>
      <c r="B312" s="148"/>
      <c r="C312" s="148"/>
      <c r="D312" s="148"/>
      <c r="E312" s="148"/>
      <c r="F312" s="149"/>
      <c r="G312" s="148"/>
      <c r="H312" s="148"/>
      <c r="I312" s="148"/>
      <c r="J312" s="151"/>
      <c r="K312" s="152"/>
    </row>
    <row r="313" ht="27.75" customHeight="1">
      <c r="A313" s="158" t="s">
        <v>42</v>
      </c>
      <c r="B313" s="158"/>
      <c r="C313" s="158"/>
      <c r="D313" s="158"/>
      <c r="E313" s="159">
        <f>SUM(E286:E312)</f>
        <v>0</v>
      </c>
      <c r="F313" s="160"/>
      <c r="G313" s="160"/>
      <c r="H313" s="160"/>
      <c r="I313" s="160"/>
      <c r="J313" s="160"/>
      <c r="K313" s="160"/>
    </row>
    <row r="314" ht="27.75" customHeight="1">
      <c r="A314" s="158" t="s">
        <v>43</v>
      </c>
      <c r="B314" s="158"/>
      <c r="C314" s="158"/>
      <c r="D314" s="158"/>
      <c r="E314" s="161">
        <f>E280-E313</f>
        <v>12080.969999999999</v>
      </c>
      <c r="F314" s="162"/>
      <c r="G314" s="160"/>
      <c r="H314" s="160"/>
      <c r="I314" s="160"/>
      <c r="J314" s="160"/>
      <c r="K314" s="160"/>
    </row>
    <row r="315" ht="14.25">
      <c r="E315" s="1"/>
    </row>
    <row r="316" ht="14.25">
      <c r="E316" s="1"/>
    </row>
    <row r="317" ht="14.25">
      <c r="E317" s="1"/>
    </row>
    <row r="318" ht="14.25">
      <c r="E318" s="1"/>
    </row>
  </sheetData>
  <mergeCells count="26">
    <mergeCell ref="E1:F1"/>
    <mergeCell ref="A4:D4"/>
    <mergeCell ref="A5:D5"/>
    <mergeCell ref="A7:D7"/>
    <mergeCell ref="A158:D158"/>
    <mergeCell ref="A159:D159"/>
    <mergeCell ref="A161:D161"/>
    <mergeCell ref="A162:D162"/>
    <mergeCell ref="A163:D163"/>
    <mergeCell ref="A217:D217"/>
    <mergeCell ref="A218:D218"/>
    <mergeCell ref="A220:D220"/>
    <mergeCell ref="A221:D221"/>
    <mergeCell ref="A240:D240"/>
    <mergeCell ref="A241:D241"/>
    <mergeCell ref="A243:D243"/>
    <mergeCell ref="A244:D244"/>
    <mergeCell ref="A245:D245"/>
    <mergeCell ref="A276:D276"/>
    <mergeCell ref="A277:D277"/>
    <mergeCell ref="A280:D280"/>
    <mergeCell ref="A281:D281"/>
    <mergeCell ref="A282:D282"/>
    <mergeCell ref="A285:K285"/>
    <mergeCell ref="A313:D313"/>
    <mergeCell ref="A314:D314"/>
  </mergeCells>
  <printOptions headings="0" gridLines="0"/>
  <pageMargins left="0" right="0" top="0" bottom="0" header="0.29999999999999999" footer="0.29999999999999999"/>
  <pageSetup paperSize="9" scale="18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4" disablePrompts="0">
        <x14:dataValidation xr:uid="{0018006E-0092-4B40-924D-007C009E00F3}" type="list" allowBlank="1" errorStyle="stop" imeMode="noControl" operator="between" showDropDown="0" showErrorMessage="1" showInputMessage="1">
          <x14:formula1>
            <xm:f>ДаНет</xm:f>
          </x14:formula1>
          <xm:sqref>H124:H141 H148:H150 H152 H157 H225:H239 H212:H216 H265:H269 H206:H210 H167 H168:H193 H194:H195 H196 H197:H199 H203:H204 H202 H201 H200 H109:H120 H271:H275 H51:H80 H249:H250 H253:H263</xm:sqref>
        </x14:dataValidation>
        <x14:dataValidation xr:uid="{00550030-0086-4067-B87D-00FF006B00E6}" type="list" allowBlank="1" errorStyle="stop" imeMode="noControl" operator="between" showDropDown="0" showErrorMessage="1" showInputMessage="1">
          <x14:formula1>
            <xm:f>ДаНет</xm:f>
          </x14:formula1>
          <x14:formula2>
            <xm:f>0</xm:f>
          </x14:formula2>
          <xm:sqref>H81:H108 H251:H252</xm:sqref>
        </x14:dataValidation>
        <x14:dataValidation xr:uid="{007F009F-00C0-40DE-9873-0015007B009A}" type="list" allowBlank="1" errorStyle="stop" imeMode="noControl" operator="between" showDropDown="0" showErrorMessage="1" showInputMessage="1">
          <x14:formula1>
            <xm:f>ДаНет</xm:f>
          </x14:formula1>
          <xm:sqref>H50</xm:sqref>
        </x14:dataValidation>
        <x14:dataValidation xr:uid="{004C0082-00B3-4559-B82E-005500110038}" type="list" allowBlank="1" errorStyle="stop" imeMode="noControl" operator="between" showDropDown="0" showErrorMessage="1" showInputMessage="1">
          <x14:formula1>
            <xm:f>ДаНет</xm:f>
          </x14:formula1>
          <xm:sqref>H46:H49</xm:sqref>
        </x14:dataValidation>
        <x14:dataValidation xr:uid="{007700AA-008F-4C90-9B9B-002100FE0051}" type="list" allowBlank="1" errorStyle="stop" imeMode="noControl" operator="between" showDropDown="0" showErrorMessage="1" showInputMessage="1">
          <x14:formula1>
            <xm:f>ДаНет</xm:f>
          </x14:formula1>
          <xm:sqref>H43:H44</xm:sqref>
        </x14:dataValidation>
        <x14:dataValidation xr:uid="{00CA00B7-00B4-4830-A676-008400AA00FA}" type="list" allowBlank="1" errorStyle="stop" imeMode="noControl" operator="between" showDropDown="0" showErrorMessage="1" showInputMessage="1">
          <x14:formula1>
            <xm:f>ДаНет</xm:f>
          </x14:formula1>
          <xm:sqref>H41</xm:sqref>
        </x14:dataValidation>
        <x14:dataValidation xr:uid="{00C5008D-00C8-4D8D-8E58-002800CC0030}" type="list" allowBlank="1" errorStyle="stop" imeMode="noControl" operator="between" showDropDown="0" showErrorMessage="1" showInputMessage="1">
          <x14:formula1>
            <xm:f>ДаНет</xm:f>
          </x14:formula1>
          <xm:sqref>H45</xm:sqref>
        </x14:dataValidation>
        <x14:dataValidation xr:uid="{00E8007E-0031-4696-AE99-00AF00E300D9}" type="list" allowBlank="1" errorStyle="stop" imeMode="noControl" operator="between" showDropDown="0" showErrorMessage="1" showInputMessage="1">
          <x14:formula1>
            <xm:f>ДаНет</xm:f>
          </x14:formula1>
          <xm:sqref>H123</xm:sqref>
        </x14:dataValidation>
        <x14:dataValidation xr:uid="{002A0037-0024-412F-8CA0-007A00A00030}" type="list" allowBlank="1" errorStyle="stop" imeMode="noControl" operator="between" showDropDown="0" showErrorMessage="1" showInputMessage="1">
          <x14:formula1>
            <xm:f>ДаНет</xm:f>
          </x14:formula1>
          <xm:sqref>H122</xm:sqref>
        </x14:dataValidation>
        <x14:dataValidation xr:uid="{00A000C9-0042-4770-AAB3-008B00BB00CE}" type="list" allowBlank="1" errorStyle="stop" imeMode="noControl" operator="between" showDropDown="0" showErrorMessage="1" showInputMessage="1">
          <x14:formula1>
            <xm:f>ДаНет</xm:f>
          </x14:formula1>
          <xm:sqref>H146</xm:sqref>
        </x14:dataValidation>
        <x14:dataValidation xr:uid="{00920061-003B-45B9-8A9E-00AE00F1000F}" type="list" allowBlank="1" errorStyle="stop" imeMode="noControl" operator="between" showDropDown="0" showErrorMessage="1" showInputMessage="1">
          <x14:formula1>
            <xm:f>ДаНет</xm:f>
          </x14:formula1>
          <xm:sqref>H145</xm:sqref>
        </x14:dataValidation>
        <x14:dataValidation xr:uid="{0072009D-0043-4E42-93F5-00C40010001E}" type="list" allowBlank="1" errorStyle="stop" imeMode="noControl" operator="between" showDropDown="0" showErrorMessage="1" showInputMessage="1">
          <x14:formula1>
            <xm:f>ДаНет</xm:f>
          </x14:formula1>
          <xm:sqref>H143</xm:sqref>
        </x14:dataValidation>
        <x14:dataValidation xr:uid="{000A003C-006A-423B-AFBD-0032001700E3}" type="list" allowBlank="1" errorStyle="stop" imeMode="noControl" operator="between" showDropDown="0" showErrorMessage="1" showInputMessage="1">
          <x14:formula1>
            <xm:f>ДаНет</xm:f>
          </x14:formula1>
          <xm:sqref>H144</xm:sqref>
        </x14:dataValidation>
        <x14:dataValidation xr:uid="{00190035-00D1-420A-925D-000800C80025}" type="list" allowBlank="1" errorStyle="stop" imeMode="noControl" operator="between" showDropDown="0" showErrorMessage="1" showInputMessage="1">
          <x14:formula1>
            <xm:f>ДаНет</xm:f>
          </x14:formula1>
          <xm:sqref>H156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4" activeCellId="0" sqref="F24"/>
    </sheetView>
  </sheetViews>
  <sheetFormatPr defaultRowHeight="14.25"/>
  <sheetData>
    <row r="1">
      <c r="A1" t="s">
        <v>141</v>
      </c>
    </row>
    <row r="2">
      <c r="A2" t="s">
        <v>428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Лазарева Лариса</cp:lastModifiedBy>
  <cp:revision>195</cp:revision>
  <dcterms:created xsi:type="dcterms:W3CDTF">2019-04-17T07:56:15Z</dcterms:created>
  <dcterms:modified xsi:type="dcterms:W3CDTF">2026-04-01T13:05:23Z</dcterms:modified>
</cp:coreProperties>
</file>